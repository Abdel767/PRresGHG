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el\OneDrive\Desktop\Tesis\Rstudio\PRresGHG\inputData\"/>
    </mc:Choice>
  </mc:AlternateContent>
  <xr:revisionPtr revIDLastSave="0" documentId="13_ncr:1_{20455DFE-996A-481C-9403-713AEF3438D4}" xr6:coauthVersionLast="47" xr6:coauthVersionMax="47" xr10:uidLastSave="{00000000-0000-0000-0000-000000000000}"/>
  <bookViews>
    <workbookView xWindow="4095" yWindow="3285" windowWidth="28800" windowHeight="15345" xr2:uid="{00000000-000D-0000-FFFF-FFFF00000000}"/>
  </bookViews>
  <sheets>
    <sheet name="data" sheetId="1" r:id="rId1"/>
    <sheet name="data.dictionary" sheetId="3" r:id="rId2"/>
    <sheet name="dissolved.gas" sheetId="2" r:id="rId3"/>
    <sheet name="dissolved.gas.dictionay" sheetId="4" r:id="rId4"/>
  </sheets>
  <definedNames>
    <definedName name="_xlnm.Database">data!$B$2:$BO$47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<sst xmlns="http://schemas.openxmlformats.org/spreadsheetml/2006/main" count="491" uniqueCount="283">
  <si>
    <t>F1</t>
  </si>
  <si>
    <t>F2</t>
  </si>
  <si>
    <t>F3</t>
  </si>
  <si>
    <t>F5</t>
  </si>
  <si>
    <t>F7</t>
  </si>
  <si>
    <t>F12</t>
  </si>
  <si>
    <t>lake.id</t>
  </si>
  <si>
    <t>site.id</t>
  </si>
  <si>
    <t>eval.status</t>
  </si>
  <si>
    <t>lat</t>
  </si>
  <si>
    <t>long</t>
  </si>
  <si>
    <t>trap.deply.date</t>
  </si>
  <si>
    <t>trap.deply.time</t>
  </si>
  <si>
    <t>trap.rtrvl.date</t>
  </si>
  <si>
    <t>trap.rtrvl.time</t>
  </si>
  <si>
    <t>trap.volume</t>
  </si>
  <si>
    <t>trap.volume.flag</t>
  </si>
  <si>
    <t>trap.extn1</t>
  </si>
  <si>
    <t>trap.extn1.notes</t>
  </si>
  <si>
    <t>trap.extn2</t>
  </si>
  <si>
    <t>trap.extn2.notes</t>
  </si>
  <si>
    <t>trap.extn3</t>
  </si>
  <si>
    <t>trap.extn3.notes</t>
  </si>
  <si>
    <t>trap.flag</t>
  </si>
  <si>
    <t>trap.comment</t>
  </si>
  <si>
    <t>chamb.deply.date</t>
  </si>
  <si>
    <t>chamb.deply.time</t>
  </si>
  <si>
    <t>chamb.water.temp</t>
  </si>
  <si>
    <t>chamb.grad.a</t>
  </si>
  <si>
    <t>chamb.grad.b</t>
  </si>
  <si>
    <t>chamb.flag</t>
  </si>
  <si>
    <t>chamb.comment</t>
  </si>
  <si>
    <t>site.depth</t>
  </si>
  <si>
    <t>sample.depth.s</t>
  </si>
  <si>
    <t>temp.s</t>
  </si>
  <si>
    <t>do.mg.s</t>
  </si>
  <si>
    <t>sp.cond.s</t>
  </si>
  <si>
    <t>ph.s</t>
  </si>
  <si>
    <t>chl.s</t>
  </si>
  <si>
    <t>phyc.s</t>
  </si>
  <si>
    <t>turb.s</t>
  </si>
  <si>
    <t>temp.s.flag</t>
  </si>
  <si>
    <t>do.mg.s.flag</t>
  </si>
  <si>
    <t>sp.cond.s.flag</t>
  </si>
  <si>
    <t>ph.s.flag</t>
  </si>
  <si>
    <t>chl.s.flag</t>
  </si>
  <si>
    <t>phyc.s.flag</t>
  </si>
  <si>
    <t>turb.s.flag</t>
  </si>
  <si>
    <t>temp.s.comment</t>
  </si>
  <si>
    <t>do.mg.s.comment</t>
  </si>
  <si>
    <t>sp.cond.s.comment</t>
  </si>
  <si>
    <t>ph.s.comment</t>
  </si>
  <si>
    <t>chl.s.comment</t>
  </si>
  <si>
    <t>phyc.s.comment</t>
  </si>
  <si>
    <t>turb.s.comment</t>
  </si>
  <si>
    <t>sample.depth.d</t>
  </si>
  <si>
    <t>temp.d</t>
  </si>
  <si>
    <t>do.mg.d</t>
  </si>
  <si>
    <t>sp.cond.d</t>
  </si>
  <si>
    <t>ph.d</t>
  </si>
  <si>
    <t>chl.d</t>
  </si>
  <si>
    <t>phyc.d</t>
  </si>
  <si>
    <t>turb.d</t>
  </si>
  <si>
    <t>temp.d.flag</t>
  </si>
  <si>
    <t>do.mg.d.flag</t>
  </si>
  <si>
    <t>sp.cond.d.flag</t>
  </si>
  <si>
    <t>ph.d.flag</t>
  </si>
  <si>
    <t>chl.d.flag</t>
  </si>
  <si>
    <t>phyc.d.flag</t>
  </si>
  <si>
    <t>turb.d.flag</t>
  </si>
  <si>
    <t>temp.d.comment</t>
  </si>
  <si>
    <t>do.mg.d.comment</t>
  </si>
  <si>
    <t>sp.cond.d.comment</t>
  </si>
  <si>
    <t>ph.d.comment</t>
  </si>
  <si>
    <t>chl.d.comment</t>
  </si>
  <si>
    <t>phyc.d.comment</t>
  </si>
  <si>
    <t>turb.d.comment</t>
  </si>
  <si>
    <t>air.extn.1</t>
  </si>
  <si>
    <t>air.extn.2</t>
  </si>
  <si>
    <t>air.extn.3</t>
  </si>
  <si>
    <t>ch4.check</t>
  </si>
  <si>
    <t>co2.check</t>
  </si>
  <si>
    <t>ch4.co2.check.date</t>
  </si>
  <si>
    <t>ch4.co2.check.start.time</t>
  </si>
  <si>
    <t>Field</t>
  </si>
  <si>
    <t>Description</t>
  </si>
  <si>
    <t>Format</t>
  </si>
  <si>
    <t>unique identifier for each reservoir</t>
  </si>
  <si>
    <t>numeric (no letters or dash)</t>
  </si>
  <si>
    <t>unique identifier for each sampling site within a reservoir</t>
  </si>
  <si>
    <t>status of each evaluated sampling site</t>
  </si>
  <si>
    <t>two digit alphabetic code: 
'TS': target sampled
'NS': Target, not sampled.  Site not sampled due to resource constraints (ran out of time)
'PI': Physically inaccessible</t>
  </si>
  <si>
    <t>sampling site latitude</t>
  </si>
  <si>
    <t>8 digit numeric (xx.xxxxxx)</t>
  </si>
  <si>
    <t>sampling site longitude</t>
  </si>
  <si>
    <t>date of trap deployment</t>
  </si>
  <si>
    <t>mm.dd.yyyy</t>
  </si>
  <si>
    <t>time of trap deployment</t>
  </si>
  <si>
    <t>military time (hh:mm)</t>
  </si>
  <si>
    <t>date of trap retrieval</t>
  </si>
  <si>
    <t>time of trap retrieval</t>
  </si>
  <si>
    <t>mL</t>
  </si>
  <si>
    <t>&gt;' if gas was lost during sampling and total volume is an underestimate.  '&lt;' if volume was below recorded graduation (e.g. &lt; 1mL).  Otherwise blank</t>
  </si>
  <si>
    <t>&gt; or &lt;</t>
  </si>
  <si>
    <t>code for first exetainer collected from trap</t>
  </si>
  <si>
    <t>eight digit alphanumeric code (SG200185)</t>
  </si>
  <si>
    <t>field notes</t>
  </si>
  <si>
    <t>code for second exetainer collected from trap</t>
  </si>
  <si>
    <t>code for third exetainer collected from trap</t>
  </si>
  <si>
    <t>1 if there was a problem, blank if no problem.</t>
  </si>
  <si>
    <t>numeric</t>
  </si>
  <si>
    <t>any relevant comments from field sheets</t>
  </si>
  <si>
    <t>floating chamber deployment date</t>
  </si>
  <si>
    <t>floating chamber deployment time</t>
  </si>
  <si>
    <t>if shallow sonde measurements were not made when chamber was deployed, then enter water temperature from F3, otherwise blank</t>
  </si>
  <si>
    <t>numeric (celcius)</t>
  </si>
  <si>
    <t>field crew recorded chamber graduations on both ends of chamber.  Enter the first value here.</t>
  </si>
  <si>
    <t>field crew recorded chamber graduations on both ends of chamber.  Enter the second value here.</t>
  </si>
  <si>
    <t>total depth at sampling site</t>
  </si>
  <si>
    <t>numeric (meters)</t>
  </si>
  <si>
    <t>shallow sampling depth.  Nearly always 0.1</t>
  </si>
  <si>
    <t>shallow water temperature</t>
  </si>
  <si>
    <t>shallow dissolved oxygen</t>
  </si>
  <si>
    <t>numeric (mg/L)</t>
  </si>
  <si>
    <t>shallow specific conductivity</t>
  </si>
  <si>
    <t>numeric (us/cm)</t>
  </si>
  <si>
    <t>shallow pH</t>
  </si>
  <si>
    <t>shallow chlorophyll</t>
  </si>
  <si>
    <t>numeric (ug/L)</t>
  </si>
  <si>
    <t>shallow phycocyanin</t>
  </si>
  <si>
    <t>shallow turbidity</t>
  </si>
  <si>
    <t>numeric (NTU)</t>
  </si>
  <si>
    <t>shallow water temperature flag.  1 if there was a problem, blank if no problem.</t>
  </si>
  <si>
    <t>shallow dissolved oxygen flag.  1 if there was a problem, blank if no problem.</t>
  </si>
  <si>
    <t>shallow specific conductivity flag.  1 if there was a problem, blank if no problem.</t>
  </si>
  <si>
    <t>shallow pH flag.  1 if there was a problem, blank if no problem.</t>
  </si>
  <si>
    <t>shallow chlorophyll flag.  1 if there was a problem, blank if no problem.</t>
  </si>
  <si>
    <t>shallow phycocyanin flag.  1 if there was a problem, blank if no problem.</t>
  </si>
  <si>
    <t>shallow turbidity flag.  1 if there was a problem, blank if no problem.</t>
  </si>
  <si>
    <t>any relevant comments from field and/or calibration data sheets</t>
  </si>
  <si>
    <t>deep sampling depth.</t>
  </si>
  <si>
    <t>deep water temperature</t>
  </si>
  <si>
    <t>deep dissolved oxygen</t>
  </si>
  <si>
    <t>deep specific conductivity</t>
  </si>
  <si>
    <t>deep pH</t>
  </si>
  <si>
    <t>deep chlorophyll</t>
  </si>
  <si>
    <t>deep phycocyanin</t>
  </si>
  <si>
    <t>deep turbidity</t>
  </si>
  <si>
    <t>deep water temperature flag.  1 if there was a problem, blank if no problem.</t>
  </si>
  <si>
    <t>deep dissolved oxygen flag.  1 if there was a problem, blank if no problem.</t>
  </si>
  <si>
    <t>deep specific conductivity flag.  1 if there was a problem, blank if no problem.</t>
  </si>
  <si>
    <t>deep pH flag.  1 if there was a problem, blank if no problem.</t>
  </si>
  <si>
    <t>deep chlorophyll flag.  1 if there was a problem, blank if no problem.</t>
  </si>
  <si>
    <t>deep phycocyanin flag.  1 if there was a problem, blank if no problem.</t>
  </si>
  <si>
    <t>deep turbidity flag.  1 if there was a problem, blank if no problem.</t>
  </si>
  <si>
    <t>code for first air exetainer</t>
  </si>
  <si>
    <t>code for second air exetainer</t>
  </si>
  <si>
    <t>code for third air exetainer</t>
  </si>
  <si>
    <t>ch4 concentration recorded after standard flow through analyzer for 1 minute.  First cal check entered in first row.  Additional cal checks entered in subsequent rows (only one row populated per cal check)</t>
  </si>
  <si>
    <t>co2 concentration recorded after standard flow through analyzer for 1 minute.  First cal check entered in first row.  Additional cal checks entered in subsequent rows (only one row populated per cal check)</t>
  </si>
  <si>
    <t>date of greenhouse gas analyzer cal check</t>
  </si>
  <si>
    <t>time greenhouse gas analyzer cal check started</t>
  </si>
  <si>
    <t>sample.depth.m</t>
  </si>
  <si>
    <t>dg.extn</t>
  </si>
  <si>
    <t>dg.extn.temp</t>
  </si>
  <si>
    <t>dg.notes</t>
  </si>
  <si>
    <t>water.vol</t>
  </si>
  <si>
    <t>air.vol</t>
  </si>
  <si>
    <t>atm.pressure</t>
  </si>
  <si>
    <t>air.temperature</t>
  </si>
  <si>
    <t>three digit numeric code</t>
  </si>
  <si>
    <t>one or two letters, dash, two numeric digits (i.e. SU-12)</t>
  </si>
  <si>
    <t>dissolved gas sampling depth</t>
  </si>
  <si>
    <t>numeric (m)</t>
  </si>
  <si>
    <t>dissolved gas exetainer code</t>
  </si>
  <si>
    <t>headspace equilibration temperature</t>
  </si>
  <si>
    <t>water volume for headspace equilibration.  115 unless stated otherwise</t>
  </si>
  <si>
    <t>numeric (mL)</t>
  </si>
  <si>
    <t>air volume for headspace equilibration.  25 unless stated otherwise</t>
  </si>
  <si>
    <t>atmospheric pressure</t>
  </si>
  <si>
    <t>numeric (mm Hg)</t>
  </si>
  <si>
    <t>total volume of gas recovered from trap. If there was no gas in trap = 0, if there was an issue with the trap (tube came off, ect.) = NA</t>
  </si>
  <si>
    <t>TS</t>
  </si>
  <si>
    <t>NA</t>
  </si>
  <si>
    <t>Might be SG24</t>
  </si>
  <si>
    <t>Only 1 minute of data.</t>
  </si>
  <si>
    <t xml:space="preserve">5 attemps were made. </t>
  </si>
  <si>
    <t>SG240352</t>
  </si>
  <si>
    <t>SG240353</t>
  </si>
  <si>
    <t>SG240354</t>
  </si>
  <si>
    <t>Some release of gas during retrieval</t>
  </si>
  <si>
    <t xml:space="preserve">floating chamber was repeated &gt;7 times </t>
  </si>
  <si>
    <t>SG23.0743</t>
  </si>
  <si>
    <t>SG23.0749</t>
  </si>
  <si>
    <t>SG23.0752</t>
  </si>
  <si>
    <t>SG23.0755</t>
  </si>
  <si>
    <t>SG23.0758</t>
  </si>
  <si>
    <t>SG23.0761</t>
  </si>
  <si>
    <t>SG23.0746</t>
  </si>
  <si>
    <t>SG23.0764</t>
  </si>
  <si>
    <t>SG23.0767</t>
  </si>
  <si>
    <t>SG23.0770</t>
  </si>
  <si>
    <t>SG23.0773</t>
  </si>
  <si>
    <t>SG23.0779</t>
  </si>
  <si>
    <t>SG23.0742</t>
  </si>
  <si>
    <t>SG23.0748</t>
  </si>
  <si>
    <t>SG23.0751</t>
  </si>
  <si>
    <t>SG23.0754</t>
  </si>
  <si>
    <t>SG23.0757</t>
  </si>
  <si>
    <t>SG23.0760</t>
  </si>
  <si>
    <t>SG23.0745</t>
  </si>
  <si>
    <t>SG23.0766</t>
  </si>
  <si>
    <t>SG23.0763</t>
  </si>
  <si>
    <t>SG23.0769</t>
  </si>
  <si>
    <t>SG23.0772</t>
  </si>
  <si>
    <t>SG23.0778</t>
  </si>
  <si>
    <t>SG23.0744</t>
  </si>
  <si>
    <t xml:space="preserve">SG23.0750 </t>
  </si>
  <si>
    <t>SG23.0753</t>
  </si>
  <si>
    <t>SG23.0756</t>
  </si>
  <si>
    <t>SG23.0759</t>
  </si>
  <si>
    <t>SG23.0762</t>
  </si>
  <si>
    <t>SG23.0747</t>
  </si>
  <si>
    <t>SG23.0765</t>
  </si>
  <si>
    <t>SG23.0768</t>
  </si>
  <si>
    <t>SG23.0771</t>
  </si>
  <si>
    <t>SG23.0774</t>
  </si>
  <si>
    <t>SG23.0780</t>
  </si>
  <si>
    <t>PS24.1046</t>
  </si>
  <si>
    <t>SG23.0346</t>
  </si>
  <si>
    <t>SG23.0361</t>
  </si>
  <si>
    <t>SG23.0358</t>
  </si>
  <si>
    <t>SG23.0364</t>
  </si>
  <si>
    <t>SG23.0367</t>
  </si>
  <si>
    <t>SG23.0369</t>
  </si>
  <si>
    <t>SG23.0372</t>
  </si>
  <si>
    <t>SG23.0376</t>
  </si>
  <si>
    <t>SG23.0379</t>
  </si>
  <si>
    <t>SG23.0650</t>
  </si>
  <si>
    <t>SG23.0653</t>
  </si>
  <si>
    <t>SG23.0656</t>
  </si>
  <si>
    <t>SG23.0659</t>
  </si>
  <si>
    <t>SG23.0662</t>
  </si>
  <si>
    <t>SG23.0665</t>
  </si>
  <si>
    <t>SG23.0816</t>
  </si>
  <si>
    <t>SG23.0347</t>
  </si>
  <si>
    <t>SG23.0362</t>
  </si>
  <si>
    <t>SG23.0359</t>
  </si>
  <si>
    <t>SG23.0365</t>
  </si>
  <si>
    <t>SG23.0373</t>
  </si>
  <si>
    <t>SG23.0370</t>
  </si>
  <si>
    <t>SG23.0374</t>
  </si>
  <si>
    <t>SG23.0377</t>
  </si>
  <si>
    <t>SG23.0380</t>
  </si>
  <si>
    <t>SG23.0651</t>
  </si>
  <si>
    <t>SG23.0654</t>
  </si>
  <si>
    <t>SG23.0657</t>
  </si>
  <si>
    <t>SG23.0660</t>
  </si>
  <si>
    <t>SG23.0663</t>
  </si>
  <si>
    <t>SG23.0666</t>
  </si>
  <si>
    <t>SG23.0348</t>
  </si>
  <si>
    <t>SG23.0363</t>
  </si>
  <si>
    <t>SG23.0360</t>
  </si>
  <si>
    <t>SG23.0366</t>
  </si>
  <si>
    <t>SG23.0368</t>
  </si>
  <si>
    <t>SG23.0371</t>
  </si>
  <si>
    <t>SG23.0375</t>
  </si>
  <si>
    <t>SG23.0378</t>
  </si>
  <si>
    <t>SG23.0381</t>
  </si>
  <si>
    <t>SG23.0652</t>
  </si>
  <si>
    <t>SG23.0655</t>
  </si>
  <si>
    <t>SG23.0658</t>
  </si>
  <si>
    <t>SG23.0661</t>
  </si>
  <si>
    <t>SG23.0664</t>
  </si>
  <si>
    <t>SG23.0667</t>
  </si>
  <si>
    <t>1000</t>
  </si>
  <si>
    <t>SG230349</t>
  </si>
  <si>
    <t xml:space="preserve">SG230350 </t>
  </si>
  <si>
    <t>SG230351</t>
  </si>
  <si>
    <t xml:space="preserve">SG230355 </t>
  </si>
  <si>
    <t>SG230356</t>
  </si>
  <si>
    <t>SG230357</t>
  </si>
  <si>
    <t>campaign_date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</si>
</sst>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"/>
    <numFmt numFmtId="166" formatCode="0.000000"/>
    <numFmt numFmtId="167" formatCode="h:mm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9" fontId="0" fillId="33" borderId="0" xfId="0" applyNumberFormat="1" applyFill="1" applyAlignment="1">
      <alignment horizontal="center"/>
    </xf>
    <xf numFmtId="1" fontId="0" fillId="33" borderId="0" xfId="0" applyNumberFormat="1" applyFill="1" applyAlignment="1">
      <alignment horizontal="center"/>
    </xf>
    <xf numFmtId="164" fontId="0" fillId="34" borderId="0" xfId="0" applyNumberFormat="1" applyFill="1" applyAlignment="1">
      <alignment horizontal="center"/>
    </xf>
    <xf numFmtId="2" fontId="0" fillId="34" borderId="0" xfId="0" applyNumberFormat="1" applyFill="1" applyAlignment="1">
      <alignment horizontal="center"/>
    </xf>
    <xf numFmtId="1" fontId="0" fillId="34" borderId="0" xfId="0" applyNumberFormat="1" applyFill="1" applyAlignment="1">
      <alignment horizontal="center"/>
    </xf>
    <xf numFmtId="2" fontId="0" fillId="35" borderId="0" xfId="0" applyNumberFormat="1" applyFill="1" applyAlignment="1">
      <alignment horizontal="center"/>
    </xf>
    <xf numFmtId="2" fontId="0" fillId="36" borderId="0" xfId="0" applyNumberFormat="1" applyFill="1" applyAlignment="1">
      <alignment horizontal="center"/>
    </xf>
    <xf numFmtId="165" fontId="0" fillId="37" borderId="0" xfId="0" applyNumberFormat="1" applyFill="1" applyAlignment="1">
      <alignment horizontal="center"/>
    </xf>
    <xf numFmtId="49" fontId="0" fillId="37" borderId="0" xfId="0" applyNumberFormat="1" applyFill="1" applyAlignment="1">
      <alignment horizontal="center"/>
    </xf>
    <xf numFmtId="1" fontId="0" fillId="37" borderId="0" xfId="0" applyNumberFormat="1" applyFill="1" applyAlignment="1">
      <alignment horizontal="center"/>
    </xf>
    <xf numFmtId="1" fontId="0" fillId="38" borderId="0" xfId="0" applyNumberFormat="1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4" borderId="0" xfId="0" applyFill="1"/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quotePrefix="1"/>
    <xf numFmtId="49" fontId="0" fillId="38" borderId="0" xfId="0" applyNumberFormat="1" applyFill="1"/>
    <xf numFmtId="49" fontId="0" fillId="0" borderId="0" xfId="0" applyNumberFormat="1"/>
    <xf numFmtId="20" fontId="0" fillId="0" borderId="0" xfId="0" applyNumberFormat="1"/>
    <xf numFmtId="21" fontId="0" fillId="0" borderId="0" xfId="0" applyNumberFormat="1"/>
    <xf numFmtId="0" fontId="0" fillId="36" borderId="0" xfId="0" applyFill="1"/>
    <xf numFmtId="14" fontId="0" fillId="0" borderId="0" xfId="0" applyNumberFormat="1"/>
    <xf numFmtId="166" fontId="0" fillId="0" borderId="0" xfId="0" applyNumberFormat="1"/>
    <xf numFmtId="0" fontId="8" fillId="4" borderId="0" xfId="8"/>
    <xf numFmtId="167" fontId="0" fillId="0" borderId="0" xfId="0" applyNumberFormat="1"/>
    <xf numFmtId="0" fontId="0" fillId="0" borderId="0" xfId="0" applyAlignment="1">
      <alignment wrapText="1"/>
    </xf>
    <xf numFmtId="0" fontId="0" fillId="38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2"/>
  <sheetViews>
    <sheetView tabSelected="1" topLeftCell="A10" zoomScale="130" zoomScaleNormal="130" workbookViewId="0">
      <pane xSplit="2" topLeftCell="AC1" activePane="topRight" state="frozen"/>
      <selection pane="topRight" activeCell="V23" sqref="V23"/>
    </sheetView>
  </sheetViews>
  <sheetFormatPr defaultRowHeight="15" x14ac:dyDescent="0.25"/>
  <cols>
    <col min="1" max="1" width="9.85546875" style="22" bestFit="1" customWidth="1"/>
    <col min="2" max="2" width="6.5703125" customWidth="1"/>
    <col min="3" max="3" width="10.5703125" customWidth="1"/>
    <col min="4" max="4" width="14.85546875" bestFit="1" customWidth="1"/>
    <col min="5" max="5" width="10.5703125" customWidth="1"/>
    <col min="6" max="6" width="11.85546875" customWidth="1"/>
    <col min="7" max="7" width="14.85546875" customWidth="1"/>
    <col min="8" max="8" width="15" customWidth="1"/>
    <col min="9" max="9" width="13.5703125" customWidth="1"/>
    <col min="10" max="10" width="13.7109375" customWidth="1"/>
    <col min="11" max="11" width="11.85546875" customWidth="1"/>
    <col min="12" max="12" width="15.85546875" customWidth="1"/>
    <col min="13" max="13" width="10.140625" bestFit="1" customWidth="1"/>
    <col min="14" max="14" width="15.85546875" bestFit="1" customWidth="1"/>
    <col min="15" max="15" width="10.140625" bestFit="1" customWidth="1"/>
    <col min="16" max="16" width="15.85546875" bestFit="1" customWidth="1"/>
    <col min="17" max="17" width="10.140625" bestFit="1" customWidth="1"/>
    <col min="18" max="18" width="15.85546875" bestFit="1" customWidth="1"/>
    <col min="19" max="19" width="8.42578125" bestFit="1" customWidth="1"/>
    <col min="20" max="20" width="13.7109375" bestFit="1" customWidth="1"/>
    <col min="21" max="21" width="17.28515625" bestFit="1" customWidth="1"/>
    <col min="22" max="22" width="17.42578125" bestFit="1" customWidth="1"/>
    <col min="23" max="23" width="18.140625" bestFit="1" customWidth="1"/>
    <col min="24" max="24" width="12.85546875" bestFit="1" customWidth="1"/>
    <col min="25" max="25" width="13.140625" bestFit="1" customWidth="1"/>
    <col min="26" max="26" width="10.7109375" bestFit="1" customWidth="1"/>
    <col min="27" max="27" width="20.85546875" bestFit="1" customWidth="1"/>
    <col min="28" max="28" width="10.140625" bestFit="1" customWidth="1"/>
    <col min="29" max="29" width="14.85546875" bestFit="1" customWidth="1"/>
    <col min="30" max="30" width="7.140625" bestFit="1" customWidth="1"/>
    <col min="31" max="31" width="8" bestFit="1" customWidth="1"/>
    <col min="32" max="32" width="9.28515625" bestFit="1" customWidth="1"/>
    <col min="33" max="33" width="5.5703125" bestFit="1" customWidth="1"/>
    <col min="34" max="34" width="5" bestFit="1" customWidth="1"/>
    <col min="35" max="35" width="6.28515625" bestFit="1" customWidth="1"/>
    <col min="36" max="36" width="11" bestFit="1" customWidth="1"/>
    <col min="37" max="37" width="11.85546875" bestFit="1" customWidth="1"/>
    <col min="38" max="38" width="13.28515625" bestFit="1" customWidth="1"/>
    <col min="39" max="39" width="8.5703125" bestFit="1" customWidth="1"/>
    <col min="40" max="40" width="8.85546875" bestFit="1" customWidth="1"/>
    <col min="41" max="41" width="10.42578125" bestFit="1" customWidth="1"/>
    <col min="42" max="42" width="10" bestFit="1" customWidth="1"/>
    <col min="43" max="43" width="16.28515625" bestFit="1" customWidth="1"/>
    <col min="44" max="44" width="17.28515625" bestFit="1" customWidth="1"/>
    <col min="45" max="45" width="18.5703125" bestFit="1" customWidth="1"/>
    <col min="46" max="46" width="13.85546875" bestFit="1" customWidth="1"/>
    <col min="47" max="47" width="14.140625" bestFit="1" customWidth="1"/>
    <col min="48" max="48" width="15.7109375" bestFit="1" customWidth="1"/>
    <col min="49" max="49" width="15.28515625" bestFit="1" customWidth="1"/>
    <col min="50" max="50" width="15.140625" bestFit="1" customWidth="1"/>
    <col min="51" max="51" width="7.42578125" bestFit="1" customWidth="1"/>
    <col min="52" max="52" width="8.28515625" bestFit="1" customWidth="1"/>
    <col min="53" max="53" width="9.5703125" bestFit="1" customWidth="1"/>
    <col min="54" max="54" width="7.28515625" customWidth="1"/>
    <col min="55" max="55" width="5.28515625" bestFit="1" customWidth="1"/>
    <col min="56" max="56" width="6.42578125" bestFit="1" customWidth="1"/>
    <col min="57" max="57" width="11.28515625" bestFit="1" customWidth="1"/>
    <col min="58" max="58" width="12.140625" bestFit="1" customWidth="1"/>
    <col min="59" max="59" width="13.5703125" bestFit="1" customWidth="1"/>
    <col min="60" max="60" width="8.85546875" bestFit="1" customWidth="1"/>
    <col min="61" max="61" width="9.140625" bestFit="1" customWidth="1"/>
    <col min="62" max="62" width="10.7109375" bestFit="1" customWidth="1"/>
    <col min="63" max="63" width="10.28515625" bestFit="1" customWidth="1"/>
    <col min="64" max="64" width="16.5703125" bestFit="1" customWidth="1"/>
    <col min="65" max="65" width="17.5703125" bestFit="1" customWidth="1"/>
    <col min="66" max="66" width="18.85546875" bestFit="1" customWidth="1"/>
    <col min="67" max="67" width="14.140625" bestFit="1" customWidth="1"/>
    <col min="68" max="68" width="14.42578125" bestFit="1" customWidth="1"/>
    <col min="69" max="69" width="16" bestFit="1" customWidth="1"/>
    <col min="70" max="70" width="15.5703125" bestFit="1" customWidth="1"/>
    <col min="71" max="73" width="10.140625" bestFit="1" customWidth="1"/>
    <col min="74" max="75" width="9.5703125" bestFit="1" customWidth="1"/>
    <col min="76" max="76" width="18" bestFit="1" customWidth="1"/>
    <col min="77" max="77" width="22.85546875" bestFit="1" customWidth="1"/>
  </cols>
  <sheetData>
    <row r="1" spans="1:77" x14ac:dyDescent="0.25">
      <c r="A1" s="34" t="s">
        <v>0</v>
      </c>
      <c r="B1" s="34"/>
      <c r="C1" s="34"/>
      <c r="D1" s="31"/>
      <c r="E1" s="35" t="s">
        <v>1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6" t="s">
        <v>2</v>
      </c>
      <c r="V1" s="36"/>
      <c r="W1" s="36"/>
      <c r="X1" s="36"/>
      <c r="Y1" s="36"/>
      <c r="Z1" s="36"/>
      <c r="AA1" s="36"/>
      <c r="AB1" s="37" t="s">
        <v>3</v>
      </c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2" t="s">
        <v>4</v>
      </c>
      <c r="BT1" s="32"/>
      <c r="BU1" s="32"/>
      <c r="BV1" s="33" t="s">
        <v>5</v>
      </c>
      <c r="BW1" s="33"/>
      <c r="BX1" s="33"/>
      <c r="BY1" s="33"/>
    </row>
    <row r="2" spans="1:77" x14ac:dyDescent="0.25">
      <c r="A2" s="21" t="s">
        <v>6</v>
      </c>
      <c r="B2" s="14" t="s">
        <v>7</v>
      </c>
      <c r="C2" s="14" t="s">
        <v>8</v>
      </c>
      <c r="D2" s="14" t="s">
        <v>282</v>
      </c>
      <c r="E2" s="11" t="s">
        <v>9</v>
      </c>
      <c r="F2" s="11" t="s">
        <v>10</v>
      </c>
      <c r="G2" s="12" t="s">
        <v>11</v>
      </c>
      <c r="H2" s="12" t="s">
        <v>12</v>
      </c>
      <c r="I2" s="12" t="s">
        <v>13</v>
      </c>
      <c r="J2" s="12" t="s">
        <v>14</v>
      </c>
      <c r="K2" s="13" t="s">
        <v>15</v>
      </c>
      <c r="L2" s="13" t="s">
        <v>16</v>
      </c>
      <c r="M2" s="13" t="s">
        <v>17</v>
      </c>
      <c r="N2" s="13" t="s">
        <v>18</v>
      </c>
      <c r="O2" s="13" t="s">
        <v>19</v>
      </c>
      <c r="P2" s="13" t="s">
        <v>20</v>
      </c>
      <c r="Q2" s="13" t="s">
        <v>21</v>
      </c>
      <c r="R2" s="13" t="s">
        <v>22</v>
      </c>
      <c r="S2" s="13" t="s">
        <v>23</v>
      </c>
      <c r="T2" s="13" t="s">
        <v>24</v>
      </c>
      <c r="U2" s="4" t="s">
        <v>25</v>
      </c>
      <c r="V2" s="4" t="s">
        <v>26</v>
      </c>
      <c r="W2" s="4" t="s">
        <v>27</v>
      </c>
      <c r="X2" s="5" t="s">
        <v>28</v>
      </c>
      <c r="Y2" s="5" t="s">
        <v>29</v>
      </c>
      <c r="Z2" s="5" t="s">
        <v>30</v>
      </c>
      <c r="AA2" s="5" t="s">
        <v>31</v>
      </c>
      <c r="AB2" s="6" t="s">
        <v>32</v>
      </c>
      <c r="AC2" s="6" t="s">
        <v>33</v>
      </c>
      <c r="AD2" s="7" t="s">
        <v>34</v>
      </c>
      <c r="AE2" s="7" t="s">
        <v>35</v>
      </c>
      <c r="AF2" s="8" t="s">
        <v>36</v>
      </c>
      <c r="AG2" s="7" t="s">
        <v>37</v>
      </c>
      <c r="AH2" s="7" t="s">
        <v>38</v>
      </c>
      <c r="AI2" s="7" t="s">
        <v>40</v>
      </c>
      <c r="AJ2" s="7" t="s">
        <v>41</v>
      </c>
      <c r="AK2" s="7" t="s">
        <v>42</v>
      </c>
      <c r="AL2" s="7" t="s">
        <v>43</v>
      </c>
      <c r="AM2" s="7" t="s">
        <v>44</v>
      </c>
      <c r="AN2" s="7" t="s">
        <v>45</v>
      </c>
      <c r="AO2" s="7" t="s">
        <v>46</v>
      </c>
      <c r="AP2" s="7" t="s">
        <v>47</v>
      </c>
      <c r="AQ2" s="7" t="s">
        <v>48</v>
      </c>
      <c r="AR2" s="7" t="s">
        <v>49</v>
      </c>
      <c r="AS2" s="7" t="s">
        <v>50</v>
      </c>
      <c r="AT2" s="7" t="s">
        <v>51</v>
      </c>
      <c r="AU2" s="7" t="s">
        <v>52</v>
      </c>
      <c r="AV2" s="7" t="s">
        <v>53</v>
      </c>
      <c r="AW2" s="7" t="s">
        <v>54</v>
      </c>
      <c r="AX2" s="6" t="s">
        <v>55</v>
      </c>
      <c r="AY2" s="17" t="s">
        <v>56</v>
      </c>
      <c r="AZ2" s="17" t="s">
        <v>57</v>
      </c>
      <c r="BA2" s="17" t="s">
        <v>58</v>
      </c>
      <c r="BB2" s="17" t="s">
        <v>59</v>
      </c>
      <c r="BC2" s="17" t="s">
        <v>60</v>
      </c>
      <c r="BD2" s="17" t="s">
        <v>62</v>
      </c>
      <c r="BE2" s="7" t="s">
        <v>63</v>
      </c>
      <c r="BF2" s="7" t="s">
        <v>64</v>
      </c>
      <c r="BG2" s="8" t="s">
        <v>65</v>
      </c>
      <c r="BH2" s="7" t="s">
        <v>66</v>
      </c>
      <c r="BI2" s="7" t="s">
        <v>67</v>
      </c>
      <c r="BJ2" s="7" t="s">
        <v>68</v>
      </c>
      <c r="BK2" s="7" t="s">
        <v>69</v>
      </c>
      <c r="BL2" s="7" t="s">
        <v>70</v>
      </c>
      <c r="BM2" s="7" t="s">
        <v>71</v>
      </c>
      <c r="BN2" s="8" t="s">
        <v>72</v>
      </c>
      <c r="BO2" s="7" t="s">
        <v>73</v>
      </c>
      <c r="BP2" s="7" t="s">
        <v>74</v>
      </c>
      <c r="BQ2" s="7" t="s">
        <v>75</v>
      </c>
      <c r="BR2" s="7" t="s">
        <v>76</v>
      </c>
      <c r="BS2" s="9" t="s">
        <v>77</v>
      </c>
      <c r="BT2" s="9" t="s">
        <v>78</v>
      </c>
      <c r="BU2" s="9" t="s">
        <v>79</v>
      </c>
      <c r="BV2" s="10" t="s">
        <v>80</v>
      </c>
      <c r="BW2" s="10" t="s">
        <v>81</v>
      </c>
      <c r="BX2" s="25" t="s">
        <v>82</v>
      </c>
      <c r="BY2" s="25" t="s">
        <v>83</v>
      </c>
    </row>
    <row r="3" spans="1:77" x14ac:dyDescent="0.25">
      <c r="A3" s="22" t="s">
        <v>275</v>
      </c>
      <c r="B3">
        <v>1</v>
      </c>
      <c r="C3" t="s">
        <v>182</v>
      </c>
      <c r="D3" s="26">
        <v>45500</v>
      </c>
      <c r="E3" s="27">
        <v>18.339137000000001</v>
      </c>
      <c r="F3">
        <v>66.042638999999994</v>
      </c>
      <c r="G3" s="26">
        <v>45500</v>
      </c>
      <c r="H3" s="23">
        <v>0.41319444444444442</v>
      </c>
      <c r="I3" s="26">
        <v>45508</v>
      </c>
      <c r="J3" s="23">
        <v>0.39513888888888887</v>
      </c>
      <c r="K3" t="s">
        <v>183</v>
      </c>
      <c r="U3" s="26">
        <v>45500</v>
      </c>
      <c r="V3" s="24">
        <v>0.42525462962962962</v>
      </c>
      <c r="X3">
        <v>27</v>
      </c>
      <c r="Y3">
        <v>20</v>
      </c>
      <c r="AB3">
        <v>2</v>
      </c>
      <c r="AC3">
        <v>0.1</v>
      </c>
      <c r="AD3">
        <v>30.65</v>
      </c>
      <c r="AE3">
        <v>0</v>
      </c>
      <c r="AF3">
        <v>0.27800000000000002</v>
      </c>
      <c r="AG3">
        <v>8.2200000000000006</v>
      </c>
      <c r="AH3">
        <v>2.2999999999999998</v>
      </c>
      <c r="AI3">
        <v>-9.6999999999999993</v>
      </c>
      <c r="AK3">
        <v>1</v>
      </c>
      <c r="AX3">
        <v>1.5</v>
      </c>
      <c r="AY3">
        <v>30.37</v>
      </c>
      <c r="AZ3">
        <v>0</v>
      </c>
      <c r="BA3">
        <v>0.28399999999999997</v>
      </c>
      <c r="BB3">
        <v>7.95</v>
      </c>
      <c r="BC3">
        <v>2.2999999999999998</v>
      </c>
      <c r="BD3">
        <v>-9.6</v>
      </c>
      <c r="BF3">
        <v>1</v>
      </c>
      <c r="BS3" t="s">
        <v>187</v>
      </c>
      <c r="BT3" t="s">
        <v>188</v>
      </c>
      <c r="BU3" t="s">
        <v>189</v>
      </c>
      <c r="BV3">
        <v>2.0779999999999998</v>
      </c>
      <c r="BW3">
        <v>406.12</v>
      </c>
      <c r="BX3" s="26">
        <v>45500</v>
      </c>
      <c r="BY3" s="23">
        <v>0.74097222222222225</v>
      </c>
    </row>
    <row r="4" spans="1:77" x14ac:dyDescent="0.25">
      <c r="A4" s="22" t="s">
        <v>275</v>
      </c>
      <c r="B4">
        <f>B3+1</f>
        <v>2</v>
      </c>
      <c r="C4" t="s">
        <v>182</v>
      </c>
      <c r="D4" s="26">
        <v>45500</v>
      </c>
      <c r="E4" s="27">
        <v>18.340285000000002</v>
      </c>
      <c r="F4">
        <v>66.043983999999995</v>
      </c>
      <c r="G4" s="26">
        <v>45500</v>
      </c>
      <c r="H4" s="23">
        <v>0.42916666666666664</v>
      </c>
      <c r="I4" s="26">
        <v>45508</v>
      </c>
      <c r="J4" s="23">
        <v>0.37569444444444444</v>
      </c>
      <c r="K4">
        <v>1265</v>
      </c>
      <c r="M4" t="s">
        <v>204</v>
      </c>
      <c r="O4" t="s">
        <v>192</v>
      </c>
      <c r="Q4" t="s">
        <v>216</v>
      </c>
      <c r="U4" s="26">
        <v>45500</v>
      </c>
      <c r="V4" s="24">
        <v>0.4447800925925926</v>
      </c>
      <c r="X4">
        <v>26</v>
      </c>
      <c r="Y4">
        <v>23</v>
      </c>
      <c r="AB4">
        <v>6.5</v>
      </c>
      <c r="AC4">
        <v>0.1</v>
      </c>
      <c r="AD4">
        <v>31.08</v>
      </c>
      <c r="AE4">
        <v>0</v>
      </c>
      <c r="AF4">
        <v>0.27800000000000002</v>
      </c>
      <c r="AG4">
        <v>8.24</v>
      </c>
      <c r="AH4">
        <v>2.2999999999999998</v>
      </c>
      <c r="AI4">
        <v>-9.6999999999999993</v>
      </c>
      <c r="AK4">
        <v>1</v>
      </c>
      <c r="AX4">
        <v>5.5</v>
      </c>
      <c r="AY4">
        <v>29.1</v>
      </c>
      <c r="AZ4">
        <v>0</v>
      </c>
      <c r="BA4">
        <v>0.28999999999999998</v>
      </c>
      <c r="BB4">
        <v>7.25</v>
      </c>
      <c r="BC4">
        <v>2.2999999999999998</v>
      </c>
      <c r="BD4">
        <v>-9.6</v>
      </c>
      <c r="BF4">
        <v>1</v>
      </c>
      <c r="BV4">
        <v>0.32469999999999999</v>
      </c>
      <c r="BW4">
        <v>404.48</v>
      </c>
      <c r="BX4" s="26">
        <v>45508</v>
      </c>
      <c r="BY4" s="23">
        <v>7.9861111111111105E-2</v>
      </c>
    </row>
    <row r="5" spans="1:77" x14ac:dyDescent="0.25">
      <c r="A5" s="22" t="s">
        <v>275</v>
      </c>
      <c r="B5">
        <f>B4+1</f>
        <v>3</v>
      </c>
      <c r="C5" t="s">
        <v>182</v>
      </c>
      <c r="D5" s="26">
        <v>45500</v>
      </c>
      <c r="E5" s="27">
        <v>18.341661999999999</v>
      </c>
      <c r="F5">
        <v>66.046510999999995</v>
      </c>
      <c r="G5" s="26">
        <v>45500</v>
      </c>
      <c r="H5" s="23">
        <v>0.44583333333333336</v>
      </c>
      <c r="I5" s="26">
        <v>45508</v>
      </c>
      <c r="J5" s="23">
        <v>0.4777777777777778</v>
      </c>
      <c r="K5">
        <v>1305</v>
      </c>
      <c r="M5" t="s">
        <v>205</v>
      </c>
      <c r="O5" t="s">
        <v>193</v>
      </c>
      <c r="Q5" t="s">
        <v>217</v>
      </c>
      <c r="U5" s="26">
        <v>45500</v>
      </c>
      <c r="V5" s="24">
        <v>0.46158564814814818</v>
      </c>
      <c r="X5">
        <v>28</v>
      </c>
      <c r="Y5">
        <v>28</v>
      </c>
      <c r="AB5">
        <v>10.5</v>
      </c>
      <c r="AC5">
        <v>0.1</v>
      </c>
      <c r="AD5">
        <v>31.16</v>
      </c>
      <c r="AE5">
        <v>0</v>
      </c>
      <c r="AF5">
        <v>0.27800000000000002</v>
      </c>
      <c r="AG5">
        <v>8.32</v>
      </c>
      <c r="AH5">
        <v>2.2999999999999998</v>
      </c>
      <c r="AI5">
        <v>-9.6999999999999993</v>
      </c>
      <c r="AK5">
        <v>1</v>
      </c>
      <c r="AX5">
        <v>9.5</v>
      </c>
      <c r="AY5">
        <v>26.21</v>
      </c>
      <c r="AZ5">
        <v>0</v>
      </c>
      <c r="BA5">
        <v>0.33300000000000002</v>
      </c>
      <c r="BB5">
        <v>6.97</v>
      </c>
      <c r="BC5">
        <v>2.2999999999999998</v>
      </c>
      <c r="BD5">
        <v>-9.4</v>
      </c>
      <c r="BF5">
        <v>1</v>
      </c>
      <c r="BV5">
        <v>2.0789</v>
      </c>
      <c r="BW5">
        <v>405.8</v>
      </c>
      <c r="BX5" s="26">
        <v>45514</v>
      </c>
      <c r="BY5" s="23">
        <v>0.18541666666666667</v>
      </c>
    </row>
    <row r="6" spans="1:77" x14ac:dyDescent="0.25">
      <c r="A6" s="22" t="s">
        <v>275</v>
      </c>
      <c r="B6">
        <f t="shared" ref="B6:B32" si="0">B5+1</f>
        <v>4</v>
      </c>
      <c r="C6" t="s">
        <v>182</v>
      </c>
      <c r="D6" s="26">
        <v>45500</v>
      </c>
      <c r="E6" s="27">
        <v>18.342303000000001</v>
      </c>
      <c r="F6">
        <v>66.048226999999997</v>
      </c>
      <c r="G6" s="26">
        <v>45500</v>
      </c>
      <c r="H6" s="23">
        <v>0.48819444444444443</v>
      </c>
      <c r="I6" s="26">
        <v>45508</v>
      </c>
      <c r="J6" s="23">
        <v>0.49236111111111114</v>
      </c>
      <c r="K6">
        <v>15</v>
      </c>
      <c r="M6" t="s">
        <v>228</v>
      </c>
      <c r="U6" s="26">
        <v>45500</v>
      </c>
      <c r="V6" s="24">
        <v>0.47975694444444444</v>
      </c>
      <c r="X6">
        <v>30</v>
      </c>
      <c r="Y6">
        <v>25</v>
      </c>
      <c r="AB6">
        <v>1.2</v>
      </c>
      <c r="AC6">
        <v>0.1</v>
      </c>
      <c r="AD6">
        <v>31.46</v>
      </c>
      <c r="AE6">
        <v>0</v>
      </c>
      <c r="AF6">
        <v>0.27900000000000003</v>
      </c>
      <c r="AG6">
        <v>8.32</v>
      </c>
      <c r="AH6">
        <v>2.2999999999999998</v>
      </c>
      <c r="AI6">
        <v>-9.6999999999999993</v>
      </c>
      <c r="AK6">
        <v>1</v>
      </c>
      <c r="AX6">
        <v>0.7</v>
      </c>
      <c r="AY6">
        <v>31.29</v>
      </c>
      <c r="AZ6">
        <v>0</v>
      </c>
      <c r="BA6">
        <v>0.28000000000000003</v>
      </c>
      <c r="BB6">
        <v>8.2200000000000006</v>
      </c>
      <c r="BC6">
        <v>2.2999999999999998</v>
      </c>
      <c r="BD6">
        <v>-9.6999999999999993</v>
      </c>
      <c r="BF6">
        <v>1</v>
      </c>
    </row>
    <row r="7" spans="1:77" x14ac:dyDescent="0.25">
      <c r="A7" s="22" t="s">
        <v>275</v>
      </c>
      <c r="B7">
        <f t="shared" si="0"/>
        <v>5</v>
      </c>
      <c r="C7" t="s">
        <v>182</v>
      </c>
      <c r="D7" s="26">
        <v>45500</v>
      </c>
      <c r="E7" s="27">
        <v>18.341092</v>
      </c>
      <c r="F7">
        <v>66.048851999999997</v>
      </c>
      <c r="G7" s="26">
        <v>45500</v>
      </c>
      <c r="H7" s="23">
        <v>0.49930555555555556</v>
      </c>
      <c r="I7" s="26">
        <v>45508</v>
      </c>
      <c r="J7" s="23">
        <v>0.51527777777777772</v>
      </c>
      <c r="K7">
        <v>870</v>
      </c>
      <c r="M7" t="s">
        <v>206</v>
      </c>
      <c r="O7" t="s">
        <v>194</v>
      </c>
      <c r="Q7" t="s">
        <v>218</v>
      </c>
      <c r="U7" s="26">
        <v>45500</v>
      </c>
      <c r="V7" s="24">
        <v>0.50908564814814816</v>
      </c>
      <c r="X7">
        <v>27</v>
      </c>
      <c r="Y7">
        <v>25</v>
      </c>
      <c r="AB7">
        <v>11.3</v>
      </c>
      <c r="AC7">
        <v>0.1</v>
      </c>
      <c r="AD7">
        <v>31.6</v>
      </c>
      <c r="AE7">
        <v>0</v>
      </c>
      <c r="AF7">
        <v>0.27900000000000003</v>
      </c>
      <c r="AG7">
        <v>8.32</v>
      </c>
      <c r="AH7">
        <v>2.2999999999999998</v>
      </c>
      <c r="AI7">
        <v>-9.6999999999999993</v>
      </c>
      <c r="AK7">
        <v>1</v>
      </c>
      <c r="AX7">
        <v>10.3</v>
      </c>
      <c r="AY7">
        <v>26.03</v>
      </c>
      <c r="AZ7">
        <v>0</v>
      </c>
      <c r="BA7">
        <v>0.33400000000000002</v>
      </c>
      <c r="BB7">
        <v>6.9</v>
      </c>
      <c r="BC7">
        <v>2.2999999999999998</v>
      </c>
      <c r="BD7">
        <v>-9.4</v>
      </c>
      <c r="BF7">
        <v>1</v>
      </c>
    </row>
    <row r="8" spans="1:77" x14ac:dyDescent="0.25">
      <c r="A8" s="22" t="s">
        <v>275</v>
      </c>
      <c r="B8">
        <f t="shared" si="0"/>
        <v>6</v>
      </c>
      <c r="C8" t="s">
        <v>182</v>
      </c>
      <c r="D8" s="26">
        <v>45500</v>
      </c>
      <c r="E8" s="27">
        <v>18.341752</v>
      </c>
      <c r="F8">
        <v>66.049104</v>
      </c>
      <c r="G8" s="26">
        <v>45500</v>
      </c>
      <c r="H8" s="23">
        <v>0.50902777777777775</v>
      </c>
      <c r="I8" s="26">
        <v>45508</v>
      </c>
      <c r="J8" s="23">
        <v>0.52986111111111112</v>
      </c>
      <c r="K8">
        <v>110</v>
      </c>
      <c r="M8" t="s">
        <v>207</v>
      </c>
      <c r="O8" t="s">
        <v>195</v>
      </c>
      <c r="Q8" t="s">
        <v>219</v>
      </c>
      <c r="U8" s="26">
        <v>45500</v>
      </c>
      <c r="V8" s="24">
        <v>0.53978009259259263</v>
      </c>
      <c r="X8">
        <v>29</v>
      </c>
      <c r="Y8">
        <v>25</v>
      </c>
      <c r="AB8">
        <v>8.5</v>
      </c>
      <c r="AC8">
        <v>0.1</v>
      </c>
      <c r="AD8">
        <v>31.76</v>
      </c>
      <c r="AE8">
        <v>0</v>
      </c>
      <c r="AF8">
        <v>0.27900000000000003</v>
      </c>
      <c r="AG8">
        <v>8.3000000000000007</v>
      </c>
      <c r="AH8">
        <v>2.2999999999999998</v>
      </c>
      <c r="AI8">
        <v>-9.6999999999999993</v>
      </c>
      <c r="AK8">
        <v>1</v>
      </c>
      <c r="AX8">
        <v>7.5</v>
      </c>
      <c r="AY8">
        <v>26.86</v>
      </c>
      <c r="AZ8">
        <v>0</v>
      </c>
      <c r="BA8">
        <v>0.30099999999999999</v>
      </c>
      <c r="BB8">
        <v>7.06</v>
      </c>
      <c r="BC8">
        <v>2.2999999999999998</v>
      </c>
      <c r="BD8">
        <v>-9.4</v>
      </c>
      <c r="BF8">
        <v>1</v>
      </c>
    </row>
    <row r="9" spans="1:77" x14ac:dyDescent="0.25">
      <c r="A9" s="22" t="s">
        <v>275</v>
      </c>
      <c r="B9">
        <f t="shared" si="0"/>
        <v>7</v>
      </c>
      <c r="C9" t="s">
        <v>182</v>
      </c>
      <c r="D9" s="26">
        <v>45500</v>
      </c>
      <c r="E9" s="27">
        <v>18.341360000000002</v>
      </c>
      <c r="F9">
        <v>66.049380999999997</v>
      </c>
      <c r="G9" s="26">
        <v>45500</v>
      </c>
      <c r="H9" s="23">
        <v>0.53125</v>
      </c>
      <c r="I9" s="26">
        <v>45508</v>
      </c>
      <c r="J9" s="23">
        <v>0.54513888888888884</v>
      </c>
      <c r="K9">
        <v>155</v>
      </c>
      <c r="M9" t="s">
        <v>208</v>
      </c>
      <c r="O9" t="s">
        <v>196</v>
      </c>
      <c r="Q9" t="s">
        <v>220</v>
      </c>
      <c r="U9" s="26">
        <v>45500</v>
      </c>
      <c r="V9" s="24">
        <v>0.56587962962962968</v>
      </c>
      <c r="X9">
        <v>26</v>
      </c>
      <c r="Y9">
        <v>24</v>
      </c>
      <c r="AB9">
        <v>6.7</v>
      </c>
      <c r="AC9">
        <v>0.1</v>
      </c>
      <c r="AD9">
        <v>31.91</v>
      </c>
      <c r="AE9">
        <v>6.29</v>
      </c>
      <c r="AF9">
        <v>0.27900000000000003</v>
      </c>
      <c r="AG9">
        <v>8.2899999999999991</v>
      </c>
      <c r="AH9">
        <v>0.8</v>
      </c>
      <c r="AI9">
        <v>1.1000000000000001</v>
      </c>
      <c r="AX9">
        <v>5.7</v>
      </c>
      <c r="AY9">
        <v>29.11</v>
      </c>
      <c r="AZ9">
        <v>5.9</v>
      </c>
      <c r="BA9">
        <v>0.28599999999999998</v>
      </c>
      <c r="BB9">
        <v>7.41</v>
      </c>
      <c r="BC9">
        <v>9.1999999999999993</v>
      </c>
      <c r="BD9">
        <v>12.8</v>
      </c>
    </row>
    <row r="10" spans="1:77" x14ac:dyDescent="0.25">
      <c r="A10" s="22" t="s">
        <v>275</v>
      </c>
      <c r="B10">
        <f t="shared" si="0"/>
        <v>8</v>
      </c>
      <c r="C10" t="s">
        <v>182</v>
      </c>
      <c r="D10" s="26">
        <v>45500</v>
      </c>
      <c r="E10" s="27">
        <v>18.342555000000001</v>
      </c>
      <c r="F10">
        <v>66.049019000000001</v>
      </c>
      <c r="G10" s="26">
        <v>45500</v>
      </c>
      <c r="H10" s="23">
        <v>0.55486111111111114</v>
      </c>
      <c r="I10" s="26">
        <v>45508</v>
      </c>
      <c r="J10" s="23">
        <v>0.58125000000000004</v>
      </c>
      <c r="K10">
        <v>110</v>
      </c>
      <c r="M10" t="s">
        <v>209</v>
      </c>
      <c r="O10" t="s">
        <v>197</v>
      </c>
      <c r="Q10" t="s">
        <v>221</v>
      </c>
      <c r="U10" s="26">
        <v>45500</v>
      </c>
      <c r="V10" s="24">
        <v>0.58122685185185186</v>
      </c>
      <c r="X10">
        <v>26</v>
      </c>
      <c r="Y10">
        <v>23</v>
      </c>
      <c r="AB10">
        <v>6.9</v>
      </c>
      <c r="AC10">
        <v>0.1</v>
      </c>
      <c r="AD10">
        <v>32.44</v>
      </c>
      <c r="AE10">
        <v>6.86</v>
      </c>
      <c r="AF10">
        <v>0.28100000000000003</v>
      </c>
      <c r="AG10">
        <v>8.33</v>
      </c>
      <c r="AH10">
        <v>0.4</v>
      </c>
      <c r="AI10">
        <v>1.1000000000000001</v>
      </c>
      <c r="AX10">
        <v>5.9</v>
      </c>
      <c r="AY10">
        <v>28.68</v>
      </c>
      <c r="AZ10">
        <v>0.57999999999999996</v>
      </c>
      <c r="BA10">
        <v>0.28899999999999998</v>
      </c>
      <c r="BB10">
        <v>7.18</v>
      </c>
      <c r="BC10">
        <v>37.200000000000003</v>
      </c>
      <c r="BD10">
        <v>8.9</v>
      </c>
    </row>
    <row r="11" spans="1:77" x14ac:dyDescent="0.25">
      <c r="A11" s="22" t="s">
        <v>275</v>
      </c>
      <c r="B11">
        <f t="shared" si="0"/>
        <v>9</v>
      </c>
      <c r="C11" t="s">
        <v>182</v>
      </c>
      <c r="D11" s="26">
        <v>45500</v>
      </c>
      <c r="E11" s="27">
        <v>18.342359999999999</v>
      </c>
      <c r="F11">
        <v>66.044707000000002</v>
      </c>
      <c r="G11" s="26">
        <v>45500</v>
      </c>
      <c r="H11" s="23">
        <v>0.57291666666666663</v>
      </c>
      <c r="I11" s="26">
        <v>45508</v>
      </c>
      <c r="J11" s="23">
        <v>0.44374999999999998</v>
      </c>
      <c r="K11">
        <v>1005</v>
      </c>
      <c r="M11" t="s">
        <v>210</v>
      </c>
      <c r="O11" t="s">
        <v>198</v>
      </c>
      <c r="Q11" t="s">
        <v>222</v>
      </c>
      <c r="U11" s="26">
        <v>45500</v>
      </c>
      <c r="V11" s="24">
        <v>0.59516203703703707</v>
      </c>
      <c r="X11">
        <v>25</v>
      </c>
      <c r="Y11">
        <v>25</v>
      </c>
      <c r="AB11">
        <v>11.8</v>
      </c>
      <c r="AC11">
        <v>0.1</v>
      </c>
      <c r="AD11">
        <v>32.4</v>
      </c>
      <c r="AE11">
        <v>6.61</v>
      </c>
      <c r="AF11">
        <v>0.27800000000000002</v>
      </c>
      <c r="AG11">
        <v>8.33</v>
      </c>
      <c r="AH11">
        <v>1.2</v>
      </c>
      <c r="AI11">
        <v>1.1000000000000001</v>
      </c>
      <c r="AX11">
        <v>10.8</v>
      </c>
      <c r="AY11">
        <v>26.07</v>
      </c>
      <c r="AZ11">
        <v>0.56000000000000005</v>
      </c>
      <c r="BA11">
        <v>0.34200000000000003</v>
      </c>
      <c r="BB11">
        <v>6.87</v>
      </c>
      <c r="BC11">
        <v>5.7</v>
      </c>
      <c r="BD11">
        <v>2.9</v>
      </c>
    </row>
    <row r="12" spans="1:77" x14ac:dyDescent="0.25">
      <c r="A12" s="22" t="s">
        <v>275</v>
      </c>
      <c r="B12">
        <f t="shared" si="0"/>
        <v>10</v>
      </c>
      <c r="C12" t="s">
        <v>182</v>
      </c>
      <c r="D12" s="26">
        <v>45500</v>
      </c>
      <c r="E12" s="27">
        <v>18.34207</v>
      </c>
      <c r="F12">
        <v>66.049728999999999</v>
      </c>
      <c r="G12" s="26">
        <v>45500</v>
      </c>
      <c r="H12" s="23">
        <v>0.57916666666666672</v>
      </c>
      <c r="I12" s="26">
        <v>45508</v>
      </c>
      <c r="J12" s="23">
        <v>0.59930555555555554</v>
      </c>
      <c r="K12">
        <v>1570</v>
      </c>
      <c r="M12" t="s">
        <v>211</v>
      </c>
      <c r="O12" t="s">
        <v>199</v>
      </c>
      <c r="Q12" t="s">
        <v>223</v>
      </c>
      <c r="U12" s="26">
        <v>45500</v>
      </c>
      <c r="V12" s="24">
        <v>0.60921296296296301</v>
      </c>
      <c r="X12">
        <v>25</v>
      </c>
      <c r="Y12">
        <v>25</v>
      </c>
      <c r="AA12" t="s">
        <v>186</v>
      </c>
      <c r="AB12">
        <v>13.3</v>
      </c>
      <c r="AC12">
        <v>0.1</v>
      </c>
      <c r="AD12">
        <v>32.33</v>
      </c>
      <c r="AE12">
        <v>7.01</v>
      </c>
      <c r="AF12">
        <v>0.27800000000000002</v>
      </c>
      <c r="AG12">
        <v>8.33</v>
      </c>
      <c r="AH12">
        <v>1.5</v>
      </c>
      <c r="AI12">
        <v>1.1000000000000001</v>
      </c>
      <c r="AX12">
        <v>12.3</v>
      </c>
      <c r="AY12">
        <v>25.98</v>
      </c>
      <c r="AZ12">
        <v>0.57999999999999996</v>
      </c>
      <c r="BA12">
        <v>0.34399999999999997</v>
      </c>
      <c r="BB12">
        <v>6.84</v>
      </c>
      <c r="BC12">
        <v>5</v>
      </c>
      <c r="BD12">
        <v>2.2000000000000002</v>
      </c>
    </row>
    <row r="13" spans="1:77" ht="15" customHeight="1" x14ac:dyDescent="0.25">
      <c r="A13" s="22" t="s">
        <v>275</v>
      </c>
      <c r="B13">
        <f t="shared" si="0"/>
        <v>11</v>
      </c>
      <c r="C13" t="s">
        <v>182</v>
      </c>
      <c r="D13" s="26">
        <v>45500</v>
      </c>
      <c r="E13" s="27">
        <v>18.345645000000001</v>
      </c>
      <c r="F13">
        <v>66.046541000000005</v>
      </c>
      <c r="G13" s="26">
        <v>45500</v>
      </c>
      <c r="H13" s="23">
        <v>0.60069444444444442</v>
      </c>
      <c r="I13" s="26">
        <v>45508</v>
      </c>
      <c r="J13" s="23">
        <v>0.62152777777777779</v>
      </c>
      <c r="K13">
        <v>1335</v>
      </c>
      <c r="M13" t="s">
        <v>212</v>
      </c>
      <c r="O13" t="s">
        <v>200</v>
      </c>
      <c r="Q13" t="s">
        <v>224</v>
      </c>
      <c r="U13" s="26">
        <v>45500</v>
      </c>
      <c r="V13" s="24">
        <v>0.65659722222222228</v>
      </c>
      <c r="X13">
        <v>25</v>
      </c>
      <c r="Y13">
        <v>22</v>
      </c>
      <c r="AB13">
        <v>2.8</v>
      </c>
      <c r="AC13">
        <v>0.1</v>
      </c>
      <c r="AD13">
        <v>31.94</v>
      </c>
      <c r="AE13">
        <v>6.27</v>
      </c>
      <c r="AF13">
        <v>0.28100000000000003</v>
      </c>
      <c r="AG13">
        <v>8.0500000000000007</v>
      </c>
      <c r="AH13">
        <v>2.5</v>
      </c>
      <c r="AI13">
        <v>3.1</v>
      </c>
      <c r="AX13">
        <v>2.2999999999999998</v>
      </c>
      <c r="AY13">
        <v>31.05</v>
      </c>
      <c r="AZ13">
        <v>4.1399999999999997</v>
      </c>
      <c r="BA13">
        <v>0.28199999999999997</v>
      </c>
      <c r="BB13">
        <v>7.66</v>
      </c>
      <c r="BC13">
        <v>5.8</v>
      </c>
      <c r="BD13">
        <v>34.5</v>
      </c>
    </row>
    <row r="14" spans="1:77" x14ac:dyDescent="0.25">
      <c r="A14" s="22" t="s">
        <v>275</v>
      </c>
      <c r="B14">
        <f t="shared" si="0"/>
        <v>12</v>
      </c>
      <c r="C14" t="s">
        <v>182</v>
      </c>
      <c r="D14" s="26">
        <v>45500</v>
      </c>
      <c r="E14" s="27">
        <v>18.343734999999999</v>
      </c>
      <c r="F14">
        <v>66.048371000000003</v>
      </c>
      <c r="G14" s="26">
        <v>45500</v>
      </c>
      <c r="H14" s="23">
        <v>0.65347222222222223</v>
      </c>
      <c r="I14" s="26">
        <v>45508</v>
      </c>
      <c r="J14" s="23">
        <v>0.63611111111111107</v>
      </c>
      <c r="K14">
        <v>435</v>
      </c>
      <c r="M14" t="s">
        <v>213</v>
      </c>
      <c r="O14" t="s">
        <v>201</v>
      </c>
      <c r="Q14" t="s">
        <v>225</v>
      </c>
      <c r="U14" s="26">
        <v>45500</v>
      </c>
      <c r="V14" s="24">
        <v>0.67100694444444442</v>
      </c>
      <c r="X14">
        <v>20</v>
      </c>
      <c r="Y14">
        <v>28</v>
      </c>
      <c r="AB14">
        <v>6.9</v>
      </c>
      <c r="AC14">
        <v>0.1</v>
      </c>
      <c r="AD14">
        <v>32.68</v>
      </c>
      <c r="AE14">
        <v>6.76</v>
      </c>
      <c r="AF14">
        <v>0.28000000000000003</v>
      </c>
      <c r="AG14">
        <v>8.2899999999999991</v>
      </c>
      <c r="AH14">
        <v>1</v>
      </c>
      <c r="AI14">
        <v>1.7</v>
      </c>
      <c r="AX14">
        <v>5.9</v>
      </c>
      <c r="AY14">
        <v>28.39</v>
      </c>
      <c r="AZ14">
        <v>1</v>
      </c>
      <c r="BA14">
        <v>0.29599999999999999</v>
      </c>
      <c r="BB14">
        <v>7.07</v>
      </c>
      <c r="BC14">
        <v>35.700000000000003</v>
      </c>
      <c r="BD14">
        <v>19.7</v>
      </c>
    </row>
    <row r="15" spans="1:77" x14ac:dyDescent="0.25">
      <c r="A15" s="22" t="s">
        <v>275</v>
      </c>
      <c r="B15">
        <f t="shared" si="0"/>
        <v>13</v>
      </c>
      <c r="C15" t="s">
        <v>182</v>
      </c>
      <c r="D15" s="26">
        <v>45500</v>
      </c>
      <c r="E15" s="27">
        <v>18.342952</v>
      </c>
      <c r="F15">
        <v>66.049171000000001</v>
      </c>
      <c r="G15" s="26">
        <v>45500</v>
      </c>
      <c r="H15" s="23">
        <v>0.65972222222222221</v>
      </c>
      <c r="I15" s="26">
        <v>45508</v>
      </c>
      <c r="J15" s="23">
        <v>0.65347222222222223</v>
      </c>
      <c r="K15">
        <v>1005</v>
      </c>
      <c r="M15" t="s">
        <v>214</v>
      </c>
      <c r="O15" t="s">
        <v>202</v>
      </c>
      <c r="Q15" t="s">
        <v>226</v>
      </c>
      <c r="U15" s="26">
        <v>45500</v>
      </c>
      <c r="V15" s="24">
        <v>0.68975694444444446</v>
      </c>
      <c r="X15">
        <v>23</v>
      </c>
      <c r="Y15">
        <v>25</v>
      </c>
      <c r="AB15">
        <v>11.5</v>
      </c>
      <c r="AC15">
        <v>0.1</v>
      </c>
      <c r="AD15">
        <v>32.799999999999997</v>
      </c>
      <c r="AE15">
        <v>6.72</v>
      </c>
      <c r="AF15">
        <v>0.28000000000000003</v>
      </c>
      <c r="AG15">
        <v>8.34</v>
      </c>
      <c r="AH15">
        <v>1.1000000000000001</v>
      </c>
      <c r="AI15">
        <v>1.3</v>
      </c>
      <c r="AX15">
        <v>10.5</v>
      </c>
      <c r="AY15">
        <v>26.18</v>
      </c>
      <c r="AZ15">
        <v>0.76</v>
      </c>
      <c r="BA15">
        <v>0.40899999999999997</v>
      </c>
      <c r="BB15">
        <v>6.43</v>
      </c>
      <c r="BC15">
        <v>31.5</v>
      </c>
      <c r="BD15">
        <v>9.5</v>
      </c>
    </row>
    <row r="16" spans="1:77" x14ac:dyDescent="0.25">
      <c r="A16" s="22" t="s">
        <v>275</v>
      </c>
      <c r="B16">
        <f t="shared" si="0"/>
        <v>14</v>
      </c>
      <c r="C16" t="s">
        <v>182</v>
      </c>
      <c r="D16" s="26">
        <v>45500</v>
      </c>
      <c r="E16" s="27">
        <v>18.342828000000001</v>
      </c>
      <c r="F16">
        <v>66.050072</v>
      </c>
      <c r="G16" s="26">
        <v>45500</v>
      </c>
      <c r="H16" s="23">
        <v>0.66388888888888886</v>
      </c>
      <c r="I16" s="26">
        <v>45508</v>
      </c>
      <c r="J16" s="23">
        <v>0.66597222222222219</v>
      </c>
      <c r="K16">
        <v>145</v>
      </c>
      <c r="M16" t="s">
        <v>215</v>
      </c>
      <c r="O16" t="s">
        <v>203</v>
      </c>
      <c r="Q16" t="s">
        <v>227</v>
      </c>
      <c r="U16" s="26">
        <v>45500</v>
      </c>
      <c r="V16" s="24">
        <v>0.70151620370370371</v>
      </c>
      <c r="X16">
        <v>25</v>
      </c>
      <c r="Y16">
        <v>21</v>
      </c>
      <c r="AB16">
        <v>4.5999999999999996</v>
      </c>
      <c r="AC16">
        <v>0.1</v>
      </c>
      <c r="AD16">
        <v>32.79</v>
      </c>
      <c r="AE16">
        <v>6.89</v>
      </c>
      <c r="AF16">
        <v>0.28000000000000003</v>
      </c>
      <c r="AG16">
        <v>8.35</v>
      </c>
      <c r="AH16">
        <v>1.3</v>
      </c>
      <c r="AI16">
        <v>0.8</v>
      </c>
      <c r="AX16">
        <v>3.6</v>
      </c>
      <c r="AY16">
        <v>30.56</v>
      </c>
      <c r="AZ16">
        <v>3.96</v>
      </c>
      <c r="BA16">
        <v>0.28000000000000003</v>
      </c>
      <c r="BB16">
        <v>7.86</v>
      </c>
      <c r="BC16">
        <v>5.2</v>
      </c>
      <c r="BD16">
        <v>116</v>
      </c>
    </row>
    <row r="17" spans="1:56" x14ac:dyDescent="0.25">
      <c r="A17" s="22" t="s">
        <v>275</v>
      </c>
      <c r="B17">
        <f t="shared" si="0"/>
        <v>15</v>
      </c>
      <c r="C17" t="s">
        <v>182</v>
      </c>
      <c r="D17" s="26">
        <v>45500</v>
      </c>
      <c r="E17" s="27">
        <v>18.341881999999998</v>
      </c>
      <c r="F17">
        <v>66.050622000000004</v>
      </c>
      <c r="G17" s="26">
        <v>45500</v>
      </c>
      <c r="H17" s="23">
        <v>0.66874999999999996</v>
      </c>
      <c r="I17" s="26">
        <v>45508</v>
      </c>
      <c r="J17" s="23">
        <v>0.69027777777777777</v>
      </c>
      <c r="K17">
        <v>1205</v>
      </c>
      <c r="M17" s="28" t="s">
        <v>229</v>
      </c>
      <c r="O17" s="28" t="s">
        <v>245</v>
      </c>
      <c r="P17" t="s">
        <v>184</v>
      </c>
      <c r="Q17" s="28" t="s">
        <v>260</v>
      </c>
      <c r="U17" s="26">
        <v>45500</v>
      </c>
      <c r="V17" s="24">
        <v>0.72594907407407405</v>
      </c>
      <c r="X17">
        <v>25</v>
      </c>
      <c r="Y17">
        <v>20</v>
      </c>
      <c r="AA17" t="s">
        <v>185</v>
      </c>
      <c r="AB17">
        <v>6.7</v>
      </c>
      <c r="AC17">
        <v>0.1</v>
      </c>
      <c r="AD17">
        <v>32.82</v>
      </c>
      <c r="AE17">
        <v>6.72</v>
      </c>
      <c r="AF17">
        <v>0.28000000000000003</v>
      </c>
      <c r="AG17">
        <v>8.33</v>
      </c>
      <c r="AH17">
        <v>1</v>
      </c>
      <c r="AI17">
        <v>0.8</v>
      </c>
      <c r="AX17">
        <v>5.7</v>
      </c>
      <c r="AY17">
        <v>29</v>
      </c>
      <c r="AZ17">
        <v>0.65</v>
      </c>
      <c r="BA17">
        <v>0.29299999999999998</v>
      </c>
      <c r="BB17">
        <v>7.19</v>
      </c>
      <c r="BC17">
        <v>23.9</v>
      </c>
      <c r="BD17">
        <v>29.2</v>
      </c>
    </row>
    <row r="18" spans="1:56" x14ac:dyDescent="0.25">
      <c r="A18" s="22" t="s">
        <v>275</v>
      </c>
      <c r="B18">
        <f t="shared" si="0"/>
        <v>16</v>
      </c>
      <c r="C18" t="s">
        <v>182</v>
      </c>
      <c r="D18" s="26">
        <v>45508</v>
      </c>
      <c r="E18" s="27">
        <v>18.338950000000001</v>
      </c>
      <c r="F18">
        <v>66.041876000000002</v>
      </c>
      <c r="G18" s="26">
        <v>45508</v>
      </c>
      <c r="H18" s="23">
        <v>0.39930555555555558</v>
      </c>
      <c r="I18" s="26">
        <v>45514</v>
      </c>
      <c r="J18" s="23">
        <v>0.36319444444444443</v>
      </c>
      <c r="K18">
        <v>1955</v>
      </c>
      <c r="M18" t="s">
        <v>230</v>
      </c>
      <c r="O18" t="s">
        <v>246</v>
      </c>
      <c r="Q18" t="s">
        <v>261</v>
      </c>
      <c r="U18" s="26">
        <v>45508</v>
      </c>
      <c r="V18" s="24">
        <v>0.37703703703703706</v>
      </c>
      <c r="X18">
        <v>20</v>
      </c>
      <c r="Y18">
        <v>27</v>
      </c>
      <c r="AB18">
        <v>1.1000000000000001</v>
      </c>
      <c r="AC18">
        <v>0.1</v>
      </c>
      <c r="AD18">
        <v>29.66</v>
      </c>
      <c r="AE18">
        <v>6.3</v>
      </c>
      <c r="AF18">
        <v>0.27100000000000002</v>
      </c>
      <c r="AG18">
        <v>8.06</v>
      </c>
      <c r="AH18">
        <v>2</v>
      </c>
      <c r="AI18">
        <v>3.6</v>
      </c>
      <c r="AX18">
        <v>0.6</v>
      </c>
      <c r="AY18">
        <v>29.35</v>
      </c>
      <c r="AZ18">
        <v>5.48</v>
      </c>
      <c r="BA18">
        <v>0.27400000000000002</v>
      </c>
      <c r="BB18">
        <v>7.79</v>
      </c>
      <c r="BC18">
        <v>2.2000000000000002</v>
      </c>
      <c r="BD18">
        <v>8.5</v>
      </c>
    </row>
    <row r="19" spans="1:56" x14ac:dyDescent="0.25">
      <c r="A19" s="22" t="s">
        <v>275</v>
      </c>
      <c r="B19">
        <f t="shared" si="0"/>
        <v>17</v>
      </c>
      <c r="C19" t="s">
        <v>182</v>
      </c>
      <c r="D19" s="26">
        <v>45508</v>
      </c>
      <c r="E19" s="27">
        <v>18.339580000000002</v>
      </c>
      <c r="F19">
        <v>66.043486999999999</v>
      </c>
      <c r="G19" s="26">
        <v>45508</v>
      </c>
      <c r="H19" s="23">
        <v>0.38958333333333334</v>
      </c>
      <c r="I19" s="26">
        <v>45514</v>
      </c>
      <c r="J19" s="23">
        <v>0.37916666666666665</v>
      </c>
      <c r="K19">
        <v>920</v>
      </c>
      <c r="M19" t="s">
        <v>231</v>
      </c>
      <c r="O19" t="s">
        <v>247</v>
      </c>
      <c r="Q19" t="s">
        <v>262</v>
      </c>
      <c r="U19" s="26">
        <v>45508</v>
      </c>
      <c r="V19" s="24">
        <v>0.39420138888888889</v>
      </c>
      <c r="X19">
        <v>27</v>
      </c>
      <c r="Y19">
        <v>20</v>
      </c>
      <c r="AB19">
        <v>4.7</v>
      </c>
      <c r="AC19">
        <v>0.1</v>
      </c>
      <c r="AD19">
        <v>28.89</v>
      </c>
      <c r="AE19">
        <v>1.27</v>
      </c>
      <c r="AF19">
        <v>0.27100000000000002</v>
      </c>
      <c r="AG19">
        <v>8.11</v>
      </c>
      <c r="AH19">
        <v>2.2000000000000002</v>
      </c>
      <c r="AI19">
        <v>3</v>
      </c>
      <c r="AX19">
        <v>3.7</v>
      </c>
      <c r="AY19">
        <v>29.37</v>
      </c>
      <c r="AZ19">
        <v>7.32</v>
      </c>
      <c r="BA19">
        <v>0.27700000000000002</v>
      </c>
      <c r="BB19">
        <v>7.73</v>
      </c>
      <c r="BC19">
        <v>4</v>
      </c>
      <c r="BD19">
        <v>8.8000000000000007</v>
      </c>
    </row>
    <row r="20" spans="1:56" x14ac:dyDescent="0.25">
      <c r="A20" s="22" t="s">
        <v>275</v>
      </c>
      <c r="B20">
        <f t="shared" si="0"/>
        <v>18</v>
      </c>
      <c r="C20" t="s">
        <v>182</v>
      </c>
      <c r="D20" s="26">
        <v>45508</v>
      </c>
      <c r="E20" s="27">
        <v>18.340039999999998</v>
      </c>
      <c r="F20">
        <v>66.048209</v>
      </c>
      <c r="G20" s="26">
        <v>45508</v>
      </c>
      <c r="H20" s="23">
        <v>0.48402777777777778</v>
      </c>
      <c r="I20" s="26">
        <v>45514</v>
      </c>
      <c r="J20" s="23">
        <v>0.39513888888888887</v>
      </c>
      <c r="K20">
        <v>975</v>
      </c>
      <c r="M20" t="s">
        <v>232</v>
      </c>
      <c r="O20" t="s">
        <v>248</v>
      </c>
      <c r="Q20" t="s">
        <v>263</v>
      </c>
      <c r="U20" s="26">
        <v>45508</v>
      </c>
      <c r="V20" s="24">
        <v>0.41366898148148146</v>
      </c>
      <c r="X20">
        <v>23</v>
      </c>
      <c r="Y20">
        <v>25</v>
      </c>
      <c r="AB20">
        <v>7.8</v>
      </c>
      <c r="AC20">
        <v>0.1</v>
      </c>
      <c r="AD20">
        <v>30.11</v>
      </c>
      <c r="AE20">
        <v>6.84</v>
      </c>
      <c r="AF20">
        <v>0.27</v>
      </c>
      <c r="AG20">
        <v>8.02</v>
      </c>
      <c r="AH20">
        <v>2.2000000000000002</v>
      </c>
      <c r="AI20">
        <v>2.8</v>
      </c>
      <c r="AX20">
        <v>6.8</v>
      </c>
      <c r="AY20">
        <v>27.69</v>
      </c>
      <c r="AZ20">
        <v>1.44</v>
      </c>
      <c r="BA20">
        <v>0.28699999999999998</v>
      </c>
      <c r="BB20">
        <v>7.04</v>
      </c>
      <c r="BC20">
        <v>46.2</v>
      </c>
      <c r="BD20">
        <v>11.1</v>
      </c>
    </row>
    <row r="21" spans="1:56" x14ac:dyDescent="0.25">
      <c r="A21" s="22" t="s">
        <v>275</v>
      </c>
      <c r="B21">
        <f t="shared" si="0"/>
        <v>19</v>
      </c>
      <c r="C21" t="s">
        <v>182</v>
      </c>
      <c r="D21" s="26">
        <v>45508</v>
      </c>
      <c r="E21" s="27">
        <v>18.34252</v>
      </c>
      <c r="F21">
        <v>66.048683999999994</v>
      </c>
      <c r="G21" s="26">
        <v>45508</v>
      </c>
      <c r="H21" s="23">
        <v>0.48888888888888887</v>
      </c>
      <c r="I21" s="26">
        <v>45514</v>
      </c>
      <c r="J21" s="23">
        <v>0.40625</v>
      </c>
      <c r="K21">
        <v>545</v>
      </c>
      <c r="M21" t="s">
        <v>233</v>
      </c>
      <c r="O21" t="s">
        <v>249</v>
      </c>
      <c r="Q21" t="s">
        <v>264</v>
      </c>
      <c r="U21" s="26">
        <v>45508</v>
      </c>
      <c r="V21" s="24">
        <v>0.45376157407407408</v>
      </c>
      <c r="X21">
        <v>25</v>
      </c>
      <c r="Y21">
        <v>23</v>
      </c>
      <c r="AB21">
        <v>3.8</v>
      </c>
      <c r="AC21">
        <v>0.1</v>
      </c>
      <c r="AD21">
        <v>30.19</v>
      </c>
      <c r="AE21">
        <v>7.53</v>
      </c>
      <c r="AF21">
        <v>0.27100000000000002</v>
      </c>
      <c r="AG21">
        <v>8.1</v>
      </c>
      <c r="AH21">
        <v>2</v>
      </c>
      <c r="AI21">
        <v>2.2999999999999998</v>
      </c>
      <c r="AX21">
        <v>3.3</v>
      </c>
      <c r="AY21">
        <v>29.62</v>
      </c>
      <c r="AZ21">
        <v>4.88</v>
      </c>
      <c r="BA21">
        <v>0.27100000000000002</v>
      </c>
      <c r="BB21">
        <v>7.87</v>
      </c>
      <c r="BC21">
        <v>3.6</v>
      </c>
      <c r="BD21">
        <v>4.0999999999999996</v>
      </c>
    </row>
    <row r="22" spans="1:56" x14ac:dyDescent="0.25">
      <c r="A22" s="22" t="s">
        <v>275</v>
      </c>
      <c r="B22">
        <f t="shared" si="0"/>
        <v>20</v>
      </c>
      <c r="C22" t="s">
        <v>182</v>
      </c>
      <c r="D22" s="26">
        <v>45508</v>
      </c>
      <c r="E22" s="27">
        <v>18.342054999999998</v>
      </c>
      <c r="F22">
        <v>66.048631999999998</v>
      </c>
      <c r="G22" s="26">
        <v>45508</v>
      </c>
      <c r="H22" s="23">
        <v>0.50208333333333333</v>
      </c>
      <c r="I22" s="26">
        <v>45514</v>
      </c>
      <c r="J22" s="23">
        <v>0.43055555555555558</v>
      </c>
      <c r="K22">
        <v>635</v>
      </c>
      <c r="M22" t="s">
        <v>234</v>
      </c>
      <c r="O22" t="s">
        <v>250</v>
      </c>
      <c r="Q22" t="s">
        <v>265</v>
      </c>
      <c r="U22" s="26">
        <v>45508</v>
      </c>
      <c r="V22" s="24">
        <v>0.46857638888888886</v>
      </c>
      <c r="X22">
        <v>25</v>
      </c>
      <c r="Y22">
        <v>20</v>
      </c>
      <c r="AB22">
        <v>5.5</v>
      </c>
      <c r="AC22">
        <v>0.1</v>
      </c>
      <c r="AD22">
        <v>30.25</v>
      </c>
      <c r="AE22">
        <v>6.27</v>
      </c>
      <c r="AF22">
        <v>0.27200000000000002</v>
      </c>
      <c r="AG22">
        <v>8.16</v>
      </c>
      <c r="AH22">
        <v>1.3</v>
      </c>
      <c r="AI22">
        <v>2.5</v>
      </c>
      <c r="AX22">
        <v>4.5</v>
      </c>
      <c r="AY22">
        <v>29.29</v>
      </c>
      <c r="AZ22">
        <v>0.88</v>
      </c>
      <c r="BA22">
        <v>0.26800000000000002</v>
      </c>
      <c r="BB22">
        <v>7.38</v>
      </c>
      <c r="BC22">
        <v>10.1</v>
      </c>
      <c r="BD22">
        <v>4.0999999999999996</v>
      </c>
    </row>
    <row r="23" spans="1:56" x14ac:dyDescent="0.25">
      <c r="A23" s="22" t="s">
        <v>275</v>
      </c>
      <c r="B23">
        <f t="shared" si="0"/>
        <v>21</v>
      </c>
      <c r="C23" t="s">
        <v>182</v>
      </c>
      <c r="D23" s="26">
        <v>45508</v>
      </c>
      <c r="E23" s="27">
        <v>18.341867000000001</v>
      </c>
      <c r="F23">
        <v>66.048558999999997</v>
      </c>
      <c r="G23" s="26">
        <v>45508</v>
      </c>
      <c r="H23" s="23">
        <v>0.52222222222222225</v>
      </c>
      <c r="I23" s="26">
        <v>45514</v>
      </c>
      <c r="J23" s="23">
        <v>0.44722222222222224</v>
      </c>
      <c r="K23">
        <v>1080</v>
      </c>
      <c r="M23" t="s">
        <v>235</v>
      </c>
      <c r="O23" t="s">
        <v>251</v>
      </c>
      <c r="Q23" t="s">
        <v>266</v>
      </c>
      <c r="U23" s="26">
        <v>45508</v>
      </c>
      <c r="V23" s="24">
        <v>0.48474537037037035</v>
      </c>
      <c r="X23">
        <v>25</v>
      </c>
      <c r="Y23">
        <v>20</v>
      </c>
      <c r="AB23">
        <v>12.1</v>
      </c>
      <c r="AC23">
        <v>0.1</v>
      </c>
      <c r="AD23">
        <v>30.27</v>
      </c>
      <c r="AE23">
        <v>0</v>
      </c>
      <c r="AF23">
        <v>0.26700000000000002</v>
      </c>
      <c r="AG23">
        <v>8.16</v>
      </c>
      <c r="AH23">
        <v>1.6</v>
      </c>
      <c r="AI23">
        <v>2.2999999999999998</v>
      </c>
      <c r="AK23">
        <v>1</v>
      </c>
      <c r="AX23">
        <v>11.1</v>
      </c>
      <c r="AY23">
        <v>26.07</v>
      </c>
      <c r="AZ23">
        <v>0.57999999999999996</v>
      </c>
      <c r="BA23">
        <v>0.34</v>
      </c>
      <c r="BB23">
        <v>6.85</v>
      </c>
      <c r="BC23">
        <v>6</v>
      </c>
      <c r="BD23">
        <v>1.8</v>
      </c>
    </row>
    <row r="24" spans="1:56" ht="45" x14ac:dyDescent="0.25">
      <c r="A24" s="22" t="s">
        <v>275</v>
      </c>
      <c r="B24">
        <f t="shared" si="0"/>
        <v>22</v>
      </c>
      <c r="C24" t="s">
        <v>182</v>
      </c>
      <c r="D24" s="26">
        <v>45508</v>
      </c>
      <c r="E24" s="27">
        <v>18.340890000000002</v>
      </c>
      <c r="F24">
        <v>66.048963999999998</v>
      </c>
      <c r="G24" s="26">
        <v>45508</v>
      </c>
      <c r="H24" s="23">
        <v>0.53333333333333333</v>
      </c>
      <c r="I24" s="26">
        <v>45514</v>
      </c>
      <c r="J24" s="23">
        <v>0.45763888888888887</v>
      </c>
      <c r="K24">
        <v>355</v>
      </c>
      <c r="M24" t="s">
        <v>236</v>
      </c>
      <c r="O24" t="s">
        <v>252</v>
      </c>
      <c r="Q24" t="s">
        <v>267</v>
      </c>
      <c r="T24" s="30" t="s">
        <v>190</v>
      </c>
      <c r="U24" s="26">
        <v>45508</v>
      </c>
      <c r="V24" s="24">
        <v>0.5043171296296296</v>
      </c>
      <c r="X24">
        <v>25</v>
      </c>
      <c r="Y24">
        <v>25</v>
      </c>
      <c r="AB24">
        <v>3.5</v>
      </c>
      <c r="AC24">
        <v>0.1</v>
      </c>
      <c r="AD24">
        <v>30.56</v>
      </c>
      <c r="AE24">
        <v>2.58</v>
      </c>
      <c r="AF24">
        <v>0.27200000000000002</v>
      </c>
      <c r="AG24">
        <v>8.0500000000000007</v>
      </c>
      <c r="AH24">
        <v>1.8</v>
      </c>
      <c r="AI24">
        <v>2.7</v>
      </c>
      <c r="AX24">
        <v>3</v>
      </c>
      <c r="AY24">
        <v>30.04</v>
      </c>
      <c r="AZ24">
        <v>5.69</v>
      </c>
      <c r="BA24">
        <v>0.27200000000000002</v>
      </c>
      <c r="BB24">
        <v>7.59</v>
      </c>
      <c r="BC24">
        <v>3.6</v>
      </c>
      <c r="BD24">
        <v>6.5</v>
      </c>
    </row>
    <row r="25" spans="1:56" x14ac:dyDescent="0.25">
      <c r="A25" s="22" t="s">
        <v>275</v>
      </c>
      <c r="B25">
        <f t="shared" si="0"/>
        <v>23</v>
      </c>
      <c r="C25" t="s">
        <v>182</v>
      </c>
      <c r="D25" s="26">
        <v>45508</v>
      </c>
      <c r="E25" s="27">
        <v>18.342002999999998</v>
      </c>
      <c r="F25">
        <v>66.049377000000007</v>
      </c>
      <c r="G25" s="26">
        <v>45508</v>
      </c>
      <c r="H25" s="29">
        <v>0.55138888888888893</v>
      </c>
      <c r="I25" s="26">
        <v>45514</v>
      </c>
      <c r="J25" s="23">
        <v>0.47222222222222221</v>
      </c>
      <c r="K25">
        <v>800</v>
      </c>
      <c r="M25" t="s">
        <v>237</v>
      </c>
      <c r="O25" t="s">
        <v>253</v>
      </c>
      <c r="Q25" t="s">
        <v>268</v>
      </c>
      <c r="U25" s="26">
        <v>45508</v>
      </c>
      <c r="V25" s="24">
        <v>0.52718750000000003</v>
      </c>
      <c r="X25">
        <v>25</v>
      </c>
      <c r="Y25">
        <v>25</v>
      </c>
      <c r="AB25">
        <v>13.4</v>
      </c>
      <c r="AC25">
        <v>0.1</v>
      </c>
      <c r="AD25">
        <v>30.57</v>
      </c>
      <c r="AE25">
        <v>6.6</v>
      </c>
      <c r="AF25">
        <v>0.27200000000000002</v>
      </c>
      <c r="AG25">
        <v>8.2100000000000009</v>
      </c>
      <c r="AH25">
        <v>1.7</v>
      </c>
      <c r="AI25">
        <v>2.2000000000000002</v>
      </c>
      <c r="AX25">
        <v>12.4</v>
      </c>
      <c r="AY25">
        <v>26.02</v>
      </c>
      <c r="AZ25">
        <v>0.46</v>
      </c>
      <c r="BA25">
        <v>0.34799999999999998</v>
      </c>
      <c r="BB25">
        <v>6.81</v>
      </c>
      <c r="BC25">
        <v>6</v>
      </c>
      <c r="BD25">
        <v>1.7</v>
      </c>
    </row>
    <row r="26" spans="1:56" x14ac:dyDescent="0.25">
      <c r="A26" s="22" t="s">
        <v>275</v>
      </c>
      <c r="B26">
        <f t="shared" si="0"/>
        <v>24</v>
      </c>
      <c r="C26" t="s">
        <v>182</v>
      </c>
      <c r="D26" s="26">
        <v>45508</v>
      </c>
      <c r="E26" s="27">
        <v>18.341822000000001</v>
      </c>
      <c r="F26">
        <v>66.049645999999996</v>
      </c>
      <c r="G26" s="26">
        <v>45508</v>
      </c>
      <c r="H26" s="29">
        <v>0.5854166666666667</v>
      </c>
      <c r="I26" s="26">
        <v>45514</v>
      </c>
      <c r="J26" s="23">
        <v>0.4826388888888889</v>
      </c>
      <c r="K26">
        <v>295</v>
      </c>
      <c r="M26" t="s">
        <v>238</v>
      </c>
      <c r="O26" t="s">
        <v>254</v>
      </c>
      <c r="Q26" t="s">
        <v>269</v>
      </c>
      <c r="U26" s="26">
        <v>45508</v>
      </c>
      <c r="V26" s="24">
        <v>0.6049768518518519</v>
      </c>
      <c r="X26">
        <v>25</v>
      </c>
      <c r="Y26">
        <v>20</v>
      </c>
      <c r="AB26">
        <v>12.1</v>
      </c>
      <c r="AC26">
        <v>0.1</v>
      </c>
      <c r="AD26">
        <v>30.64</v>
      </c>
      <c r="AE26">
        <v>7.29</v>
      </c>
      <c r="AF26">
        <v>0.27</v>
      </c>
      <c r="AG26">
        <v>8.2200000000000006</v>
      </c>
      <c r="AH26">
        <v>1.7</v>
      </c>
      <c r="AI26">
        <v>2</v>
      </c>
      <c r="AX26">
        <v>11.1</v>
      </c>
      <c r="AY26">
        <v>26.04</v>
      </c>
      <c r="AZ26">
        <v>0.46</v>
      </c>
      <c r="BA26">
        <v>0.34200000000000003</v>
      </c>
      <c r="BB26">
        <v>6.82</v>
      </c>
      <c r="BC26">
        <v>6.1</v>
      </c>
      <c r="BD26">
        <v>1.9</v>
      </c>
    </row>
    <row r="27" spans="1:56" x14ac:dyDescent="0.25">
      <c r="A27" s="22" t="s">
        <v>275</v>
      </c>
      <c r="B27">
        <f t="shared" si="0"/>
        <v>25</v>
      </c>
      <c r="C27" t="s">
        <v>182</v>
      </c>
      <c r="D27" s="26">
        <v>45508</v>
      </c>
      <c r="E27" s="27">
        <v>18.345443</v>
      </c>
      <c r="F27">
        <v>66.046700999999999</v>
      </c>
      <c r="G27" s="26">
        <v>45508</v>
      </c>
      <c r="H27" s="29">
        <v>0.60833333333333328</v>
      </c>
      <c r="I27" s="26">
        <v>45514</v>
      </c>
      <c r="J27" s="23">
        <v>0.49930555555555556</v>
      </c>
      <c r="K27">
        <v>1450</v>
      </c>
      <c r="M27" t="s">
        <v>239</v>
      </c>
      <c r="O27" t="s">
        <v>255</v>
      </c>
      <c r="Q27" t="s">
        <v>270</v>
      </c>
      <c r="U27" s="26">
        <v>45508</v>
      </c>
      <c r="V27" s="24">
        <v>0.56187500000000001</v>
      </c>
      <c r="X27">
        <v>15</v>
      </c>
      <c r="Y27">
        <v>20</v>
      </c>
      <c r="AB27">
        <v>2.4</v>
      </c>
      <c r="AC27">
        <v>0.1</v>
      </c>
      <c r="AD27">
        <v>30.81</v>
      </c>
      <c r="AE27">
        <v>6.32</v>
      </c>
      <c r="AF27">
        <v>0.27300000000000002</v>
      </c>
      <c r="AG27">
        <v>7.94</v>
      </c>
      <c r="AH27">
        <v>3.2</v>
      </c>
      <c r="AI27">
        <v>3.1</v>
      </c>
      <c r="AX27">
        <v>1.9</v>
      </c>
      <c r="AY27">
        <v>29.97</v>
      </c>
      <c r="AZ27">
        <v>5.37</v>
      </c>
      <c r="BA27">
        <v>0.27300000000000002</v>
      </c>
      <c r="BB27">
        <v>7.74</v>
      </c>
      <c r="BC27">
        <v>4.0999999999999996</v>
      </c>
      <c r="BD27">
        <v>5.3</v>
      </c>
    </row>
    <row r="28" spans="1:56" ht="30" x14ac:dyDescent="0.25">
      <c r="A28" s="22" t="s">
        <v>275</v>
      </c>
      <c r="B28">
        <f t="shared" si="0"/>
        <v>26</v>
      </c>
      <c r="C28" t="s">
        <v>182</v>
      </c>
      <c r="D28" s="26">
        <v>45508</v>
      </c>
      <c r="E28" s="27">
        <v>18.344291999999999</v>
      </c>
      <c r="F28">
        <v>66.047883999999996</v>
      </c>
      <c r="G28" s="26">
        <v>45508</v>
      </c>
      <c r="H28" s="29">
        <v>0.62847222222222221</v>
      </c>
      <c r="I28" s="26">
        <v>45514</v>
      </c>
      <c r="J28" s="23">
        <v>0.50902777777777775</v>
      </c>
      <c r="K28">
        <v>1410</v>
      </c>
      <c r="M28" t="s">
        <v>240</v>
      </c>
      <c r="O28" t="s">
        <v>256</v>
      </c>
      <c r="Q28" t="s">
        <v>271</v>
      </c>
      <c r="U28" s="26">
        <v>45508</v>
      </c>
      <c r="V28" s="24">
        <v>0.6763541666666667</v>
      </c>
      <c r="X28">
        <v>27</v>
      </c>
      <c r="Y28">
        <v>27</v>
      </c>
      <c r="AA28" s="30" t="s">
        <v>191</v>
      </c>
      <c r="AB28">
        <v>7.2</v>
      </c>
      <c r="AC28">
        <v>0.1</v>
      </c>
      <c r="AD28">
        <v>31.06</v>
      </c>
      <c r="AE28">
        <v>6.72</v>
      </c>
      <c r="AF28">
        <v>0.27200000000000002</v>
      </c>
      <c r="AG28">
        <v>8.15</v>
      </c>
      <c r="AH28">
        <v>2.4</v>
      </c>
      <c r="AI28">
        <v>4.5</v>
      </c>
      <c r="AX28">
        <v>6.2</v>
      </c>
      <c r="AY28">
        <v>28.1</v>
      </c>
      <c r="AZ28">
        <v>0.42</v>
      </c>
      <c r="BA28">
        <v>0.29699999999999999</v>
      </c>
      <c r="BB28">
        <v>6.98</v>
      </c>
      <c r="BC28">
        <v>46.8</v>
      </c>
      <c r="BD28">
        <v>7.5</v>
      </c>
    </row>
    <row r="29" spans="1:56" x14ac:dyDescent="0.25">
      <c r="A29" s="22" t="s">
        <v>275</v>
      </c>
      <c r="B29">
        <f t="shared" si="0"/>
        <v>27</v>
      </c>
      <c r="C29" t="s">
        <v>182</v>
      </c>
      <c r="D29" s="26">
        <v>45508</v>
      </c>
      <c r="E29" s="27">
        <v>18.343257999999999</v>
      </c>
      <c r="F29">
        <v>66.048946999999998</v>
      </c>
      <c r="G29" s="26">
        <v>45508</v>
      </c>
      <c r="H29" s="29">
        <v>0.64375000000000004</v>
      </c>
      <c r="I29" s="26">
        <v>45514</v>
      </c>
      <c r="J29" s="23">
        <v>0.52152777777777781</v>
      </c>
      <c r="K29">
        <v>1335</v>
      </c>
      <c r="M29" t="s">
        <v>241</v>
      </c>
      <c r="O29" t="s">
        <v>257</v>
      </c>
      <c r="Q29" t="s">
        <v>272</v>
      </c>
      <c r="U29" s="26">
        <v>45508</v>
      </c>
      <c r="V29" s="24">
        <v>0.62790509259259264</v>
      </c>
      <c r="X29">
        <v>27</v>
      </c>
      <c r="Y29">
        <v>20</v>
      </c>
      <c r="AB29">
        <v>9</v>
      </c>
      <c r="AC29">
        <v>0.1</v>
      </c>
      <c r="AD29">
        <v>31.53</v>
      </c>
      <c r="AE29">
        <v>7.24</v>
      </c>
      <c r="AF29">
        <v>0.183</v>
      </c>
      <c r="AG29">
        <v>8.25</v>
      </c>
      <c r="AH29">
        <v>1.8</v>
      </c>
      <c r="AI29">
        <v>2</v>
      </c>
      <c r="AX29">
        <v>8</v>
      </c>
      <c r="AY29">
        <v>27.1</v>
      </c>
      <c r="AZ29">
        <v>0.62</v>
      </c>
      <c r="BA29">
        <v>0.34799999999999998</v>
      </c>
      <c r="BB29">
        <v>6.85</v>
      </c>
      <c r="BC29">
        <v>31.9</v>
      </c>
      <c r="BD29">
        <v>10.1</v>
      </c>
    </row>
    <row r="30" spans="1:56" x14ac:dyDescent="0.25">
      <c r="A30" s="22" t="s">
        <v>275</v>
      </c>
      <c r="B30">
        <f t="shared" si="0"/>
        <v>28</v>
      </c>
      <c r="C30" t="s">
        <v>182</v>
      </c>
      <c r="D30" s="26">
        <v>45508</v>
      </c>
      <c r="E30" s="27">
        <v>18.342822000000002</v>
      </c>
      <c r="F30">
        <v>66.049402000000001</v>
      </c>
      <c r="G30" s="26">
        <v>45508</v>
      </c>
      <c r="H30" s="29">
        <v>0.65763888888888888</v>
      </c>
      <c r="I30" s="26">
        <v>45514</v>
      </c>
      <c r="J30" s="23">
        <v>0.53402777777777777</v>
      </c>
      <c r="K30">
        <v>400</v>
      </c>
      <c r="M30" t="s">
        <v>242</v>
      </c>
      <c r="O30" t="s">
        <v>258</v>
      </c>
      <c r="Q30" t="s">
        <v>273</v>
      </c>
      <c r="U30" s="26">
        <v>45508</v>
      </c>
      <c r="V30" s="24">
        <v>0.63643518518518516</v>
      </c>
      <c r="X30">
        <v>25</v>
      </c>
      <c r="Y30">
        <v>20</v>
      </c>
      <c r="AB30">
        <v>5.3</v>
      </c>
      <c r="AC30">
        <v>0.1</v>
      </c>
      <c r="AD30">
        <v>31.55</v>
      </c>
      <c r="AE30">
        <v>6.93</v>
      </c>
      <c r="AF30">
        <v>0.26900000000000002</v>
      </c>
      <c r="AG30">
        <v>8.24</v>
      </c>
      <c r="AH30">
        <v>0.4</v>
      </c>
      <c r="AI30">
        <v>2</v>
      </c>
      <c r="AX30">
        <v>4.3</v>
      </c>
      <c r="AY30">
        <v>29.22</v>
      </c>
      <c r="AZ30">
        <v>0.57999999999999996</v>
      </c>
      <c r="BA30">
        <v>0.27300000000000002</v>
      </c>
      <c r="BB30">
        <v>7.36</v>
      </c>
      <c r="BC30">
        <v>10.6</v>
      </c>
      <c r="BD30">
        <v>5</v>
      </c>
    </row>
    <row r="31" spans="1:56" x14ac:dyDescent="0.25">
      <c r="A31" s="22" t="s">
        <v>275</v>
      </c>
      <c r="B31">
        <f t="shared" si="0"/>
        <v>29</v>
      </c>
      <c r="C31" t="s">
        <v>182</v>
      </c>
      <c r="D31" s="26">
        <v>45508</v>
      </c>
      <c r="E31" s="27">
        <v>18.342372999999998</v>
      </c>
      <c r="F31">
        <v>66.050303999999997</v>
      </c>
      <c r="G31" s="26">
        <v>45508</v>
      </c>
      <c r="H31" s="29">
        <v>0.67291666666666672</v>
      </c>
      <c r="I31" s="26">
        <v>45514</v>
      </c>
      <c r="J31" s="23">
        <v>0.54374999999999996</v>
      </c>
      <c r="K31">
        <v>595</v>
      </c>
      <c r="M31" t="s">
        <v>243</v>
      </c>
      <c r="O31" t="s">
        <v>259</v>
      </c>
      <c r="Q31" t="s">
        <v>274</v>
      </c>
      <c r="U31" s="26">
        <v>45508</v>
      </c>
      <c r="V31" s="24">
        <v>0.64401620370370372</v>
      </c>
      <c r="X31">
        <v>15</v>
      </c>
      <c r="Y31">
        <v>30</v>
      </c>
      <c r="AB31">
        <v>6.6</v>
      </c>
      <c r="AC31">
        <v>0.1</v>
      </c>
      <c r="AD31">
        <v>31.73</v>
      </c>
      <c r="AE31">
        <v>7.16</v>
      </c>
      <c r="AF31">
        <v>0.27</v>
      </c>
      <c r="AG31">
        <v>8.24</v>
      </c>
      <c r="AH31">
        <v>1.6</v>
      </c>
      <c r="AI31">
        <v>2.4</v>
      </c>
      <c r="AX31">
        <v>5.6</v>
      </c>
      <c r="AY31">
        <v>29.51</v>
      </c>
      <c r="AZ31">
        <v>1.24</v>
      </c>
      <c r="BA31">
        <v>0.27200000000000002</v>
      </c>
      <c r="BB31">
        <v>7.43</v>
      </c>
      <c r="BC31">
        <v>2.9</v>
      </c>
      <c r="BD31">
        <v>3.7</v>
      </c>
    </row>
    <row r="32" spans="1:56" x14ac:dyDescent="0.25">
      <c r="A32" s="22" t="s">
        <v>275</v>
      </c>
      <c r="B32">
        <f t="shared" si="0"/>
        <v>30</v>
      </c>
      <c r="C32" t="s">
        <v>182</v>
      </c>
      <c r="D32" s="26">
        <v>45508</v>
      </c>
      <c r="E32" s="27">
        <v>18.3416</v>
      </c>
      <c r="F32">
        <v>66.050002000000006</v>
      </c>
      <c r="G32" s="26">
        <v>45508</v>
      </c>
      <c r="H32" s="29">
        <v>0.69722222222222219</v>
      </c>
      <c r="I32" s="26">
        <v>45514</v>
      </c>
      <c r="J32" s="23">
        <v>0.5493055555555556</v>
      </c>
      <c r="K32">
        <v>11</v>
      </c>
      <c r="M32" t="s">
        <v>244</v>
      </c>
      <c r="U32" s="26">
        <v>45508</v>
      </c>
      <c r="V32" s="24">
        <v>0.6627777777777778</v>
      </c>
      <c r="X32">
        <v>25</v>
      </c>
      <c r="Y32">
        <v>27</v>
      </c>
      <c r="AB32">
        <v>11.7</v>
      </c>
      <c r="AC32">
        <v>0.1</v>
      </c>
      <c r="AD32">
        <v>31.81</v>
      </c>
      <c r="AE32">
        <v>7.14</v>
      </c>
      <c r="AF32">
        <v>0.27300000000000002</v>
      </c>
      <c r="AG32">
        <v>8.2200000000000006</v>
      </c>
      <c r="AH32">
        <v>2.8</v>
      </c>
      <c r="AI32">
        <v>8.9</v>
      </c>
      <c r="AX32">
        <v>10.7</v>
      </c>
      <c r="AY32">
        <v>26.09</v>
      </c>
      <c r="AZ32">
        <v>0.54</v>
      </c>
      <c r="BA32">
        <v>0.34300000000000003</v>
      </c>
      <c r="BB32">
        <v>6.73</v>
      </c>
      <c r="BC32">
        <v>7.2</v>
      </c>
      <c r="BD32">
        <v>2</v>
      </c>
    </row>
  </sheetData>
  <mergeCells count="6">
    <mergeCell ref="BS1:BU1"/>
    <mergeCell ref="BV1:BY1"/>
    <mergeCell ref="A1:C1"/>
    <mergeCell ref="E1:T1"/>
    <mergeCell ref="U1:AA1"/>
    <mergeCell ref="AB1:BR1"/>
  </mergeCells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FC7D-096F-4A49-B44F-3C66E059D51A}">
  <dimension ref="A1:C79"/>
  <sheetViews>
    <sheetView workbookViewId="0">
      <selection activeCell="C3" sqref="C3"/>
    </sheetView>
  </sheetViews>
  <sheetFormatPr defaultRowHeight="15" x14ac:dyDescent="0.25"/>
  <cols>
    <col min="1" max="1" width="17.7109375" bestFit="1" customWidth="1"/>
    <col min="2" max="2" width="116.7109375" customWidth="1"/>
    <col min="3" max="3" width="49.5703125" bestFit="1" customWidth="1"/>
  </cols>
  <sheetData>
    <row r="1" spans="1:3" x14ac:dyDescent="0.25">
      <c r="A1" t="s">
        <v>84</v>
      </c>
      <c r="B1" t="s">
        <v>85</v>
      </c>
      <c r="C1" t="s">
        <v>86</v>
      </c>
    </row>
    <row r="2" spans="1:3" x14ac:dyDescent="0.25">
      <c r="A2" t="s">
        <v>6</v>
      </c>
      <c r="B2" t="s">
        <v>87</v>
      </c>
      <c r="C2" t="s">
        <v>88</v>
      </c>
    </row>
    <row r="3" spans="1:3" x14ac:dyDescent="0.25">
      <c r="A3" t="s">
        <v>7</v>
      </c>
      <c r="B3" t="s">
        <v>89</v>
      </c>
      <c r="C3" t="s">
        <v>88</v>
      </c>
    </row>
    <row r="4" spans="1:3" ht="75" x14ac:dyDescent="0.25">
      <c r="A4" s="15" t="s">
        <v>8</v>
      </c>
      <c r="B4" s="15" t="s">
        <v>90</v>
      </c>
      <c r="C4" s="16" t="s">
        <v>91</v>
      </c>
    </row>
    <row r="5" spans="1:3" x14ac:dyDescent="0.25">
      <c r="A5" t="s">
        <v>9</v>
      </c>
      <c r="B5" t="s">
        <v>92</v>
      </c>
      <c r="C5" t="s">
        <v>93</v>
      </c>
    </row>
    <row r="6" spans="1:3" x14ac:dyDescent="0.25">
      <c r="A6" t="s">
        <v>10</v>
      </c>
      <c r="B6" t="s">
        <v>94</v>
      </c>
      <c r="C6" t="s">
        <v>93</v>
      </c>
    </row>
    <row r="7" spans="1:3" x14ac:dyDescent="0.25">
      <c r="A7" t="s">
        <v>11</v>
      </c>
      <c r="B7" t="s">
        <v>95</v>
      </c>
      <c r="C7" t="s">
        <v>96</v>
      </c>
    </row>
    <row r="8" spans="1:3" x14ac:dyDescent="0.25">
      <c r="A8" t="s">
        <v>12</v>
      </c>
      <c r="B8" t="s">
        <v>97</v>
      </c>
      <c r="C8" t="s">
        <v>98</v>
      </c>
    </row>
    <row r="9" spans="1:3" x14ac:dyDescent="0.25">
      <c r="A9" t="s">
        <v>13</v>
      </c>
      <c r="B9" t="s">
        <v>99</v>
      </c>
      <c r="C9" t="s">
        <v>96</v>
      </c>
    </row>
    <row r="10" spans="1:3" x14ac:dyDescent="0.25">
      <c r="A10" t="s">
        <v>14</v>
      </c>
      <c r="B10" t="s">
        <v>100</v>
      </c>
      <c r="C10" t="s">
        <v>98</v>
      </c>
    </row>
    <row r="11" spans="1:3" x14ac:dyDescent="0.25">
      <c r="A11" t="s">
        <v>15</v>
      </c>
      <c r="B11" t="s">
        <v>181</v>
      </c>
      <c r="C11" t="s">
        <v>101</v>
      </c>
    </row>
    <row r="12" spans="1:3" x14ac:dyDescent="0.25">
      <c r="A12" t="s">
        <v>16</v>
      </c>
      <c r="B12" s="20" t="s">
        <v>102</v>
      </c>
      <c r="C12" s="20" t="s">
        <v>103</v>
      </c>
    </row>
    <row r="13" spans="1:3" x14ac:dyDescent="0.25">
      <c r="A13" t="s">
        <v>17</v>
      </c>
      <c r="B13" t="s">
        <v>104</v>
      </c>
      <c r="C13" t="s">
        <v>105</v>
      </c>
    </row>
    <row r="14" spans="1:3" x14ac:dyDescent="0.25">
      <c r="A14" t="s">
        <v>18</v>
      </c>
      <c r="B14" t="s">
        <v>106</v>
      </c>
    </row>
    <row r="15" spans="1:3" x14ac:dyDescent="0.25">
      <c r="A15" t="s">
        <v>19</v>
      </c>
      <c r="B15" t="s">
        <v>107</v>
      </c>
      <c r="C15" t="s">
        <v>105</v>
      </c>
    </row>
    <row r="16" spans="1:3" x14ac:dyDescent="0.25">
      <c r="A16" t="s">
        <v>20</v>
      </c>
      <c r="B16" t="s">
        <v>106</v>
      </c>
    </row>
    <row r="17" spans="1:3" x14ac:dyDescent="0.25">
      <c r="A17" t="s">
        <v>21</v>
      </c>
      <c r="B17" t="s">
        <v>108</v>
      </c>
      <c r="C17" t="s">
        <v>105</v>
      </c>
    </row>
    <row r="18" spans="1:3" x14ac:dyDescent="0.25">
      <c r="A18" t="s">
        <v>22</v>
      </c>
      <c r="B18" t="s">
        <v>106</v>
      </c>
    </row>
    <row r="19" spans="1:3" x14ac:dyDescent="0.25">
      <c r="A19" t="s">
        <v>23</v>
      </c>
      <c r="B19" t="s">
        <v>109</v>
      </c>
      <c r="C19" t="s">
        <v>110</v>
      </c>
    </row>
    <row r="20" spans="1:3" x14ac:dyDescent="0.25">
      <c r="A20" t="s">
        <v>24</v>
      </c>
      <c r="B20" t="s">
        <v>111</v>
      </c>
    </row>
    <row r="21" spans="1:3" x14ac:dyDescent="0.25">
      <c r="A21" t="s">
        <v>25</v>
      </c>
      <c r="B21" t="s">
        <v>112</v>
      </c>
      <c r="C21" t="s">
        <v>96</v>
      </c>
    </row>
    <row r="22" spans="1:3" x14ac:dyDescent="0.25">
      <c r="A22" t="s">
        <v>26</v>
      </c>
      <c r="B22" t="s">
        <v>113</v>
      </c>
      <c r="C22" t="s">
        <v>98</v>
      </c>
    </row>
    <row r="23" spans="1:3" x14ac:dyDescent="0.25">
      <c r="A23" t="s">
        <v>27</v>
      </c>
      <c r="B23" t="s">
        <v>114</v>
      </c>
      <c r="C23" t="s">
        <v>115</v>
      </c>
    </row>
    <row r="24" spans="1:3" x14ac:dyDescent="0.25">
      <c r="A24" t="s">
        <v>28</v>
      </c>
      <c r="B24" t="s">
        <v>116</v>
      </c>
      <c r="C24" t="s">
        <v>110</v>
      </c>
    </row>
    <row r="25" spans="1:3" x14ac:dyDescent="0.25">
      <c r="A25" t="s">
        <v>29</v>
      </c>
      <c r="B25" t="s">
        <v>117</v>
      </c>
      <c r="C25" t="s">
        <v>110</v>
      </c>
    </row>
    <row r="26" spans="1:3" x14ac:dyDescent="0.25">
      <c r="A26" t="s">
        <v>30</v>
      </c>
      <c r="B26" t="s">
        <v>109</v>
      </c>
      <c r="C26" t="s">
        <v>110</v>
      </c>
    </row>
    <row r="27" spans="1:3" x14ac:dyDescent="0.25">
      <c r="A27" t="s">
        <v>31</v>
      </c>
      <c r="B27" t="s">
        <v>111</v>
      </c>
    </row>
    <row r="28" spans="1:3" x14ac:dyDescent="0.25">
      <c r="A28" t="s">
        <v>32</v>
      </c>
      <c r="B28" t="s">
        <v>118</v>
      </c>
      <c r="C28" t="s">
        <v>119</v>
      </c>
    </row>
    <row r="29" spans="1:3" x14ac:dyDescent="0.25">
      <c r="A29" t="s">
        <v>33</v>
      </c>
      <c r="B29" t="s">
        <v>120</v>
      </c>
      <c r="C29" t="s">
        <v>119</v>
      </c>
    </row>
    <row r="30" spans="1:3" x14ac:dyDescent="0.25">
      <c r="A30" t="s">
        <v>34</v>
      </c>
      <c r="B30" t="s">
        <v>121</v>
      </c>
      <c r="C30" t="s">
        <v>115</v>
      </c>
    </row>
    <row r="31" spans="1:3" x14ac:dyDescent="0.25">
      <c r="A31" t="s">
        <v>35</v>
      </c>
      <c r="B31" t="s">
        <v>122</v>
      </c>
      <c r="C31" t="s">
        <v>123</v>
      </c>
    </row>
    <row r="32" spans="1:3" x14ac:dyDescent="0.25">
      <c r="A32" t="s">
        <v>36</v>
      </c>
      <c r="B32" t="s">
        <v>124</v>
      </c>
      <c r="C32" t="s">
        <v>125</v>
      </c>
    </row>
    <row r="33" spans="1:3" x14ac:dyDescent="0.25">
      <c r="A33" t="s">
        <v>37</v>
      </c>
      <c r="B33" t="s">
        <v>126</v>
      </c>
      <c r="C33" t="s">
        <v>110</v>
      </c>
    </row>
    <row r="34" spans="1:3" x14ac:dyDescent="0.25">
      <c r="A34" t="s">
        <v>38</v>
      </c>
      <c r="B34" t="s">
        <v>127</v>
      </c>
      <c r="C34" t="s">
        <v>128</v>
      </c>
    </row>
    <row r="35" spans="1:3" x14ac:dyDescent="0.25">
      <c r="A35" t="s">
        <v>39</v>
      </c>
      <c r="B35" t="s">
        <v>129</v>
      </c>
      <c r="C35" t="s">
        <v>128</v>
      </c>
    </row>
    <row r="36" spans="1:3" x14ac:dyDescent="0.25">
      <c r="A36" t="s">
        <v>40</v>
      </c>
      <c r="B36" t="s">
        <v>130</v>
      </c>
      <c r="C36" t="s">
        <v>131</v>
      </c>
    </row>
    <row r="37" spans="1:3" x14ac:dyDescent="0.25">
      <c r="A37" t="s">
        <v>41</v>
      </c>
      <c r="B37" t="s">
        <v>132</v>
      </c>
    </row>
    <row r="38" spans="1:3" x14ac:dyDescent="0.25">
      <c r="A38" t="s">
        <v>42</v>
      </c>
      <c r="B38" t="s">
        <v>133</v>
      </c>
    </row>
    <row r="39" spans="1:3" x14ac:dyDescent="0.25">
      <c r="A39" t="s">
        <v>43</v>
      </c>
      <c r="B39" t="s">
        <v>134</v>
      </c>
    </row>
    <row r="40" spans="1:3" x14ac:dyDescent="0.25">
      <c r="A40" t="s">
        <v>44</v>
      </c>
      <c r="B40" t="s">
        <v>135</v>
      </c>
    </row>
    <row r="41" spans="1:3" x14ac:dyDescent="0.25">
      <c r="A41" t="s">
        <v>45</v>
      </c>
      <c r="B41" t="s">
        <v>136</v>
      </c>
    </row>
    <row r="42" spans="1:3" x14ac:dyDescent="0.25">
      <c r="A42" t="s">
        <v>46</v>
      </c>
      <c r="B42" t="s">
        <v>137</v>
      </c>
    </row>
    <row r="43" spans="1:3" x14ac:dyDescent="0.25">
      <c r="A43" t="s">
        <v>47</v>
      </c>
      <c r="B43" t="s">
        <v>138</v>
      </c>
    </row>
    <row r="44" spans="1:3" x14ac:dyDescent="0.25">
      <c r="A44" t="s">
        <v>48</v>
      </c>
      <c r="B44" t="s">
        <v>139</v>
      </c>
    </row>
    <row r="45" spans="1:3" x14ac:dyDescent="0.25">
      <c r="A45" t="s">
        <v>49</v>
      </c>
      <c r="B45" t="s">
        <v>139</v>
      </c>
    </row>
    <row r="46" spans="1:3" x14ac:dyDescent="0.25">
      <c r="A46" t="s">
        <v>50</v>
      </c>
      <c r="B46" t="s">
        <v>139</v>
      </c>
    </row>
    <row r="47" spans="1:3" x14ac:dyDescent="0.25">
      <c r="A47" t="s">
        <v>51</v>
      </c>
      <c r="B47" t="s">
        <v>139</v>
      </c>
    </row>
    <row r="48" spans="1:3" x14ac:dyDescent="0.25">
      <c r="A48" t="s">
        <v>52</v>
      </c>
      <c r="B48" t="s">
        <v>139</v>
      </c>
    </row>
    <row r="49" spans="1:3" x14ac:dyDescent="0.25">
      <c r="A49" t="s">
        <v>53</v>
      </c>
      <c r="B49" t="s">
        <v>139</v>
      </c>
    </row>
    <row r="50" spans="1:3" x14ac:dyDescent="0.25">
      <c r="A50" t="s">
        <v>54</v>
      </c>
      <c r="B50" t="s">
        <v>139</v>
      </c>
    </row>
    <row r="51" spans="1:3" x14ac:dyDescent="0.25">
      <c r="A51" t="s">
        <v>55</v>
      </c>
      <c r="B51" t="s">
        <v>140</v>
      </c>
      <c r="C51" t="s">
        <v>119</v>
      </c>
    </row>
    <row r="52" spans="1:3" x14ac:dyDescent="0.25">
      <c r="A52" t="s">
        <v>56</v>
      </c>
      <c r="B52" t="s">
        <v>141</v>
      </c>
      <c r="C52" t="s">
        <v>115</v>
      </c>
    </row>
    <row r="53" spans="1:3" x14ac:dyDescent="0.25">
      <c r="A53" t="s">
        <v>57</v>
      </c>
      <c r="B53" t="s">
        <v>142</v>
      </c>
      <c r="C53" t="s">
        <v>123</v>
      </c>
    </row>
    <row r="54" spans="1:3" x14ac:dyDescent="0.25">
      <c r="A54" t="s">
        <v>58</v>
      </c>
      <c r="B54" t="s">
        <v>143</v>
      </c>
      <c r="C54" t="s">
        <v>125</v>
      </c>
    </row>
    <row r="55" spans="1:3" x14ac:dyDescent="0.25">
      <c r="A55" t="s">
        <v>59</v>
      </c>
      <c r="B55" t="s">
        <v>144</v>
      </c>
      <c r="C55" t="s">
        <v>110</v>
      </c>
    </row>
    <row r="56" spans="1:3" x14ac:dyDescent="0.25">
      <c r="A56" t="s">
        <v>60</v>
      </c>
      <c r="B56" t="s">
        <v>145</v>
      </c>
      <c r="C56" t="s">
        <v>128</v>
      </c>
    </row>
    <row r="57" spans="1:3" x14ac:dyDescent="0.25">
      <c r="A57" t="s">
        <v>61</v>
      </c>
      <c r="B57" t="s">
        <v>146</v>
      </c>
      <c r="C57" t="s">
        <v>128</v>
      </c>
    </row>
    <row r="58" spans="1:3" x14ac:dyDescent="0.25">
      <c r="A58" t="s">
        <v>62</v>
      </c>
      <c r="B58" t="s">
        <v>147</v>
      </c>
      <c r="C58" t="s">
        <v>131</v>
      </c>
    </row>
    <row r="59" spans="1:3" x14ac:dyDescent="0.25">
      <c r="A59" t="s">
        <v>63</v>
      </c>
      <c r="B59" t="s">
        <v>148</v>
      </c>
    </row>
    <row r="60" spans="1:3" x14ac:dyDescent="0.25">
      <c r="A60" t="s">
        <v>64</v>
      </c>
      <c r="B60" t="s">
        <v>149</v>
      </c>
    </row>
    <row r="61" spans="1:3" x14ac:dyDescent="0.25">
      <c r="A61" t="s">
        <v>65</v>
      </c>
      <c r="B61" t="s">
        <v>150</v>
      </c>
    </row>
    <row r="62" spans="1:3" x14ac:dyDescent="0.25">
      <c r="A62" t="s">
        <v>66</v>
      </c>
      <c r="B62" t="s">
        <v>151</v>
      </c>
    </row>
    <row r="63" spans="1:3" x14ac:dyDescent="0.25">
      <c r="A63" t="s">
        <v>67</v>
      </c>
      <c r="B63" t="s">
        <v>152</v>
      </c>
    </row>
    <row r="64" spans="1:3" x14ac:dyDescent="0.25">
      <c r="A64" t="s">
        <v>68</v>
      </c>
      <c r="B64" t="s">
        <v>153</v>
      </c>
    </row>
    <row r="65" spans="1:3" x14ac:dyDescent="0.25">
      <c r="A65" t="s">
        <v>69</v>
      </c>
      <c r="B65" t="s">
        <v>154</v>
      </c>
    </row>
    <row r="66" spans="1:3" x14ac:dyDescent="0.25">
      <c r="A66" t="s">
        <v>70</v>
      </c>
      <c r="B66" t="s">
        <v>139</v>
      </c>
    </row>
    <row r="67" spans="1:3" x14ac:dyDescent="0.25">
      <c r="A67" t="s">
        <v>71</v>
      </c>
      <c r="B67" t="s">
        <v>139</v>
      </c>
    </row>
    <row r="68" spans="1:3" x14ac:dyDescent="0.25">
      <c r="A68" t="s">
        <v>72</v>
      </c>
      <c r="B68" t="s">
        <v>139</v>
      </c>
    </row>
    <row r="69" spans="1:3" x14ac:dyDescent="0.25">
      <c r="A69" t="s">
        <v>73</v>
      </c>
      <c r="B69" t="s">
        <v>139</v>
      </c>
    </row>
    <row r="70" spans="1:3" x14ac:dyDescent="0.25">
      <c r="A70" t="s">
        <v>74</v>
      </c>
      <c r="B70" t="s">
        <v>139</v>
      </c>
    </row>
    <row r="71" spans="1:3" x14ac:dyDescent="0.25">
      <c r="A71" t="s">
        <v>75</v>
      </c>
      <c r="B71" t="s">
        <v>139</v>
      </c>
    </row>
    <row r="72" spans="1:3" x14ac:dyDescent="0.25">
      <c r="A72" t="s">
        <v>76</v>
      </c>
      <c r="B72" t="s">
        <v>139</v>
      </c>
    </row>
    <row r="73" spans="1:3" x14ac:dyDescent="0.25">
      <c r="A73" t="s">
        <v>77</v>
      </c>
      <c r="B73" t="s">
        <v>155</v>
      </c>
      <c r="C73" t="s">
        <v>105</v>
      </c>
    </row>
    <row r="74" spans="1:3" x14ac:dyDescent="0.25">
      <c r="A74" t="s">
        <v>78</v>
      </c>
      <c r="B74" t="s">
        <v>156</v>
      </c>
      <c r="C74" t="s">
        <v>105</v>
      </c>
    </row>
    <row r="75" spans="1:3" x14ac:dyDescent="0.25">
      <c r="A75" t="s">
        <v>79</v>
      </c>
      <c r="B75" t="s">
        <v>157</v>
      </c>
      <c r="C75" t="s">
        <v>105</v>
      </c>
    </row>
    <row r="76" spans="1:3" x14ac:dyDescent="0.25">
      <c r="A76" t="s">
        <v>80</v>
      </c>
      <c r="B76" t="s">
        <v>158</v>
      </c>
      <c r="C76" t="s">
        <v>110</v>
      </c>
    </row>
    <row r="77" spans="1:3" x14ac:dyDescent="0.25">
      <c r="A77" t="s">
        <v>81</v>
      </c>
      <c r="B77" t="s">
        <v>159</v>
      </c>
      <c r="C77" t="s">
        <v>110</v>
      </c>
    </row>
    <row r="78" spans="1:3" x14ac:dyDescent="0.25">
      <c r="A78" t="s">
        <v>82</v>
      </c>
      <c r="B78" t="s">
        <v>160</v>
      </c>
      <c r="C78" t="s">
        <v>96</v>
      </c>
    </row>
    <row r="79" spans="1:3" x14ac:dyDescent="0.25">
      <c r="A79" t="s">
        <v>83</v>
      </c>
      <c r="B79" t="s">
        <v>161</v>
      </c>
      <c r="C79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6BD0-DB1A-406D-A526-8D337C57DAFE}">
  <dimension ref="A1:L8"/>
  <sheetViews>
    <sheetView workbookViewId="0">
      <selection activeCell="D13" sqref="D13"/>
    </sheetView>
  </sheetViews>
  <sheetFormatPr defaultRowHeight="15" x14ac:dyDescent="0.25"/>
  <cols>
    <col min="1" max="1" width="9.28515625" style="22"/>
    <col min="3" max="3" width="15.42578125" customWidth="1"/>
    <col min="5" max="5" width="13.28515625" customWidth="1"/>
    <col min="7" max="7" width="12.28515625" customWidth="1"/>
    <col min="9" max="9" width="14.28515625" customWidth="1"/>
    <col min="10" max="10" width="15.28515625" bestFit="1" customWidth="1"/>
  </cols>
  <sheetData>
    <row r="1" spans="1:12" x14ac:dyDescent="0.25">
      <c r="A1" s="38" t="s">
        <v>5</v>
      </c>
      <c r="B1" s="38"/>
      <c r="C1" s="38"/>
      <c r="D1" s="38"/>
      <c r="E1" s="38"/>
      <c r="F1" s="38"/>
      <c r="G1" s="38"/>
      <c r="H1" s="38"/>
      <c r="I1" s="38"/>
    </row>
    <row r="2" spans="1:12" x14ac:dyDescent="0.25">
      <c r="A2" s="22" t="s">
        <v>6</v>
      </c>
      <c r="B2" s="1" t="s">
        <v>7</v>
      </c>
      <c r="C2" s="1" t="s">
        <v>162</v>
      </c>
      <c r="D2" s="1" t="s">
        <v>163</v>
      </c>
      <c r="E2" s="1" t="s">
        <v>164</v>
      </c>
      <c r="F2" s="2" t="s">
        <v>165</v>
      </c>
      <c r="G2" s="2" t="s">
        <v>166</v>
      </c>
      <c r="H2" s="2" t="s">
        <v>167</v>
      </c>
      <c r="I2" s="3" t="s">
        <v>168</v>
      </c>
      <c r="J2" s="2" t="s">
        <v>169</v>
      </c>
      <c r="K2" s="3"/>
      <c r="L2" s="2"/>
    </row>
    <row r="3" spans="1:12" x14ac:dyDescent="0.25">
      <c r="A3" s="22" t="s">
        <v>275</v>
      </c>
      <c r="B3">
        <v>23</v>
      </c>
      <c r="C3">
        <v>0.1</v>
      </c>
      <c r="D3" t="s">
        <v>276</v>
      </c>
      <c r="E3">
        <v>30.3</v>
      </c>
      <c r="G3">
        <v>115</v>
      </c>
      <c r="H3">
        <v>25</v>
      </c>
      <c r="I3">
        <v>756.5</v>
      </c>
      <c r="J3">
        <v>27.7</v>
      </c>
    </row>
    <row r="4" spans="1:12" x14ac:dyDescent="0.25">
      <c r="A4" s="22" t="s">
        <v>275</v>
      </c>
      <c r="B4">
        <v>23</v>
      </c>
      <c r="C4">
        <v>0.1</v>
      </c>
      <c r="D4" t="s">
        <v>277</v>
      </c>
      <c r="E4">
        <v>30.1</v>
      </c>
      <c r="G4">
        <v>115</v>
      </c>
      <c r="H4">
        <v>25</v>
      </c>
      <c r="I4">
        <v>756.5</v>
      </c>
      <c r="J4">
        <v>27.7</v>
      </c>
    </row>
    <row r="5" spans="1:12" x14ac:dyDescent="0.25">
      <c r="A5" s="22" t="s">
        <v>275</v>
      </c>
      <c r="B5">
        <v>23</v>
      </c>
      <c r="C5">
        <v>0.1</v>
      </c>
      <c r="D5" t="s">
        <v>278</v>
      </c>
      <c r="E5">
        <v>30.3</v>
      </c>
      <c r="G5">
        <v>115</v>
      </c>
      <c r="H5">
        <v>25</v>
      </c>
      <c r="I5">
        <v>756.5</v>
      </c>
      <c r="J5">
        <v>27.7</v>
      </c>
    </row>
    <row r="6" spans="1:12" x14ac:dyDescent="0.25">
      <c r="A6" s="22" t="s">
        <v>275</v>
      </c>
      <c r="B6">
        <v>23</v>
      </c>
      <c r="C6">
        <v>12.4</v>
      </c>
      <c r="D6" t="s">
        <v>279</v>
      </c>
      <c r="E6">
        <v>29.2</v>
      </c>
      <c r="G6">
        <v>115</v>
      </c>
      <c r="H6">
        <v>25</v>
      </c>
      <c r="I6">
        <v>756.5</v>
      </c>
      <c r="J6">
        <v>27.7</v>
      </c>
    </row>
    <row r="7" spans="1:12" x14ac:dyDescent="0.25">
      <c r="A7" s="22" t="s">
        <v>275</v>
      </c>
      <c r="B7">
        <v>23</v>
      </c>
      <c r="C7">
        <v>12.4</v>
      </c>
      <c r="D7" t="s">
        <v>280</v>
      </c>
      <c r="E7">
        <v>28.8</v>
      </c>
      <c r="G7">
        <v>115</v>
      </c>
      <c r="H7">
        <v>25</v>
      </c>
      <c r="I7">
        <v>756.5</v>
      </c>
      <c r="J7">
        <v>27.7</v>
      </c>
    </row>
    <row r="8" spans="1:12" x14ac:dyDescent="0.25">
      <c r="A8" s="22" t="s">
        <v>275</v>
      </c>
      <c r="B8">
        <v>23</v>
      </c>
      <c r="C8">
        <v>12.4</v>
      </c>
      <c r="D8" t="s">
        <v>281</v>
      </c>
      <c r="E8">
        <v>28.7</v>
      </c>
      <c r="G8">
        <v>115</v>
      </c>
      <c r="H8">
        <v>25</v>
      </c>
      <c r="I8">
        <v>756.5</v>
      </c>
      <c r="J8">
        <v>27.7</v>
      </c>
    </row>
  </sheetData>
  <mergeCells count="1">
    <mergeCell ref="A1:I1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2781-11F0-42BE-92DB-835D44D19C85}">
  <dimension ref="A1:C10"/>
  <sheetViews>
    <sheetView workbookViewId="0">
      <selection activeCell="B55" sqref="B55"/>
    </sheetView>
  </sheetViews>
  <sheetFormatPr defaultRowHeight="15" x14ac:dyDescent="0.25"/>
  <cols>
    <col min="1" max="1" width="17.7109375" bestFit="1" customWidth="1"/>
    <col min="2" max="2" width="63.5703125" customWidth="1"/>
    <col min="3" max="3" width="49.5703125" bestFit="1" customWidth="1"/>
  </cols>
  <sheetData>
    <row r="1" spans="1:3" x14ac:dyDescent="0.25">
      <c r="A1" t="s">
        <v>84</v>
      </c>
      <c r="B1" t="s">
        <v>85</v>
      </c>
      <c r="C1" t="s">
        <v>86</v>
      </c>
    </row>
    <row r="2" spans="1:3" x14ac:dyDescent="0.25">
      <c r="A2" t="s">
        <v>6</v>
      </c>
      <c r="B2" t="s">
        <v>87</v>
      </c>
      <c r="C2" t="s">
        <v>170</v>
      </c>
    </row>
    <row r="3" spans="1:3" x14ac:dyDescent="0.25">
      <c r="A3" t="s">
        <v>7</v>
      </c>
      <c r="B3" t="s">
        <v>89</v>
      </c>
      <c r="C3" t="s">
        <v>171</v>
      </c>
    </row>
    <row r="4" spans="1:3" x14ac:dyDescent="0.25">
      <c r="A4" s="18" t="s">
        <v>162</v>
      </c>
      <c r="B4" s="15" t="s">
        <v>172</v>
      </c>
      <c r="C4" s="16" t="s">
        <v>173</v>
      </c>
    </row>
    <row r="5" spans="1:3" x14ac:dyDescent="0.25">
      <c r="A5" s="18" t="s">
        <v>163</v>
      </c>
      <c r="B5" t="s">
        <v>174</v>
      </c>
      <c r="C5" t="s">
        <v>105</v>
      </c>
    </row>
    <row r="6" spans="1:3" x14ac:dyDescent="0.25">
      <c r="A6" s="18" t="s">
        <v>164</v>
      </c>
      <c r="B6" t="s">
        <v>175</v>
      </c>
      <c r="C6" t="s">
        <v>115</v>
      </c>
    </row>
    <row r="7" spans="1:3" x14ac:dyDescent="0.25">
      <c r="A7" s="18" t="s">
        <v>165</v>
      </c>
      <c r="B7" t="s">
        <v>106</v>
      </c>
    </row>
    <row r="8" spans="1:3" x14ac:dyDescent="0.25">
      <c r="A8" s="18" t="s">
        <v>166</v>
      </c>
      <c r="B8" t="s">
        <v>176</v>
      </c>
      <c r="C8" t="s">
        <v>177</v>
      </c>
    </row>
    <row r="9" spans="1:3" x14ac:dyDescent="0.25">
      <c r="A9" s="18" t="s">
        <v>167</v>
      </c>
      <c r="B9" t="s">
        <v>178</v>
      </c>
      <c r="C9" t="s">
        <v>177</v>
      </c>
    </row>
    <row r="10" spans="1:3" x14ac:dyDescent="0.25">
      <c r="A10" s="19" t="s">
        <v>168</v>
      </c>
      <c r="B10" t="s">
        <v>179</v>
      </c>
      <c r="C10" t="s">
        <v>180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19" ma:contentTypeDescription="Create a new document." ma:contentTypeScope="" ma:versionID="d40b3e6283001fb57e5088f84fb23d5e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aadbb8160917885bdc8cfb32badaafe9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 xmlns="4ffa91fb-a0ff-4ac5-b2db-65c790d184a4">Shared</Record>
    <Language xmlns="http://schemas.microsoft.com/sharepoint/v3">English</Language>
    <Document_x0020_Creation_x0020_Date xmlns="4ffa91fb-a0ff-4ac5-b2db-65c790d184a4">2020-10-21T13:32:44+00:00</Document_x0020_Creation_x0020_Date>
    <_Source xmlns="http://schemas.microsoft.com/sharepoint/v3/fields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ights xmlns="4ffa91fb-a0ff-4ac5-b2db-65c790d184a4" xsi:nil="true"/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ed970698-2d60-4bab-a048-d9be527522d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00C0C330-DE6C-43A9-ABBF-85BC796EC8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8b03727f-4454-4722-b3e6-018d8dcaf2fd"/>
    <ds:schemaRef ds:uri="ed970698-2d60-4bab-a048-d9be527522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26D44A-9508-4707-B138-18882E5BA6FE}">
  <ds:schemaRefs>
    <ds:schemaRef ds:uri="http://schemas.microsoft.com/office/2006/metadata/properties"/>
    <ds:schemaRef ds:uri="http://schemas.microsoft.com/office/infopath/2007/PartnerControls"/>
    <ds:schemaRef ds:uri="4ffa91fb-a0ff-4ac5-b2db-65c790d184a4"/>
    <ds:schemaRef ds:uri="http://schemas.microsoft.com/sharepoint/v3"/>
    <ds:schemaRef ds:uri="http://schemas.microsoft.com/sharepoint/v3/fields"/>
    <ds:schemaRef ds:uri="http://schemas.microsoft.com/sharepoint.v3"/>
    <ds:schemaRef ds:uri="ed970698-2d60-4bab-a048-d9be527522d9"/>
  </ds:schemaRefs>
</ds:datastoreItem>
</file>

<file path=customXml/itemProps3.xml><?xml version="1.0" encoding="utf-8"?>
<ds:datastoreItem xmlns:ds="http://schemas.openxmlformats.org/officeDocument/2006/customXml" ds:itemID="{5F4A5FCF-4499-487A-89B0-E215184C11D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45EA28A-135D-4CD8-9991-40FEAFECD172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data.dictionary</vt:lpstr>
      <vt:lpstr>dissolved.gas</vt:lpstr>
      <vt:lpstr>dissolved.gas.dictionay</vt:lpstr>
      <vt:lpstr>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Goodwin, Payton</dc:creator>
  <cp:keywords/>
  <dc:description/>
  <cp:lastModifiedBy>Abdel Jimenez</cp:lastModifiedBy>
  <cp:revision/>
  <dcterms:created xsi:type="dcterms:W3CDTF">2018-12-19T15:36:15Z</dcterms:created>
  <dcterms:modified xsi:type="dcterms:W3CDTF">2025-05-17T00:41:02Z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0x0101001AF5FC5DD832BE4DBA6B24560DD3ADC0</vt:lpwstr>
  </property>
  <property fmtid="{D5CDD505-2E9C-101B-9397-08002B2CF9AE}" pid="3" name="TaxKeyword">
    <vt:lpwstr/>
  </property>
  <property fmtid="{D5CDD505-2E9C-101B-9397-08002B2CF9AE}" pid="4" name="e3f09c3df709400db2417a7161762d62">
    <vt:lpwstr/>
  </property>
  <property fmtid="{D5CDD505-2E9C-101B-9397-08002B2CF9AE}" pid="5" name="EPA_x0020_Subject">
    <vt:lpwstr/>
  </property>
  <property fmtid="{D5CDD505-2E9C-101B-9397-08002B2CF9AE}" pid="6" name="Document Type">
    <vt:lpwstr/>
  </property>
  <property fmtid="{D5CDD505-2E9C-101B-9397-08002B2CF9AE}" pid="7" name="EPA Subject">
    <vt:lpwstr/>
  </property>
  <property fmtid="{D5CDD505-2E9C-101B-9397-08002B2CF9AE}" pid="8" name="MediaServiceImageTags">
    <vt:lpwstr/>
  </property>
</Properties>
</file>