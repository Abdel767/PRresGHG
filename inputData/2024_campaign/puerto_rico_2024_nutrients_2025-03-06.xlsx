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2.xml" ContentType="application/vnd.openxmlformats-officedocument.drawing+xml"/>
  <Override PartName="/xl/comments3.xml" ContentType="application/vnd.openxmlformats-officedocument.spreadsheetml.comments+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3.xml" ContentType="application/vnd.openxmlformats-officedocument.drawing+xml"/>
  <Override PartName="/xl/comments4.xml" ContentType="application/vnd.openxmlformats-officedocument.spreadsheetml.comments+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drawings/drawing4.xml" ContentType="application/vnd.openxmlformats-officedocument.drawing+xml"/>
  <Override PartName="/xl/comments5.xml" ContentType="application/vnd.openxmlformats-officedocument.spreadsheetml.comments+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drawings/drawing5.xml" ContentType="application/vnd.openxmlformats-officedocument.drawing+xml"/>
  <Override PartName="/xl/comments6.xml" ContentType="application/vnd.openxmlformats-officedocument.spreadsheetml.comments+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drawings/drawing6.xml" ContentType="application/vnd.openxmlformats-officedocument.drawing+xml"/>
  <Override PartName="/xl/comments7.xml" ContentType="application/vnd.openxmlformats-officedocument.spreadsheetml.comments+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omments8.xml" ContentType="application/vnd.openxmlformats-officedocument.spreadsheetml.comments+xml"/>
  <Override PartName="/xl/comments9.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usepa-my.sharepoint.com/personal/beaulieu_jake_epa_gov/Documents/gitRepository/PRresGHG/inputData/"/>
    </mc:Choice>
  </mc:AlternateContent>
  <xr:revisionPtr revIDLastSave="84" documentId="8_{652F5FF0-F473-4E88-894F-A2BA1C10668E}" xr6:coauthVersionLast="47" xr6:coauthVersionMax="47" xr10:uidLastSave="{1C0EF31C-AEE3-4C29-9B96-A11B1AF2FB1F}"/>
  <bookViews>
    <workbookView xWindow="3456" yWindow="3456" windowWidth="12960" windowHeight="22200" xr2:uid="{5174E6A5-C77A-4239-A4A8-274F4E03B4E2}"/>
  </bookViews>
  <sheets>
    <sheet name="2025 Data" sheetId="1" r:id="rId1"/>
    <sheet name="TPCalibEq150" sheetId="5" r:id="rId2"/>
    <sheet name="TPCalibEq300" sheetId="6" r:id="rId3"/>
    <sheet name="TPCalibEq500" sheetId="7" r:id="rId4"/>
    <sheet name="TPCalibEqFull" sheetId="8" r:id="rId5"/>
    <sheet name="TNCalibEq2500" sheetId="9" r:id="rId6"/>
    <sheet name="TNCalibEqFull" sheetId="10" r:id="rId7"/>
    <sheet name="METADATA" sheetId="11" r:id="rId8"/>
    <sheet name="IDs" sheetId="12" r:id="rId9"/>
    <sheet name="QCEQUATIONS" sheetId="13" r:id="rId10"/>
    <sheet name="QCACTUAL" sheetId="14" r:id="rId11"/>
    <sheet name="QC Pivot" sheetId="2" r:id="rId12"/>
    <sheet name="ChangeLog" sheetId="15" r:id="rId13"/>
  </sheets>
  <externalReferences>
    <externalReference r:id="rId14"/>
  </externalReferences>
  <definedNames>
    <definedName name="_xlnm._FilterDatabase" localSheetId="0" hidden="1">'2025 Data'!$A$2:$AV$2354</definedName>
    <definedName name="QCATP_P" localSheetId="8">[1]QCACTUAL!$C$2:$D$4</definedName>
    <definedName name="QCATP_P" localSheetId="7">[1]QCACTUAL!$C$2:$D$4</definedName>
    <definedName name="QCATP_P" localSheetId="10">QCACTUAL!$C$2:$D$4</definedName>
    <definedName name="QCATP_P" localSheetId="9">[1]QCACTUAL!$C$2:$D$4</definedName>
    <definedName name="QCATP_P">QCACTUAL!$C$2:$D$4</definedName>
    <definedName name="QCCHK" localSheetId="8">[1]QCACTUAL!$B$8:$D$22</definedName>
    <definedName name="QCCHK" localSheetId="7">[1]QCACTUAL!$B$8:$D$22</definedName>
    <definedName name="QCCHK" localSheetId="10">QCACTUAL!$B$8:$D$22</definedName>
    <definedName name="QCCHK" localSheetId="9">[1]QCACTUAL!$B$8:$D$22</definedName>
    <definedName name="QCCHK">QCACTUAL!$B$8:$D$22</definedName>
    <definedName name="QCEQUATIONS" localSheetId="8">[1]QCEQUATIONS!$A$2:$B$11</definedName>
    <definedName name="QCEQUATIONS" localSheetId="7">[1]QCEQUATIONS!$A$2:$B$11</definedName>
    <definedName name="QCEQUATIONS" localSheetId="10">[1]QCEQUATIONS!$A$2:$B$11</definedName>
    <definedName name="QCEQUATIONS" localSheetId="9">QCEQUATIONS!$A$2:$B$11</definedName>
    <definedName name="QCEQUATIONS">QCEQUATIONS!$A$2:$B$11</definedName>
    <definedName name="QCGUP" localSheetId="8">[1]QCACTUAL!$C$23:$D$25</definedName>
    <definedName name="QCGUP" localSheetId="7">[1]QCACTUAL!$C$23:$D$25</definedName>
    <definedName name="QCGUP" localSheetId="10">QCACTUAL!$C$23:$D$25</definedName>
    <definedName name="QCGUP" localSheetId="9">[1]QCACTUAL!$C$23:$D$25</definedName>
    <definedName name="QCGUP">QCACTUAL!$C$23:$D$25</definedName>
    <definedName name="QCNIC_N" localSheetId="8">[1]QCACTUAL!$C$44:$D$47</definedName>
    <definedName name="QCNIC_N" localSheetId="7">[1]QCACTUAL!$C$44:$D$47</definedName>
    <definedName name="QCNIC_N" localSheetId="10">QCACTUAL!$C$44:$D$47</definedName>
    <definedName name="QCNIC_N" localSheetId="9">[1]QCACTUAL!$C$44:$D$47</definedName>
    <definedName name="QCNIC_N">QCACTUAL!$C$44:$D$47</definedName>
    <definedName name="QCPER" localSheetId="8">[1]QCACTUAL!$J$25:$X$37</definedName>
    <definedName name="QCPER" localSheetId="7">[1]QCACTUAL!$J$25:$X$37</definedName>
    <definedName name="QCPER" localSheetId="10">QCACTUAL!$J$25:$AA$37</definedName>
    <definedName name="QCPER" localSheetId="9">[1]QCACTUAL!$J$25:$X$37</definedName>
    <definedName name="QCPER">QCACTUAL!$J$25:$AA$37</definedName>
    <definedName name="QCREC_N" localSheetId="8">[1]QCACTUAL!$C$40:$D$43</definedName>
    <definedName name="QCREC_N" localSheetId="7">[1]QCACTUAL!$C$40:$D$43</definedName>
    <definedName name="QCREC_N" localSheetId="10">QCACTUAL!$C$40:$D$43</definedName>
    <definedName name="QCREC_N" localSheetId="9">[1]QCACTUAL!$C$40:$D$43</definedName>
    <definedName name="QCREC_N">QCACTUAL!$C$40:$D$43</definedName>
    <definedName name="QCSPK" localSheetId="8">[1]QCACTUAL!$B$26:$D$39</definedName>
    <definedName name="QCSPK" localSheetId="7">[1]QCACTUAL!$B$26:$D$39</definedName>
    <definedName name="QCSPK" localSheetId="10">QCACTUAL!$B$26:$D$39</definedName>
    <definedName name="QCSPK" localSheetId="9">[1]QCACTUAL!$B$26:$D$39</definedName>
    <definedName name="QCSPK">QCACTUAL!$B$26:$D$39</definedName>
    <definedName name="QCUREA_N" localSheetId="8">[1]QCACTUAL!$C$5:$D$7</definedName>
    <definedName name="QCUREA_N" localSheetId="7">[1]QCACTUAL!$C$5:$D$7</definedName>
    <definedName name="QCUREA_N" localSheetId="10">QCACTUAL!$C$5:$D$7</definedName>
    <definedName name="QCUREA_N" localSheetId="9">[1]QCACTUAL!$C$5:$D$7</definedName>
    <definedName name="QCUREA_N">QCACTUAL!$C$5:$D$7</definedName>
  </definedNames>
  <calcPr calcId="191029" concurrentManualCount="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A7" i="5" l="1"/>
  <c r="V33" i="5"/>
  <c r="V34" i="5"/>
  <c r="V35" i="5"/>
  <c r="V36" i="5"/>
  <c r="V37" i="5"/>
  <c r="V32" i="5"/>
  <c r="BA7" i="7"/>
  <c r="V68" i="7"/>
  <c r="V69" i="7"/>
  <c r="V70" i="7"/>
  <c r="V71" i="7"/>
  <c r="V72" i="7"/>
  <c r="V73" i="7"/>
  <c r="V74" i="7"/>
  <c r="V75" i="7"/>
  <c r="V76" i="7"/>
  <c r="V77" i="7"/>
  <c r="V78" i="7"/>
  <c r="V67" i="7"/>
  <c r="BA7" i="8"/>
  <c r="AX7" i="8"/>
  <c r="V83" i="8"/>
  <c r="V84" i="8"/>
  <c r="V85" i="8"/>
  <c r="V86" i="8"/>
  <c r="V87" i="8"/>
  <c r="V88" i="8"/>
  <c r="V89" i="8"/>
  <c r="V90" i="8"/>
  <c r="V91" i="8"/>
  <c r="V92" i="8"/>
  <c r="V93" i="8"/>
  <c r="V94" i="8"/>
  <c r="V95" i="8"/>
  <c r="V96" i="8"/>
  <c r="V82" i="8"/>
  <c r="S96" i="8"/>
  <c r="S95" i="8"/>
  <c r="S94" i="8"/>
  <c r="S93" i="8"/>
  <c r="S92" i="8"/>
  <c r="S91" i="8"/>
  <c r="S90" i="8"/>
  <c r="S89" i="8"/>
  <c r="S88" i="8"/>
  <c r="S87" i="8"/>
  <c r="S86" i="8"/>
  <c r="S85" i="8"/>
  <c r="S84" i="8"/>
  <c r="S83" i="8"/>
  <c r="S82" i="8"/>
  <c r="BA7" i="10"/>
  <c r="AX7" i="10"/>
  <c r="V43" i="10"/>
  <c r="V44" i="10"/>
  <c r="V45" i="10"/>
  <c r="V46" i="10"/>
  <c r="V47" i="10"/>
  <c r="V48" i="10"/>
  <c r="V42" i="10"/>
  <c r="BA7" i="9"/>
  <c r="AX7" i="9"/>
  <c r="V33" i="9"/>
  <c r="V34" i="9"/>
  <c r="V35" i="9"/>
  <c r="V36" i="9"/>
  <c r="V32" i="9"/>
  <c r="S36" i="9"/>
  <c r="S35" i="9"/>
  <c r="S34" i="9"/>
  <c r="S33" i="9"/>
  <c r="S32" i="9"/>
  <c r="S48" i="10"/>
  <c r="S47" i="10"/>
  <c r="S46" i="10"/>
  <c r="S45" i="10"/>
  <c r="S44" i="10"/>
  <c r="S43" i="10"/>
  <c r="S42" i="10"/>
  <c r="BA6" i="5"/>
  <c r="V27" i="5"/>
  <c r="V28" i="5"/>
  <c r="V29" i="5"/>
  <c r="V30" i="5"/>
  <c r="V31" i="5"/>
  <c r="V26" i="5"/>
  <c r="BA6" i="6"/>
  <c r="V31" i="6"/>
  <c r="V32" i="6"/>
  <c r="V33" i="6"/>
  <c r="V34" i="6"/>
  <c r="V35" i="6"/>
  <c r="V36" i="6"/>
  <c r="V30" i="6"/>
  <c r="BA6" i="7"/>
  <c r="V55" i="7"/>
  <c r="V56" i="7"/>
  <c r="V57" i="7"/>
  <c r="V58" i="7"/>
  <c r="V59" i="7"/>
  <c r="V60" i="7"/>
  <c r="V61" i="7"/>
  <c r="V62" i="7"/>
  <c r="V63" i="7"/>
  <c r="V64" i="7"/>
  <c r="V65" i="7"/>
  <c r="V66" i="7"/>
  <c r="V54" i="7"/>
  <c r="BA6" i="8"/>
  <c r="AX6" i="8"/>
  <c r="V67" i="8"/>
  <c r="V68" i="8"/>
  <c r="V69" i="8"/>
  <c r="V70" i="8"/>
  <c r="V71" i="8"/>
  <c r="V72" i="8"/>
  <c r="V73" i="8"/>
  <c r="V74" i="8"/>
  <c r="V75" i="8"/>
  <c r="V76" i="8"/>
  <c r="V77" i="8"/>
  <c r="V78" i="8"/>
  <c r="V79" i="8"/>
  <c r="V80" i="8"/>
  <c r="V81" i="8"/>
  <c r="V66" i="8"/>
  <c r="S81" i="8"/>
  <c r="S80" i="8"/>
  <c r="S79" i="8"/>
  <c r="S78" i="8"/>
  <c r="S77" i="8"/>
  <c r="S76" i="8"/>
  <c r="S75" i="8"/>
  <c r="S74" i="8"/>
  <c r="S73" i="8"/>
  <c r="S72" i="8"/>
  <c r="S71" i="8"/>
  <c r="S70" i="8"/>
  <c r="S69" i="8"/>
  <c r="S68" i="8"/>
  <c r="S67" i="8"/>
  <c r="S66" i="8"/>
  <c r="BA6" i="9"/>
  <c r="AX6" i="9"/>
  <c r="V27" i="9"/>
  <c r="V28" i="9"/>
  <c r="V29" i="9"/>
  <c r="V30" i="9"/>
  <c r="V31" i="9"/>
  <c r="V26" i="9"/>
  <c r="S31" i="9"/>
  <c r="S30" i="9"/>
  <c r="S29" i="9"/>
  <c r="S28" i="9"/>
  <c r="S27" i="9"/>
  <c r="S26" i="9"/>
  <c r="BA6" i="10"/>
  <c r="AX6" i="10"/>
  <c r="V35" i="10"/>
  <c r="V36" i="10"/>
  <c r="V37" i="10"/>
  <c r="V38" i="10"/>
  <c r="V39" i="10"/>
  <c r="V40" i="10"/>
  <c r="V41" i="10"/>
  <c r="V34" i="10"/>
  <c r="S41" i="10"/>
  <c r="S40" i="10"/>
  <c r="S39" i="10"/>
  <c r="S38" i="10"/>
  <c r="S37" i="10"/>
  <c r="S36" i="10"/>
  <c r="S35" i="10"/>
  <c r="S34" i="10"/>
  <c r="BA5" i="5"/>
  <c r="V21" i="5"/>
  <c r="V22" i="5"/>
  <c r="V23" i="5"/>
  <c r="V24" i="5"/>
  <c r="V25" i="5"/>
  <c r="V20" i="5"/>
  <c r="BA5" i="6"/>
  <c r="V24" i="6"/>
  <c r="V25" i="6"/>
  <c r="V26" i="6"/>
  <c r="V27" i="6"/>
  <c r="V28" i="6"/>
  <c r="V29" i="6"/>
  <c r="V23" i="6"/>
  <c r="BA5" i="7"/>
  <c r="V42" i="7"/>
  <c r="V43" i="7"/>
  <c r="V44" i="7"/>
  <c r="V45" i="7"/>
  <c r="V46" i="7"/>
  <c r="V47" i="7"/>
  <c r="V48" i="7"/>
  <c r="V49" i="7"/>
  <c r="V50" i="7"/>
  <c r="V51" i="7"/>
  <c r="V52" i="7"/>
  <c r="V53" i="7"/>
  <c r="V41" i="7"/>
  <c r="BA5" i="8"/>
  <c r="AX5" i="8"/>
  <c r="V51" i="8"/>
  <c r="V52" i="8"/>
  <c r="V53" i="8"/>
  <c r="V54" i="8"/>
  <c r="V55" i="8"/>
  <c r="V56" i="8"/>
  <c r="V57" i="8"/>
  <c r="V58" i="8"/>
  <c r="V59" i="8"/>
  <c r="V60" i="8"/>
  <c r="V61" i="8"/>
  <c r="V62" i="8"/>
  <c r="V63" i="8"/>
  <c r="V64" i="8"/>
  <c r="V65" i="8"/>
  <c r="V50" i="8"/>
  <c r="S65" i="8"/>
  <c r="S64" i="8"/>
  <c r="S63" i="8"/>
  <c r="S62" i="8"/>
  <c r="S61" i="8"/>
  <c r="S60" i="8"/>
  <c r="S59" i="8"/>
  <c r="S58" i="8"/>
  <c r="S57" i="8"/>
  <c r="S56" i="8"/>
  <c r="S55" i="8"/>
  <c r="S54" i="8"/>
  <c r="S53" i="8"/>
  <c r="S52" i="8"/>
  <c r="S51" i="8"/>
  <c r="S50" i="8"/>
  <c r="BA5" i="9"/>
  <c r="AX5" i="9"/>
  <c r="V21" i="9"/>
  <c r="V22" i="9"/>
  <c r="V23" i="9"/>
  <c r="V24" i="9"/>
  <c r="V25" i="9"/>
  <c r="V20" i="9"/>
  <c r="S25" i="9"/>
  <c r="S24" i="9"/>
  <c r="S23" i="9"/>
  <c r="S22" i="9"/>
  <c r="S21" i="9"/>
  <c r="S20" i="9"/>
  <c r="BA5" i="10"/>
  <c r="AX5" i="10"/>
  <c r="V27" i="10"/>
  <c r="V28" i="10"/>
  <c r="V29" i="10"/>
  <c r="V30" i="10"/>
  <c r="V31" i="10"/>
  <c r="V32" i="10"/>
  <c r="V33" i="10"/>
  <c r="V26" i="10"/>
  <c r="S33" i="10"/>
  <c r="S32" i="10"/>
  <c r="S31" i="10"/>
  <c r="S30" i="10"/>
  <c r="S29" i="10"/>
  <c r="S28" i="10"/>
  <c r="S27" i="10"/>
  <c r="S26" i="10"/>
  <c r="AV188" i="1" l="1"/>
  <c r="AV189" i="1"/>
  <c r="AV190" i="1"/>
  <c r="AV191" i="1"/>
  <c r="AV192" i="1"/>
  <c r="AV193" i="1"/>
  <c r="AV194" i="1"/>
  <c r="AV195" i="1"/>
  <c r="AV196" i="1"/>
  <c r="AV197" i="1"/>
  <c r="AV198" i="1"/>
  <c r="AV199" i="1"/>
  <c r="AV200" i="1"/>
  <c r="AV201" i="1"/>
  <c r="AV202" i="1"/>
  <c r="AV203" i="1"/>
  <c r="AV204" i="1"/>
  <c r="AV205" i="1"/>
  <c r="AV206" i="1"/>
  <c r="AV207" i="1"/>
  <c r="AV208" i="1"/>
  <c r="AV209" i="1"/>
  <c r="AV210" i="1"/>
  <c r="AV211" i="1"/>
  <c r="AV212" i="1"/>
  <c r="AV213" i="1"/>
  <c r="AV214" i="1"/>
  <c r="AV215" i="1"/>
  <c r="AV216" i="1"/>
  <c r="AV217" i="1"/>
  <c r="AV218" i="1"/>
  <c r="AV219" i="1"/>
  <c r="AV220" i="1"/>
  <c r="AV221" i="1"/>
  <c r="AV222" i="1"/>
  <c r="AV223" i="1"/>
  <c r="AU188" i="1"/>
  <c r="AP188" i="1" s="1"/>
  <c r="AU189" i="1"/>
  <c r="AP189" i="1" s="1"/>
  <c r="AU190" i="1"/>
  <c r="AP190" i="1" s="1"/>
  <c r="AU191" i="1"/>
  <c r="AP191" i="1" s="1"/>
  <c r="AU192" i="1"/>
  <c r="AP192" i="1" s="1"/>
  <c r="AU193" i="1"/>
  <c r="AP193" i="1" s="1"/>
  <c r="AU194" i="1"/>
  <c r="AP194" i="1" s="1"/>
  <c r="AU195" i="1"/>
  <c r="AP195" i="1" s="1"/>
  <c r="AU196" i="1"/>
  <c r="AP196" i="1" s="1"/>
  <c r="AU197" i="1"/>
  <c r="AP197" i="1" s="1"/>
  <c r="AU198" i="1"/>
  <c r="AP198" i="1" s="1"/>
  <c r="AU199" i="1"/>
  <c r="AP199" i="1" s="1"/>
  <c r="AU200" i="1"/>
  <c r="AP200" i="1" s="1"/>
  <c r="AU201" i="1"/>
  <c r="AP201" i="1" s="1"/>
  <c r="AU202" i="1"/>
  <c r="AP202" i="1" s="1"/>
  <c r="AU203" i="1"/>
  <c r="AP203" i="1" s="1"/>
  <c r="AU204" i="1"/>
  <c r="AP204" i="1" s="1"/>
  <c r="AU205" i="1"/>
  <c r="AP205" i="1" s="1"/>
  <c r="AU206" i="1"/>
  <c r="AP206" i="1" s="1"/>
  <c r="AU207" i="1"/>
  <c r="AP207" i="1" s="1"/>
  <c r="AU208" i="1"/>
  <c r="AP208" i="1" s="1"/>
  <c r="AU209" i="1"/>
  <c r="AP209" i="1" s="1"/>
  <c r="AU210" i="1"/>
  <c r="AP210" i="1" s="1"/>
  <c r="AU211" i="1"/>
  <c r="AP211" i="1" s="1"/>
  <c r="AU212" i="1"/>
  <c r="AP212" i="1" s="1"/>
  <c r="AU213" i="1"/>
  <c r="AP213" i="1" s="1"/>
  <c r="AU214" i="1"/>
  <c r="AP214" i="1" s="1"/>
  <c r="AU215" i="1"/>
  <c r="AP215" i="1" s="1"/>
  <c r="AU216" i="1"/>
  <c r="AP216" i="1" s="1"/>
  <c r="AU217" i="1"/>
  <c r="AP217" i="1" s="1"/>
  <c r="AU218" i="1"/>
  <c r="AP218" i="1" s="1"/>
  <c r="AU219" i="1"/>
  <c r="AP219" i="1" s="1"/>
  <c r="AU220" i="1"/>
  <c r="AP220" i="1" s="1"/>
  <c r="AU221" i="1"/>
  <c r="AP221" i="1" s="1"/>
  <c r="AU222" i="1"/>
  <c r="AP222" i="1" s="1"/>
  <c r="AU223" i="1"/>
  <c r="AP223" i="1" s="1"/>
  <c r="U188" i="1"/>
  <c r="W188" i="1" s="1"/>
  <c r="U189" i="1"/>
  <c r="W189" i="1" s="1"/>
  <c r="U190" i="1"/>
  <c r="W190" i="1" s="1"/>
  <c r="U191" i="1"/>
  <c r="W191" i="1" s="1"/>
  <c r="U192" i="1"/>
  <c r="W192" i="1" s="1"/>
  <c r="U193" i="1"/>
  <c r="W193" i="1" s="1"/>
  <c r="U194" i="1"/>
  <c r="W194" i="1" s="1"/>
  <c r="U195" i="1"/>
  <c r="W195" i="1" s="1"/>
  <c r="U196" i="1"/>
  <c r="W196" i="1" s="1"/>
  <c r="U197" i="1"/>
  <c r="W197" i="1" s="1"/>
  <c r="U198" i="1"/>
  <c r="W198" i="1" s="1"/>
  <c r="U200" i="1"/>
  <c r="W200" i="1" s="1"/>
  <c r="U201" i="1"/>
  <c r="W201" i="1" s="1"/>
  <c r="U202" i="1"/>
  <c r="W202" i="1" s="1"/>
  <c r="U203" i="1"/>
  <c r="W203" i="1" s="1"/>
  <c r="U204" i="1"/>
  <c r="W204" i="1" s="1"/>
  <c r="U205" i="1"/>
  <c r="W205" i="1" s="1"/>
  <c r="U206" i="1"/>
  <c r="W206" i="1" s="1"/>
  <c r="U207" i="1"/>
  <c r="W207" i="1" s="1"/>
  <c r="U208" i="1"/>
  <c r="W208" i="1" s="1"/>
  <c r="U209" i="1"/>
  <c r="W209" i="1" s="1"/>
  <c r="U210" i="1"/>
  <c r="W210" i="1" s="1"/>
  <c r="U212" i="1"/>
  <c r="W212" i="1" s="1"/>
  <c r="U213" i="1"/>
  <c r="W213" i="1" s="1"/>
  <c r="U214" i="1"/>
  <c r="W214" i="1" s="1"/>
  <c r="U215" i="1"/>
  <c r="W215" i="1" s="1"/>
  <c r="U216" i="1"/>
  <c r="W216" i="1" s="1"/>
  <c r="U217" i="1"/>
  <c r="W217" i="1" s="1"/>
  <c r="U218" i="1"/>
  <c r="W218" i="1" s="1"/>
  <c r="U219" i="1"/>
  <c r="W219" i="1" s="1"/>
  <c r="U220" i="1"/>
  <c r="W220" i="1" s="1"/>
  <c r="U221" i="1"/>
  <c r="W221" i="1" s="1"/>
  <c r="U222" i="1"/>
  <c r="W222" i="1" s="1"/>
  <c r="U223" i="1"/>
  <c r="W223" i="1" s="1"/>
  <c r="S188" i="1"/>
  <c r="AR188" i="1" s="1"/>
  <c r="AM188" i="1" s="1"/>
  <c r="S189" i="1"/>
  <c r="AT189" i="1" s="1"/>
  <c r="AO189" i="1" s="1"/>
  <c r="S190" i="1"/>
  <c r="AT190" i="1" s="1"/>
  <c r="AO190" i="1" s="1"/>
  <c r="S191" i="1"/>
  <c r="AT191" i="1" s="1"/>
  <c r="AO191" i="1" s="1"/>
  <c r="S192" i="1"/>
  <c r="AS192" i="1" s="1"/>
  <c r="AN192" i="1" s="1"/>
  <c r="S193" i="1"/>
  <c r="AR193" i="1" s="1"/>
  <c r="AM193" i="1" s="1"/>
  <c r="S194" i="1"/>
  <c r="AR194" i="1" s="1"/>
  <c r="AM194" i="1" s="1"/>
  <c r="S195" i="1"/>
  <c r="AQ195" i="1" s="1"/>
  <c r="AL195" i="1" s="1"/>
  <c r="S196" i="1"/>
  <c r="AQ196" i="1" s="1"/>
  <c r="AL196" i="1" s="1"/>
  <c r="S197" i="1"/>
  <c r="AT197" i="1" s="1"/>
  <c r="AO197" i="1" s="1"/>
  <c r="S198" i="1"/>
  <c r="AT198" i="1" s="1"/>
  <c r="AO198" i="1" s="1"/>
  <c r="S199" i="1"/>
  <c r="AT199" i="1" s="1"/>
  <c r="AO199" i="1" s="1"/>
  <c r="S200" i="1"/>
  <c r="AR200" i="1" s="1"/>
  <c r="AM200" i="1" s="1"/>
  <c r="S201" i="1"/>
  <c r="AR201" i="1" s="1"/>
  <c r="AM201" i="1" s="1"/>
  <c r="S202" i="1"/>
  <c r="AR202" i="1" s="1"/>
  <c r="AM202" i="1" s="1"/>
  <c r="S203" i="1"/>
  <c r="AT203" i="1" s="1"/>
  <c r="AO203" i="1" s="1"/>
  <c r="S204" i="1"/>
  <c r="AT204" i="1" s="1"/>
  <c r="AO204" i="1" s="1"/>
  <c r="S205" i="1"/>
  <c r="AT205" i="1" s="1"/>
  <c r="AO205" i="1" s="1"/>
  <c r="S206" i="1"/>
  <c r="AS206" i="1" s="1"/>
  <c r="AN206" i="1" s="1"/>
  <c r="S207" i="1"/>
  <c r="AR207" i="1" s="1"/>
  <c r="AM207" i="1" s="1"/>
  <c r="S208" i="1"/>
  <c r="AR208" i="1" s="1"/>
  <c r="AM208" i="1" s="1"/>
  <c r="S209" i="1"/>
  <c r="AQ209" i="1" s="1"/>
  <c r="AL209" i="1" s="1"/>
  <c r="S210" i="1"/>
  <c r="AQ210" i="1" s="1"/>
  <c r="AL210" i="1" s="1"/>
  <c r="S211" i="1"/>
  <c r="AT211" i="1" s="1"/>
  <c r="AO211" i="1" s="1"/>
  <c r="S212" i="1"/>
  <c r="AT212" i="1" s="1"/>
  <c r="AO212" i="1" s="1"/>
  <c r="S213" i="1"/>
  <c r="AR213" i="1" s="1"/>
  <c r="AM213" i="1" s="1"/>
  <c r="S214" i="1"/>
  <c r="AR214" i="1" s="1"/>
  <c r="AM214" i="1" s="1"/>
  <c r="S215" i="1"/>
  <c r="AR215" i="1" s="1"/>
  <c r="AM215" i="1" s="1"/>
  <c r="S216" i="1"/>
  <c r="AR216" i="1" s="1"/>
  <c r="AM216" i="1" s="1"/>
  <c r="S217" i="1"/>
  <c r="AT217" i="1" s="1"/>
  <c r="AO217" i="1" s="1"/>
  <c r="S218" i="1"/>
  <c r="AT218" i="1" s="1"/>
  <c r="AO218" i="1" s="1"/>
  <c r="S219" i="1"/>
  <c r="AT219" i="1" s="1"/>
  <c r="AO219" i="1" s="1"/>
  <c r="S220" i="1"/>
  <c r="AS220" i="1" s="1"/>
  <c r="AN220" i="1" s="1"/>
  <c r="S221" i="1"/>
  <c r="AR221" i="1" s="1"/>
  <c r="AM221" i="1" s="1"/>
  <c r="S222" i="1"/>
  <c r="AR222" i="1" s="1"/>
  <c r="AM222" i="1" s="1"/>
  <c r="S223"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AK187" i="1"/>
  <c r="AI187" i="1"/>
  <c r="AH187" i="1"/>
  <c r="AK186" i="1"/>
  <c r="AI186" i="1"/>
  <c r="AH186" i="1"/>
  <c r="AK185" i="1"/>
  <c r="AI185" i="1"/>
  <c r="AH185" i="1"/>
  <c r="AK184" i="1"/>
  <c r="AI184" i="1"/>
  <c r="AH184" i="1"/>
  <c r="AK183" i="1"/>
  <c r="AI183" i="1"/>
  <c r="AH183" i="1"/>
  <c r="AK182" i="1"/>
  <c r="AI182" i="1"/>
  <c r="AH182" i="1"/>
  <c r="AK181" i="1"/>
  <c r="AI181" i="1"/>
  <c r="AH181" i="1"/>
  <c r="AG181" i="1"/>
  <c r="AK180" i="1"/>
  <c r="AI180" i="1"/>
  <c r="AH180" i="1"/>
  <c r="AK179" i="1"/>
  <c r="AI179" i="1"/>
  <c r="AH179" i="1"/>
  <c r="AK178" i="1"/>
  <c r="AI178" i="1"/>
  <c r="AH178" i="1"/>
  <c r="AK177" i="1"/>
  <c r="AI177" i="1"/>
  <c r="AH177" i="1"/>
  <c r="AK176" i="1"/>
  <c r="AI176" i="1"/>
  <c r="AH176" i="1"/>
  <c r="AK175" i="1"/>
  <c r="AI175" i="1"/>
  <c r="AH175" i="1"/>
  <c r="AG175" i="1"/>
  <c r="AK174" i="1"/>
  <c r="AI174" i="1"/>
  <c r="AH174" i="1"/>
  <c r="AG174" i="1"/>
  <c r="AK173" i="1"/>
  <c r="AI173" i="1"/>
  <c r="AH173" i="1"/>
  <c r="AK172" i="1"/>
  <c r="AI172" i="1"/>
  <c r="AH172" i="1"/>
  <c r="AK171" i="1"/>
  <c r="AI171" i="1"/>
  <c r="AH171" i="1"/>
  <c r="AK170" i="1"/>
  <c r="AI170" i="1"/>
  <c r="AH170" i="1"/>
  <c r="AG170" i="1"/>
  <c r="AK169" i="1"/>
  <c r="S169" i="1" s="1"/>
  <c r="AQ169" i="1" s="1"/>
  <c r="AL169" i="1" s="1"/>
  <c r="AK168" i="1"/>
  <c r="AI168" i="1"/>
  <c r="AH168" i="1"/>
  <c r="AG168" i="1"/>
  <c r="AK167" i="1"/>
  <c r="AI167" i="1"/>
  <c r="AH167" i="1"/>
  <c r="AK166" i="1"/>
  <c r="AI166" i="1"/>
  <c r="AH166" i="1"/>
  <c r="AG166" i="1"/>
  <c r="AK165" i="1"/>
  <c r="AI165" i="1"/>
  <c r="AH165" i="1"/>
  <c r="AK164" i="1"/>
  <c r="AI164" i="1"/>
  <c r="AH164" i="1"/>
  <c r="AK163" i="1"/>
  <c r="AI163" i="1"/>
  <c r="AH163" i="1"/>
  <c r="AK162" i="1"/>
  <c r="AI162" i="1"/>
  <c r="AH162" i="1"/>
  <c r="AG162" i="1"/>
  <c r="AK161" i="1"/>
  <c r="AI161" i="1"/>
  <c r="AH161" i="1"/>
  <c r="AG161" i="1"/>
  <c r="AK160" i="1"/>
  <c r="AI160" i="1"/>
  <c r="AH160" i="1"/>
  <c r="AG160" i="1"/>
  <c r="AK159" i="1"/>
  <c r="AI159" i="1"/>
  <c r="AH159" i="1"/>
  <c r="AK158" i="1"/>
  <c r="AI158" i="1"/>
  <c r="AH158" i="1"/>
  <c r="AK157" i="1"/>
  <c r="AI157" i="1"/>
  <c r="AH157" i="1"/>
  <c r="AG157" i="1"/>
  <c r="AK156" i="1"/>
  <c r="AI156" i="1"/>
  <c r="AH156" i="1"/>
  <c r="AK155" i="1"/>
  <c r="AI155" i="1"/>
  <c r="AH155" i="1"/>
  <c r="AG155" i="1"/>
  <c r="AK154" i="1"/>
  <c r="AI154" i="1"/>
  <c r="AH154" i="1"/>
  <c r="AK153" i="1"/>
  <c r="S153" i="1" s="1"/>
  <c r="AQ153" i="1" s="1"/>
  <c r="AL153" i="1" s="1"/>
  <c r="AK152" i="1"/>
  <c r="AI152" i="1"/>
  <c r="AH152" i="1"/>
  <c r="AK151" i="1"/>
  <c r="AI151" i="1"/>
  <c r="AH151" i="1"/>
  <c r="AK150" i="1"/>
  <c r="AI150" i="1"/>
  <c r="AH150" i="1"/>
  <c r="BA4" i="5"/>
  <c r="V15" i="5"/>
  <c r="V16" i="5"/>
  <c r="V17" i="5"/>
  <c r="V18" i="5"/>
  <c r="V19" i="5"/>
  <c r="V14" i="5"/>
  <c r="BA4" i="6"/>
  <c r="V17" i="6"/>
  <c r="V18" i="6"/>
  <c r="V19" i="6"/>
  <c r="V20" i="6"/>
  <c r="V21" i="6"/>
  <c r="V22" i="6"/>
  <c r="V16" i="6"/>
  <c r="BA4" i="7"/>
  <c r="V29" i="7"/>
  <c r="V30" i="7"/>
  <c r="V31" i="7"/>
  <c r="V32" i="7"/>
  <c r="V33" i="7"/>
  <c r="V34" i="7"/>
  <c r="V35" i="7"/>
  <c r="V36" i="7"/>
  <c r="V37" i="7"/>
  <c r="V38" i="7"/>
  <c r="V39" i="7"/>
  <c r="V40" i="7"/>
  <c r="V28" i="7"/>
  <c r="BA4" i="8"/>
  <c r="AX4" i="8"/>
  <c r="V35" i="8"/>
  <c r="V36" i="8"/>
  <c r="V37" i="8"/>
  <c r="V38" i="8"/>
  <c r="V39" i="8"/>
  <c r="V40" i="8"/>
  <c r="V41" i="8"/>
  <c r="V42" i="8"/>
  <c r="V43" i="8"/>
  <c r="V44" i="8"/>
  <c r="V45" i="8"/>
  <c r="V46" i="8"/>
  <c r="V47" i="8"/>
  <c r="V48" i="8"/>
  <c r="V49" i="8"/>
  <c r="V34" i="8"/>
  <c r="S49" i="8"/>
  <c r="S48" i="8"/>
  <c r="S47" i="8"/>
  <c r="S46" i="8"/>
  <c r="S45" i="8"/>
  <c r="S44" i="8"/>
  <c r="S43" i="8"/>
  <c r="S42" i="8"/>
  <c r="S41" i="8"/>
  <c r="S40" i="8"/>
  <c r="S39" i="8"/>
  <c r="S38" i="8"/>
  <c r="S37" i="8"/>
  <c r="S36" i="8"/>
  <c r="S35" i="8"/>
  <c r="S34" i="8"/>
  <c r="AV150" i="1"/>
  <c r="AV151" i="1"/>
  <c r="AV152" i="1"/>
  <c r="AV153" i="1"/>
  <c r="AV154" i="1"/>
  <c r="AV155" i="1"/>
  <c r="AV156" i="1"/>
  <c r="AV157" i="1"/>
  <c r="AV158" i="1"/>
  <c r="AV159" i="1"/>
  <c r="AV160" i="1"/>
  <c r="AV161" i="1"/>
  <c r="AV162" i="1"/>
  <c r="AV163" i="1"/>
  <c r="AV164" i="1"/>
  <c r="AV165" i="1"/>
  <c r="AV166" i="1"/>
  <c r="AV167" i="1"/>
  <c r="AV168" i="1"/>
  <c r="AV169" i="1"/>
  <c r="AV170" i="1"/>
  <c r="AV171" i="1"/>
  <c r="AV172" i="1"/>
  <c r="AV173" i="1"/>
  <c r="AV174" i="1"/>
  <c r="AV175" i="1"/>
  <c r="AV176" i="1"/>
  <c r="AV177" i="1"/>
  <c r="AV178" i="1"/>
  <c r="AV179" i="1"/>
  <c r="AV180" i="1"/>
  <c r="AV181" i="1"/>
  <c r="AV182" i="1"/>
  <c r="AV183" i="1"/>
  <c r="AV184" i="1"/>
  <c r="AV185" i="1"/>
  <c r="AV186" i="1"/>
  <c r="AV187" i="1"/>
  <c r="AU150" i="1"/>
  <c r="AP150" i="1" s="1"/>
  <c r="AU151" i="1"/>
  <c r="AP151" i="1" s="1"/>
  <c r="AU152" i="1"/>
  <c r="AP152" i="1" s="1"/>
  <c r="AU153" i="1"/>
  <c r="AP153" i="1" s="1"/>
  <c r="AU154" i="1"/>
  <c r="AP154" i="1" s="1"/>
  <c r="AU155" i="1"/>
  <c r="AP155" i="1" s="1"/>
  <c r="AU156" i="1"/>
  <c r="AP156" i="1" s="1"/>
  <c r="AU157" i="1"/>
  <c r="AP157" i="1" s="1"/>
  <c r="AU158" i="1"/>
  <c r="AP158" i="1" s="1"/>
  <c r="AU159" i="1"/>
  <c r="AP159" i="1" s="1"/>
  <c r="AU160" i="1"/>
  <c r="AP160" i="1" s="1"/>
  <c r="AU161" i="1"/>
  <c r="AP161" i="1" s="1"/>
  <c r="AU162" i="1"/>
  <c r="AP162" i="1" s="1"/>
  <c r="AU163" i="1"/>
  <c r="AP163" i="1" s="1"/>
  <c r="AU164" i="1"/>
  <c r="AP164" i="1" s="1"/>
  <c r="AU165" i="1"/>
  <c r="AP165" i="1" s="1"/>
  <c r="AU166" i="1"/>
  <c r="AP166" i="1" s="1"/>
  <c r="AU167" i="1"/>
  <c r="AP167" i="1" s="1"/>
  <c r="AU168" i="1"/>
  <c r="AP168" i="1" s="1"/>
  <c r="AU169" i="1"/>
  <c r="AP169" i="1" s="1"/>
  <c r="AU170" i="1"/>
  <c r="AP170" i="1" s="1"/>
  <c r="AU171" i="1"/>
  <c r="AP171" i="1" s="1"/>
  <c r="AU172" i="1"/>
  <c r="AP172" i="1" s="1"/>
  <c r="AU173" i="1"/>
  <c r="AP173" i="1" s="1"/>
  <c r="AU174" i="1"/>
  <c r="AP174" i="1" s="1"/>
  <c r="AU175" i="1"/>
  <c r="AP175" i="1" s="1"/>
  <c r="AU176" i="1"/>
  <c r="AP176" i="1" s="1"/>
  <c r="AU177" i="1"/>
  <c r="AP177" i="1" s="1"/>
  <c r="AU178" i="1"/>
  <c r="AP178" i="1" s="1"/>
  <c r="AU179" i="1"/>
  <c r="AP179" i="1" s="1"/>
  <c r="AU180" i="1"/>
  <c r="AP180" i="1" s="1"/>
  <c r="AU181" i="1"/>
  <c r="AP181" i="1" s="1"/>
  <c r="AU182" i="1"/>
  <c r="AP182" i="1" s="1"/>
  <c r="AU183" i="1"/>
  <c r="AP183" i="1" s="1"/>
  <c r="AU184" i="1"/>
  <c r="AP184" i="1" s="1"/>
  <c r="AU185" i="1"/>
  <c r="AP185" i="1" s="1"/>
  <c r="AU186" i="1"/>
  <c r="AP186" i="1" s="1"/>
  <c r="AU187" i="1"/>
  <c r="AP187" i="1" s="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U150" i="1"/>
  <c r="W150" i="1" s="1"/>
  <c r="U151" i="1"/>
  <c r="W151" i="1" s="1"/>
  <c r="U152" i="1"/>
  <c r="W152" i="1" s="1"/>
  <c r="U153" i="1"/>
  <c r="W153" i="1" s="1"/>
  <c r="U154" i="1"/>
  <c r="W154" i="1" s="1"/>
  <c r="U155" i="1"/>
  <c r="W155" i="1" s="1"/>
  <c r="U156" i="1"/>
  <c r="W156" i="1" s="1"/>
  <c r="U157" i="1"/>
  <c r="W157" i="1" s="1"/>
  <c r="U158" i="1"/>
  <c r="W158" i="1" s="1"/>
  <c r="U159" i="1"/>
  <c r="W159" i="1" s="1"/>
  <c r="U160" i="1"/>
  <c r="W160" i="1" s="1"/>
  <c r="U162" i="1"/>
  <c r="W162" i="1" s="1"/>
  <c r="U163" i="1"/>
  <c r="W163" i="1" s="1"/>
  <c r="U164" i="1"/>
  <c r="W164" i="1" s="1"/>
  <c r="U165" i="1"/>
  <c r="W165" i="1" s="1"/>
  <c r="U166" i="1"/>
  <c r="W166" i="1" s="1"/>
  <c r="U167" i="1"/>
  <c r="W167" i="1" s="1"/>
  <c r="U168" i="1"/>
  <c r="W168" i="1" s="1"/>
  <c r="U169" i="1"/>
  <c r="W169" i="1" s="1"/>
  <c r="U170" i="1"/>
  <c r="W170" i="1" s="1"/>
  <c r="U171" i="1"/>
  <c r="W171" i="1" s="1"/>
  <c r="U172" i="1"/>
  <c r="W172" i="1" s="1"/>
  <c r="U174" i="1"/>
  <c r="W174" i="1" s="1"/>
  <c r="U176" i="1"/>
  <c r="W176" i="1" s="1"/>
  <c r="U177" i="1"/>
  <c r="W177" i="1" s="1"/>
  <c r="U178" i="1"/>
  <c r="W178" i="1" s="1"/>
  <c r="U179" i="1"/>
  <c r="W179" i="1" s="1"/>
  <c r="U180" i="1"/>
  <c r="W180" i="1" s="1"/>
  <c r="U181" i="1"/>
  <c r="W181" i="1" s="1"/>
  <c r="U182" i="1"/>
  <c r="W182" i="1" s="1"/>
  <c r="U183" i="1"/>
  <c r="W183" i="1" s="1"/>
  <c r="U184" i="1"/>
  <c r="W184" i="1" s="1"/>
  <c r="U185" i="1"/>
  <c r="W185" i="1" s="1"/>
  <c r="U186" i="1"/>
  <c r="W186" i="1" s="1"/>
  <c r="AK149" i="1"/>
  <c r="AJ149" i="1"/>
  <c r="AK148" i="1"/>
  <c r="AJ148" i="1"/>
  <c r="AK147" i="1"/>
  <c r="AJ147" i="1"/>
  <c r="AK146" i="1"/>
  <c r="AJ146" i="1"/>
  <c r="AK145" i="1"/>
  <c r="AJ145" i="1"/>
  <c r="AK144" i="1"/>
  <c r="AJ144" i="1"/>
  <c r="AK143" i="1"/>
  <c r="AJ143" i="1"/>
  <c r="AK142" i="1"/>
  <c r="AJ142" i="1"/>
  <c r="AK141" i="1"/>
  <c r="AJ141" i="1"/>
  <c r="AK140" i="1"/>
  <c r="AJ140" i="1"/>
  <c r="AK139" i="1"/>
  <c r="AJ139" i="1"/>
  <c r="AK138" i="1"/>
  <c r="AJ138" i="1"/>
  <c r="AK137" i="1"/>
  <c r="AJ137" i="1"/>
  <c r="AK136" i="1"/>
  <c r="AJ136" i="1"/>
  <c r="AK135" i="1"/>
  <c r="AJ135" i="1"/>
  <c r="AK134" i="1"/>
  <c r="AJ134" i="1"/>
  <c r="AK133" i="1"/>
  <c r="AJ133" i="1"/>
  <c r="AK132" i="1"/>
  <c r="AJ132" i="1"/>
  <c r="AK131" i="1"/>
  <c r="AJ131" i="1"/>
  <c r="AK130" i="1"/>
  <c r="AJ130" i="1"/>
  <c r="AK129" i="1"/>
  <c r="AJ129" i="1"/>
  <c r="AK128" i="1"/>
  <c r="AJ128" i="1"/>
  <c r="AK127" i="1"/>
  <c r="AJ127" i="1"/>
  <c r="AK126" i="1"/>
  <c r="AJ126" i="1"/>
  <c r="AK125" i="1"/>
  <c r="AJ125" i="1"/>
  <c r="AK124" i="1"/>
  <c r="S124" i="1" s="1"/>
  <c r="AT124" i="1" s="1"/>
  <c r="AO124" i="1" s="1"/>
  <c r="AK123" i="1"/>
  <c r="S123" i="1" s="1"/>
  <c r="AT123" i="1" s="1"/>
  <c r="AO123" i="1" s="1"/>
  <c r="AK122" i="1"/>
  <c r="AJ122" i="1"/>
  <c r="AK121" i="1"/>
  <c r="AJ121" i="1"/>
  <c r="AK120" i="1"/>
  <c r="AJ120" i="1"/>
  <c r="AK119" i="1"/>
  <c r="AJ119" i="1"/>
  <c r="AK118" i="1"/>
  <c r="AJ118" i="1"/>
  <c r="AK117" i="1"/>
  <c r="AJ117" i="1"/>
  <c r="AK116" i="1"/>
  <c r="AJ116" i="1"/>
  <c r="AK115" i="1"/>
  <c r="AJ115" i="1"/>
  <c r="AK114" i="1"/>
  <c r="AJ114" i="1"/>
  <c r="AK113" i="1"/>
  <c r="AJ113" i="1"/>
  <c r="BA4" i="9"/>
  <c r="AX4" i="9"/>
  <c r="V15" i="9"/>
  <c r="V16" i="9"/>
  <c r="V17" i="9"/>
  <c r="V18" i="9"/>
  <c r="V19" i="9"/>
  <c r="V14" i="9"/>
  <c r="S19" i="9"/>
  <c r="S18" i="9"/>
  <c r="S17" i="9"/>
  <c r="S16" i="9"/>
  <c r="S15" i="9"/>
  <c r="S14" i="9"/>
  <c r="BA4" i="10"/>
  <c r="AX4" i="10"/>
  <c r="V19" i="10"/>
  <c r="V20" i="10"/>
  <c r="V21" i="10"/>
  <c r="V22" i="10"/>
  <c r="V23" i="10"/>
  <c r="V24" i="10"/>
  <c r="V25" i="10"/>
  <c r="V18" i="10"/>
  <c r="S25" i="10"/>
  <c r="S24" i="10"/>
  <c r="S23" i="10"/>
  <c r="S22" i="10"/>
  <c r="S21" i="10"/>
  <c r="S20" i="10"/>
  <c r="S19" i="10"/>
  <c r="S18" i="10"/>
  <c r="U113" i="1"/>
  <c r="W113" i="1" s="1"/>
  <c r="U114" i="1"/>
  <c r="W114" i="1" s="1"/>
  <c r="U115" i="1"/>
  <c r="W115" i="1" s="1"/>
  <c r="U116" i="1"/>
  <c r="W116" i="1" s="1"/>
  <c r="U117" i="1"/>
  <c r="W117" i="1" s="1"/>
  <c r="U118" i="1"/>
  <c r="W118" i="1" s="1"/>
  <c r="U119" i="1"/>
  <c r="W119" i="1" s="1"/>
  <c r="U120" i="1"/>
  <c r="W120" i="1" s="1"/>
  <c r="U121" i="1"/>
  <c r="W121" i="1" s="1"/>
  <c r="U122" i="1"/>
  <c r="W122" i="1" s="1"/>
  <c r="U123" i="1"/>
  <c r="W123" i="1" s="1"/>
  <c r="U125" i="1"/>
  <c r="W125" i="1" s="1"/>
  <c r="U126" i="1"/>
  <c r="W126" i="1" s="1"/>
  <c r="U127" i="1"/>
  <c r="W127" i="1" s="1"/>
  <c r="U128" i="1"/>
  <c r="W128" i="1" s="1"/>
  <c r="U129" i="1"/>
  <c r="W129" i="1" s="1"/>
  <c r="U130" i="1"/>
  <c r="W130" i="1" s="1"/>
  <c r="U131" i="1"/>
  <c r="W131" i="1" s="1"/>
  <c r="U132" i="1"/>
  <c r="W132" i="1" s="1"/>
  <c r="U133" i="1"/>
  <c r="W133" i="1" s="1"/>
  <c r="U134" i="1"/>
  <c r="W134" i="1" s="1"/>
  <c r="U135" i="1"/>
  <c r="W135" i="1" s="1"/>
  <c r="U137" i="1"/>
  <c r="W137" i="1" s="1"/>
  <c r="U138" i="1"/>
  <c r="W138" i="1" s="1"/>
  <c r="U139" i="1"/>
  <c r="W139" i="1" s="1"/>
  <c r="U140" i="1"/>
  <c r="W140" i="1" s="1"/>
  <c r="U141" i="1"/>
  <c r="W141" i="1" s="1"/>
  <c r="U142" i="1"/>
  <c r="W142" i="1" s="1"/>
  <c r="U143" i="1"/>
  <c r="W143" i="1" s="1"/>
  <c r="U144" i="1"/>
  <c r="W144" i="1" s="1"/>
  <c r="U145" i="1"/>
  <c r="W145" i="1" s="1"/>
  <c r="U146" i="1"/>
  <c r="W146" i="1" s="1"/>
  <c r="U147" i="1"/>
  <c r="W147" i="1" s="1"/>
  <c r="U148" i="1"/>
  <c r="W148" i="1" s="1"/>
  <c r="AV113" i="1"/>
  <c r="AV114" i="1"/>
  <c r="AV115" i="1"/>
  <c r="AV116" i="1"/>
  <c r="AV117" i="1"/>
  <c r="AV118" i="1"/>
  <c r="AV119" i="1"/>
  <c r="AV120" i="1"/>
  <c r="AV121" i="1"/>
  <c r="AV122" i="1"/>
  <c r="AV123" i="1"/>
  <c r="AV124" i="1"/>
  <c r="AV125" i="1"/>
  <c r="AV126" i="1"/>
  <c r="AV127" i="1"/>
  <c r="AV128" i="1"/>
  <c r="AV129" i="1"/>
  <c r="AV130" i="1"/>
  <c r="AV131" i="1"/>
  <c r="AV132" i="1"/>
  <c r="AV133" i="1"/>
  <c r="AV134" i="1"/>
  <c r="AV135" i="1"/>
  <c r="AV136" i="1"/>
  <c r="AV137" i="1"/>
  <c r="AV138" i="1"/>
  <c r="AV139" i="1"/>
  <c r="AV140" i="1"/>
  <c r="AV141" i="1"/>
  <c r="AV142" i="1"/>
  <c r="AV143" i="1"/>
  <c r="AV144" i="1"/>
  <c r="AV145" i="1"/>
  <c r="AV146" i="1"/>
  <c r="AV147" i="1"/>
  <c r="AV148" i="1"/>
  <c r="AV149" i="1"/>
  <c r="AU113" i="1"/>
  <c r="AP113" i="1" s="1"/>
  <c r="AU114" i="1"/>
  <c r="AP114" i="1" s="1"/>
  <c r="AU115" i="1"/>
  <c r="AP115" i="1" s="1"/>
  <c r="AU116" i="1"/>
  <c r="AP116" i="1" s="1"/>
  <c r="AU117" i="1"/>
  <c r="AP117" i="1" s="1"/>
  <c r="AU118" i="1"/>
  <c r="AP118" i="1" s="1"/>
  <c r="AU119" i="1"/>
  <c r="AP119" i="1" s="1"/>
  <c r="AU120" i="1"/>
  <c r="AP120" i="1" s="1"/>
  <c r="AU121" i="1"/>
  <c r="AP121" i="1" s="1"/>
  <c r="AU122" i="1"/>
  <c r="AP122" i="1" s="1"/>
  <c r="AU123" i="1"/>
  <c r="AP123" i="1" s="1"/>
  <c r="AU124" i="1"/>
  <c r="AP124" i="1" s="1"/>
  <c r="AU125" i="1"/>
  <c r="AP125" i="1" s="1"/>
  <c r="AU126" i="1"/>
  <c r="AP126" i="1" s="1"/>
  <c r="AU127" i="1"/>
  <c r="AP127" i="1" s="1"/>
  <c r="AU128" i="1"/>
  <c r="AP128" i="1" s="1"/>
  <c r="AU129" i="1"/>
  <c r="AP129" i="1" s="1"/>
  <c r="AU130" i="1"/>
  <c r="AP130" i="1" s="1"/>
  <c r="AU131" i="1"/>
  <c r="AP131" i="1" s="1"/>
  <c r="AU132" i="1"/>
  <c r="AP132" i="1" s="1"/>
  <c r="AU133" i="1"/>
  <c r="AP133" i="1" s="1"/>
  <c r="AU134" i="1"/>
  <c r="AP134" i="1" s="1"/>
  <c r="AU135" i="1"/>
  <c r="AP135" i="1" s="1"/>
  <c r="AU136" i="1"/>
  <c r="AP136" i="1" s="1"/>
  <c r="AU137" i="1"/>
  <c r="AP137" i="1" s="1"/>
  <c r="AU138" i="1"/>
  <c r="AP138" i="1" s="1"/>
  <c r="AU139" i="1"/>
  <c r="AP139" i="1" s="1"/>
  <c r="AU140" i="1"/>
  <c r="AP140" i="1" s="1"/>
  <c r="AU141" i="1"/>
  <c r="AP141" i="1" s="1"/>
  <c r="AU142" i="1"/>
  <c r="AP142" i="1" s="1"/>
  <c r="AU143" i="1"/>
  <c r="AP143" i="1" s="1"/>
  <c r="AU144" i="1"/>
  <c r="AP144" i="1" s="1"/>
  <c r="AU145" i="1"/>
  <c r="AP145" i="1" s="1"/>
  <c r="AU146" i="1"/>
  <c r="AP146" i="1" s="1"/>
  <c r="AU147" i="1"/>
  <c r="AP147" i="1" s="1"/>
  <c r="AU148" i="1"/>
  <c r="AP148" i="1" s="1"/>
  <c r="AU149" i="1"/>
  <c r="AP149" i="1" s="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AV3" i="1"/>
  <c r="AV4" i="1"/>
  <c r="AV5" i="1"/>
  <c r="AV6" i="1"/>
  <c r="AV7" i="1"/>
  <c r="AV8" i="1"/>
  <c r="AV9" i="1"/>
  <c r="AV10" i="1"/>
  <c r="AV11" i="1"/>
  <c r="AV12" i="1"/>
  <c r="AV13" i="1"/>
  <c r="AV14" i="1"/>
  <c r="AV15" i="1"/>
  <c r="AV16" i="1"/>
  <c r="AV17" i="1"/>
  <c r="AV18" i="1"/>
  <c r="AV19" i="1"/>
  <c r="AV20" i="1"/>
  <c r="AV21" i="1"/>
  <c r="AV22" i="1"/>
  <c r="AV23" i="1"/>
  <c r="AV24" i="1"/>
  <c r="AV25" i="1"/>
  <c r="AV26" i="1"/>
  <c r="AV27" i="1"/>
  <c r="AV28" i="1"/>
  <c r="AV29" i="1"/>
  <c r="AV30" i="1"/>
  <c r="AV31" i="1"/>
  <c r="AV32" i="1"/>
  <c r="AV33" i="1"/>
  <c r="AV34" i="1"/>
  <c r="AV35" i="1"/>
  <c r="AV36" i="1"/>
  <c r="AV37" i="1"/>
  <c r="AV38" i="1"/>
  <c r="AV39" i="1"/>
  <c r="AV40" i="1"/>
  <c r="AV41" i="1"/>
  <c r="AV42" i="1"/>
  <c r="AV43" i="1"/>
  <c r="AV44" i="1"/>
  <c r="AV45" i="1"/>
  <c r="AV46" i="1"/>
  <c r="AV47" i="1"/>
  <c r="AV48" i="1"/>
  <c r="AV49" i="1"/>
  <c r="AV50" i="1"/>
  <c r="AV51" i="1"/>
  <c r="AV52" i="1"/>
  <c r="AV53" i="1"/>
  <c r="AV54" i="1"/>
  <c r="AV55" i="1"/>
  <c r="AV56" i="1"/>
  <c r="AV57" i="1"/>
  <c r="AV58" i="1"/>
  <c r="AV59" i="1"/>
  <c r="AV60" i="1"/>
  <c r="AV61" i="1"/>
  <c r="AV62" i="1"/>
  <c r="AV63" i="1"/>
  <c r="AV64" i="1"/>
  <c r="AV65" i="1"/>
  <c r="AV66" i="1"/>
  <c r="AV67" i="1"/>
  <c r="AV68" i="1"/>
  <c r="AV69" i="1"/>
  <c r="AV70" i="1"/>
  <c r="AV71" i="1"/>
  <c r="AV72" i="1"/>
  <c r="AV73" i="1"/>
  <c r="AV74" i="1"/>
  <c r="AV75" i="1"/>
  <c r="AV76" i="1"/>
  <c r="AV77" i="1"/>
  <c r="AV78" i="1"/>
  <c r="AV79" i="1"/>
  <c r="AV80" i="1"/>
  <c r="AV81" i="1"/>
  <c r="AV82" i="1"/>
  <c r="AV83" i="1"/>
  <c r="AV84" i="1"/>
  <c r="AV85" i="1"/>
  <c r="AV86" i="1"/>
  <c r="AV87" i="1"/>
  <c r="AV88" i="1"/>
  <c r="AV89" i="1"/>
  <c r="AV90" i="1"/>
  <c r="AV91" i="1"/>
  <c r="AV92" i="1"/>
  <c r="AV93" i="1"/>
  <c r="AV94" i="1"/>
  <c r="AV95" i="1"/>
  <c r="AV96" i="1"/>
  <c r="AV97" i="1"/>
  <c r="AV98" i="1"/>
  <c r="AV99" i="1"/>
  <c r="AV100" i="1"/>
  <c r="AV101" i="1"/>
  <c r="AV102" i="1"/>
  <c r="AV103" i="1"/>
  <c r="AV104" i="1"/>
  <c r="AV105" i="1"/>
  <c r="AV106" i="1"/>
  <c r="AV107" i="1"/>
  <c r="AV108" i="1"/>
  <c r="AV109" i="1"/>
  <c r="AV110" i="1"/>
  <c r="AV111" i="1"/>
  <c r="AV112" i="1"/>
  <c r="AU3" i="1"/>
  <c r="AP3" i="1" s="1"/>
  <c r="AU4" i="1"/>
  <c r="AP4" i="1" s="1"/>
  <c r="AU5" i="1"/>
  <c r="AP5" i="1" s="1"/>
  <c r="AU6" i="1"/>
  <c r="AP6" i="1" s="1"/>
  <c r="AU7" i="1"/>
  <c r="AP7" i="1" s="1"/>
  <c r="AU8" i="1"/>
  <c r="AP8" i="1" s="1"/>
  <c r="AU9" i="1"/>
  <c r="AP9" i="1" s="1"/>
  <c r="AU10" i="1"/>
  <c r="AP10" i="1" s="1"/>
  <c r="AU11" i="1"/>
  <c r="AP11" i="1" s="1"/>
  <c r="AU12" i="1"/>
  <c r="AP12" i="1" s="1"/>
  <c r="AU13" i="1"/>
  <c r="AP13" i="1" s="1"/>
  <c r="AU14" i="1"/>
  <c r="AP14" i="1" s="1"/>
  <c r="AU15" i="1"/>
  <c r="AP15" i="1" s="1"/>
  <c r="AU16" i="1"/>
  <c r="AP16" i="1" s="1"/>
  <c r="AU17" i="1"/>
  <c r="AP17" i="1" s="1"/>
  <c r="AU18" i="1"/>
  <c r="AP18" i="1" s="1"/>
  <c r="AU19" i="1"/>
  <c r="AP19" i="1" s="1"/>
  <c r="AU20" i="1"/>
  <c r="AP20" i="1" s="1"/>
  <c r="AU21" i="1"/>
  <c r="AP21" i="1" s="1"/>
  <c r="AU22" i="1"/>
  <c r="AP22" i="1" s="1"/>
  <c r="AU23" i="1"/>
  <c r="AP23" i="1" s="1"/>
  <c r="AU24" i="1"/>
  <c r="AP24" i="1" s="1"/>
  <c r="AU25" i="1"/>
  <c r="AP25" i="1" s="1"/>
  <c r="AU26" i="1"/>
  <c r="AP26" i="1" s="1"/>
  <c r="AU27" i="1"/>
  <c r="AP27" i="1" s="1"/>
  <c r="AU28" i="1"/>
  <c r="AP28" i="1" s="1"/>
  <c r="AU29" i="1"/>
  <c r="AP29" i="1" s="1"/>
  <c r="AU30" i="1"/>
  <c r="AP30" i="1" s="1"/>
  <c r="AU31" i="1"/>
  <c r="AP31" i="1" s="1"/>
  <c r="AU32" i="1"/>
  <c r="AP32" i="1" s="1"/>
  <c r="AU33" i="1"/>
  <c r="AP33" i="1" s="1"/>
  <c r="AU34" i="1"/>
  <c r="AP34" i="1" s="1"/>
  <c r="AU35" i="1"/>
  <c r="AP35" i="1" s="1"/>
  <c r="AU36" i="1"/>
  <c r="AP36" i="1" s="1"/>
  <c r="AU37" i="1"/>
  <c r="AP37" i="1" s="1"/>
  <c r="AU38" i="1"/>
  <c r="AP38" i="1" s="1"/>
  <c r="AU39" i="1"/>
  <c r="AP39" i="1" s="1"/>
  <c r="AU40" i="1"/>
  <c r="AP40" i="1" s="1"/>
  <c r="AU41" i="1"/>
  <c r="AP41" i="1" s="1"/>
  <c r="AU42" i="1"/>
  <c r="AP42" i="1" s="1"/>
  <c r="AU43" i="1"/>
  <c r="AP43" i="1" s="1"/>
  <c r="AU44" i="1"/>
  <c r="AP44" i="1" s="1"/>
  <c r="AU45" i="1"/>
  <c r="AP45" i="1" s="1"/>
  <c r="AU46" i="1"/>
  <c r="AP46" i="1" s="1"/>
  <c r="AU47" i="1"/>
  <c r="AP47" i="1" s="1"/>
  <c r="AU48" i="1"/>
  <c r="AP48" i="1" s="1"/>
  <c r="AU49" i="1"/>
  <c r="AP49" i="1" s="1"/>
  <c r="AU50" i="1"/>
  <c r="AP50" i="1" s="1"/>
  <c r="AU51" i="1"/>
  <c r="AP51" i="1" s="1"/>
  <c r="AU52" i="1"/>
  <c r="AP52" i="1" s="1"/>
  <c r="AU53" i="1"/>
  <c r="AP53" i="1" s="1"/>
  <c r="AU54" i="1"/>
  <c r="AP54" i="1" s="1"/>
  <c r="AU55" i="1"/>
  <c r="AP55" i="1" s="1"/>
  <c r="AU56" i="1"/>
  <c r="AP56" i="1" s="1"/>
  <c r="AU57" i="1"/>
  <c r="AP57" i="1" s="1"/>
  <c r="AU58" i="1"/>
  <c r="AP58" i="1" s="1"/>
  <c r="AU59" i="1"/>
  <c r="AP59" i="1" s="1"/>
  <c r="AU60" i="1"/>
  <c r="AP60" i="1" s="1"/>
  <c r="AU61" i="1"/>
  <c r="AP61" i="1" s="1"/>
  <c r="AU62" i="1"/>
  <c r="AP62" i="1" s="1"/>
  <c r="AU63" i="1"/>
  <c r="AP63" i="1" s="1"/>
  <c r="AU64" i="1"/>
  <c r="AP64" i="1" s="1"/>
  <c r="AU65" i="1"/>
  <c r="AP65" i="1" s="1"/>
  <c r="AU66" i="1"/>
  <c r="AP66" i="1" s="1"/>
  <c r="AU67" i="1"/>
  <c r="AP67" i="1" s="1"/>
  <c r="AU68" i="1"/>
  <c r="AP68" i="1" s="1"/>
  <c r="AU69" i="1"/>
  <c r="AP69" i="1" s="1"/>
  <c r="AU70" i="1"/>
  <c r="AP70" i="1" s="1"/>
  <c r="AU71" i="1"/>
  <c r="AP71" i="1" s="1"/>
  <c r="AU72" i="1"/>
  <c r="AP72" i="1" s="1"/>
  <c r="AU73" i="1"/>
  <c r="AP73" i="1" s="1"/>
  <c r="AU74" i="1"/>
  <c r="AP74" i="1" s="1"/>
  <c r="AU75" i="1"/>
  <c r="AP75" i="1" s="1"/>
  <c r="AU76" i="1"/>
  <c r="AP76" i="1" s="1"/>
  <c r="AU77" i="1"/>
  <c r="AP77" i="1" s="1"/>
  <c r="AU78" i="1"/>
  <c r="AP78" i="1" s="1"/>
  <c r="AU79" i="1"/>
  <c r="AP79" i="1" s="1"/>
  <c r="AU80" i="1"/>
  <c r="AP80" i="1" s="1"/>
  <c r="AU81" i="1"/>
  <c r="AP81" i="1" s="1"/>
  <c r="AU82" i="1"/>
  <c r="AP82" i="1" s="1"/>
  <c r="AU83" i="1"/>
  <c r="AP83" i="1" s="1"/>
  <c r="AU84" i="1"/>
  <c r="AP84" i="1" s="1"/>
  <c r="AU85" i="1"/>
  <c r="AP85" i="1" s="1"/>
  <c r="AU86" i="1"/>
  <c r="AP86" i="1" s="1"/>
  <c r="AU87" i="1"/>
  <c r="AP87" i="1" s="1"/>
  <c r="AU88" i="1"/>
  <c r="AP88" i="1" s="1"/>
  <c r="AU89" i="1"/>
  <c r="AP89" i="1" s="1"/>
  <c r="AU90" i="1"/>
  <c r="AP90" i="1" s="1"/>
  <c r="AU91" i="1"/>
  <c r="AP91" i="1" s="1"/>
  <c r="AU92" i="1"/>
  <c r="AP92" i="1" s="1"/>
  <c r="AU93" i="1"/>
  <c r="AP93" i="1" s="1"/>
  <c r="AU94" i="1"/>
  <c r="AP94" i="1" s="1"/>
  <c r="AU95" i="1"/>
  <c r="AP95" i="1" s="1"/>
  <c r="AU96" i="1"/>
  <c r="AP96" i="1" s="1"/>
  <c r="AU97" i="1"/>
  <c r="AP97" i="1" s="1"/>
  <c r="AU98" i="1"/>
  <c r="AP98" i="1" s="1"/>
  <c r="AU99" i="1"/>
  <c r="AP99" i="1" s="1"/>
  <c r="AU100" i="1"/>
  <c r="AP100" i="1" s="1"/>
  <c r="AU101" i="1"/>
  <c r="AP101" i="1" s="1"/>
  <c r="AU102" i="1"/>
  <c r="AP102" i="1" s="1"/>
  <c r="AU103" i="1"/>
  <c r="AP103" i="1" s="1"/>
  <c r="AU104" i="1"/>
  <c r="AP104" i="1" s="1"/>
  <c r="AU105" i="1"/>
  <c r="AP105" i="1" s="1"/>
  <c r="AU106" i="1"/>
  <c r="AP106" i="1" s="1"/>
  <c r="AU107" i="1"/>
  <c r="AP107" i="1" s="1"/>
  <c r="AU108" i="1"/>
  <c r="AP108" i="1" s="1"/>
  <c r="AU109" i="1"/>
  <c r="AP109" i="1" s="1"/>
  <c r="AU110" i="1"/>
  <c r="AP110" i="1" s="1"/>
  <c r="AU111" i="1"/>
  <c r="AP111" i="1" s="1"/>
  <c r="AU112" i="1"/>
  <c r="AP112" i="1" s="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U3" i="1"/>
  <c r="W3" i="1" s="1"/>
  <c r="U4" i="1"/>
  <c r="W4" i="1" s="1"/>
  <c r="U5" i="1"/>
  <c r="W5" i="1" s="1"/>
  <c r="U6" i="1"/>
  <c r="W6" i="1" s="1"/>
  <c r="U7" i="1"/>
  <c r="W7" i="1" s="1"/>
  <c r="U8" i="1"/>
  <c r="W8" i="1" s="1"/>
  <c r="U9" i="1"/>
  <c r="W9" i="1" s="1"/>
  <c r="U10" i="1"/>
  <c r="W10" i="1" s="1"/>
  <c r="U11" i="1"/>
  <c r="W11" i="1" s="1"/>
  <c r="U12" i="1"/>
  <c r="W12" i="1" s="1"/>
  <c r="U13" i="1"/>
  <c r="W13" i="1" s="1"/>
  <c r="U14" i="1"/>
  <c r="W14" i="1" s="1"/>
  <c r="U15" i="1"/>
  <c r="W15" i="1" s="1"/>
  <c r="U16" i="1"/>
  <c r="W16" i="1" s="1"/>
  <c r="U17" i="1"/>
  <c r="W17" i="1" s="1"/>
  <c r="U18" i="1"/>
  <c r="W18" i="1" s="1"/>
  <c r="U19" i="1"/>
  <c r="W19" i="1" s="1"/>
  <c r="U20" i="1"/>
  <c r="W20" i="1" s="1"/>
  <c r="U21" i="1"/>
  <c r="W21" i="1" s="1"/>
  <c r="U22" i="1"/>
  <c r="W22" i="1" s="1"/>
  <c r="U23" i="1"/>
  <c r="W23" i="1" s="1"/>
  <c r="U24" i="1"/>
  <c r="W24" i="1" s="1"/>
  <c r="U26" i="1"/>
  <c r="W26" i="1" s="1"/>
  <c r="U27" i="1"/>
  <c r="W27" i="1" s="1"/>
  <c r="U28" i="1"/>
  <c r="W28" i="1" s="1"/>
  <c r="U29" i="1"/>
  <c r="W29" i="1" s="1"/>
  <c r="U30" i="1"/>
  <c r="W30" i="1" s="1"/>
  <c r="U31" i="1"/>
  <c r="W31" i="1" s="1"/>
  <c r="U32" i="1"/>
  <c r="W32" i="1" s="1"/>
  <c r="U33" i="1"/>
  <c r="W33" i="1" s="1"/>
  <c r="U34" i="1"/>
  <c r="W34" i="1" s="1"/>
  <c r="U35" i="1"/>
  <c r="W35" i="1" s="1"/>
  <c r="U36" i="1"/>
  <c r="W36" i="1" s="1"/>
  <c r="U37" i="1"/>
  <c r="W37" i="1" s="1"/>
  <c r="U39" i="1"/>
  <c r="W39" i="1" s="1"/>
  <c r="U40" i="1"/>
  <c r="W40" i="1" s="1"/>
  <c r="U41" i="1"/>
  <c r="W41" i="1" s="1"/>
  <c r="U42" i="1"/>
  <c r="W42" i="1" s="1"/>
  <c r="U43" i="1"/>
  <c r="W43" i="1" s="1"/>
  <c r="U44" i="1"/>
  <c r="W44" i="1" s="1"/>
  <c r="U45" i="1"/>
  <c r="W45" i="1" s="1"/>
  <c r="U46" i="1"/>
  <c r="W46" i="1" s="1"/>
  <c r="U47" i="1"/>
  <c r="W47" i="1" s="1"/>
  <c r="U48" i="1"/>
  <c r="W48" i="1" s="1"/>
  <c r="U49" i="1"/>
  <c r="W49" i="1" s="1"/>
  <c r="U51" i="1"/>
  <c r="W51" i="1" s="1"/>
  <c r="U52" i="1"/>
  <c r="W52" i="1" s="1"/>
  <c r="U53" i="1"/>
  <c r="W53" i="1" s="1"/>
  <c r="U54" i="1"/>
  <c r="W54" i="1" s="1"/>
  <c r="U55" i="1"/>
  <c r="W55" i="1" s="1"/>
  <c r="U56" i="1"/>
  <c r="W56" i="1" s="1"/>
  <c r="U57" i="1"/>
  <c r="W57" i="1" s="1"/>
  <c r="U58" i="1"/>
  <c r="W58" i="1" s="1"/>
  <c r="U59" i="1"/>
  <c r="W59" i="1" s="1"/>
  <c r="U60" i="1"/>
  <c r="W60" i="1" s="1"/>
  <c r="U61" i="1"/>
  <c r="W61" i="1" s="1"/>
  <c r="U63" i="1"/>
  <c r="W63" i="1" s="1"/>
  <c r="U64" i="1"/>
  <c r="W64" i="1" s="1"/>
  <c r="U65" i="1"/>
  <c r="W65" i="1" s="1"/>
  <c r="U66" i="1"/>
  <c r="W66" i="1" s="1"/>
  <c r="U67" i="1"/>
  <c r="W67" i="1" s="1"/>
  <c r="U68" i="1"/>
  <c r="W68" i="1" s="1"/>
  <c r="U69" i="1"/>
  <c r="W69" i="1" s="1"/>
  <c r="U70" i="1"/>
  <c r="W70" i="1" s="1"/>
  <c r="U71" i="1"/>
  <c r="W71" i="1" s="1"/>
  <c r="U72" i="1"/>
  <c r="W72" i="1" s="1"/>
  <c r="U73" i="1"/>
  <c r="W73" i="1" s="1"/>
  <c r="U74" i="1"/>
  <c r="W74" i="1" s="1"/>
  <c r="U76" i="1"/>
  <c r="W76" i="1" s="1"/>
  <c r="U77" i="1"/>
  <c r="W77" i="1" s="1"/>
  <c r="U78" i="1"/>
  <c r="W78" i="1" s="1"/>
  <c r="U79" i="1"/>
  <c r="W79" i="1" s="1"/>
  <c r="U80" i="1"/>
  <c r="W80" i="1" s="1"/>
  <c r="U81" i="1"/>
  <c r="W81" i="1" s="1"/>
  <c r="U82" i="1"/>
  <c r="W82" i="1" s="1"/>
  <c r="U83" i="1"/>
  <c r="W83" i="1" s="1"/>
  <c r="U84" i="1"/>
  <c r="W84" i="1" s="1"/>
  <c r="U85" i="1"/>
  <c r="W85" i="1" s="1"/>
  <c r="U86" i="1"/>
  <c r="W86" i="1" s="1"/>
  <c r="U88" i="1"/>
  <c r="W88" i="1" s="1"/>
  <c r="U89" i="1"/>
  <c r="W89" i="1" s="1"/>
  <c r="U90" i="1"/>
  <c r="W90" i="1" s="1"/>
  <c r="U91" i="1"/>
  <c r="W91" i="1" s="1"/>
  <c r="U92" i="1"/>
  <c r="W92" i="1" s="1"/>
  <c r="U93" i="1"/>
  <c r="W93" i="1" s="1"/>
  <c r="U94" i="1"/>
  <c r="W94" i="1" s="1"/>
  <c r="U95" i="1"/>
  <c r="W95" i="1" s="1"/>
  <c r="U96" i="1"/>
  <c r="W96" i="1" s="1"/>
  <c r="U97" i="1"/>
  <c r="W97" i="1" s="1"/>
  <c r="U98" i="1"/>
  <c r="W98" i="1" s="1"/>
  <c r="U100" i="1"/>
  <c r="W100" i="1" s="1"/>
  <c r="U101" i="1"/>
  <c r="W101" i="1" s="1"/>
  <c r="U102" i="1"/>
  <c r="W102" i="1" s="1"/>
  <c r="U103" i="1"/>
  <c r="W103" i="1" s="1"/>
  <c r="U104" i="1"/>
  <c r="W104" i="1" s="1"/>
  <c r="U105" i="1"/>
  <c r="W105" i="1" s="1"/>
  <c r="U106" i="1"/>
  <c r="W106" i="1" s="1"/>
  <c r="U107" i="1"/>
  <c r="W107" i="1" s="1"/>
  <c r="U108" i="1"/>
  <c r="W108" i="1" s="1"/>
  <c r="U109" i="1"/>
  <c r="W109" i="1" s="1"/>
  <c r="U110" i="1"/>
  <c r="W110" i="1" s="1"/>
  <c r="U111" i="1"/>
  <c r="W111" i="1" s="1"/>
  <c r="S3" i="1"/>
  <c r="AR3" i="1" s="1"/>
  <c r="AM3" i="1" s="1"/>
  <c r="S4" i="1"/>
  <c r="AQ4" i="1" s="1"/>
  <c r="AL4" i="1" s="1"/>
  <c r="S5" i="1"/>
  <c r="AT5" i="1" s="1"/>
  <c r="AO5" i="1" s="1"/>
  <c r="S6" i="1"/>
  <c r="S7" i="1"/>
  <c r="S8" i="1"/>
  <c r="S9" i="1"/>
  <c r="AQ9" i="1" s="1"/>
  <c r="AL9" i="1" s="1"/>
  <c r="S10" i="1"/>
  <c r="AQ10" i="1" s="1"/>
  <c r="AL10" i="1" s="1"/>
  <c r="S11" i="1"/>
  <c r="S12" i="1"/>
  <c r="AQ12" i="1" s="1"/>
  <c r="AL12" i="1" s="1"/>
  <c r="S13" i="1"/>
  <c r="AS13" i="1" s="1"/>
  <c r="AN13" i="1" s="1"/>
  <c r="S14" i="1"/>
  <c r="AR14" i="1" s="1"/>
  <c r="AM14" i="1" s="1"/>
  <c r="S15" i="1"/>
  <c r="AT15" i="1" s="1"/>
  <c r="AO15" i="1" s="1"/>
  <c r="S16" i="1"/>
  <c r="AS16" i="1" s="1"/>
  <c r="AN16" i="1" s="1"/>
  <c r="S17" i="1"/>
  <c r="AS17" i="1" s="1"/>
  <c r="AN17" i="1" s="1"/>
  <c r="S18" i="1"/>
  <c r="AR18" i="1" s="1"/>
  <c r="AM18" i="1" s="1"/>
  <c r="S19" i="1"/>
  <c r="AT19" i="1" s="1"/>
  <c r="AO19" i="1" s="1"/>
  <c r="S20" i="1"/>
  <c r="S21" i="1"/>
  <c r="S22" i="1"/>
  <c r="S23" i="1"/>
  <c r="S24" i="1"/>
  <c r="S25" i="1"/>
  <c r="S26" i="1"/>
  <c r="S27" i="1"/>
  <c r="S28" i="1"/>
  <c r="AQ28" i="1" s="1"/>
  <c r="AL28" i="1" s="1"/>
  <c r="S29" i="1"/>
  <c r="AQ29" i="1" s="1"/>
  <c r="AL29" i="1" s="1"/>
  <c r="S30" i="1"/>
  <c r="S31" i="1"/>
  <c r="AQ31" i="1" s="1"/>
  <c r="AL31" i="1" s="1"/>
  <c r="S32" i="1"/>
  <c r="AT32" i="1" s="1"/>
  <c r="AO32" i="1" s="1"/>
  <c r="S33" i="1"/>
  <c r="AT33" i="1" s="1"/>
  <c r="AO33" i="1" s="1"/>
  <c r="S34" i="1"/>
  <c r="S35" i="1"/>
  <c r="S36" i="1"/>
  <c r="S37" i="1"/>
  <c r="S38" i="1"/>
  <c r="AQ38" i="1" s="1"/>
  <c r="AL38" i="1" s="1"/>
  <c r="S39" i="1"/>
  <c r="S40" i="1"/>
  <c r="S41" i="1"/>
  <c r="S42" i="1"/>
  <c r="S43" i="1"/>
  <c r="S44" i="1"/>
  <c r="AR44" i="1" s="1"/>
  <c r="AM44" i="1" s="1"/>
  <c r="S45" i="1"/>
  <c r="S46" i="1"/>
  <c r="AT46" i="1" s="1"/>
  <c r="AO46" i="1" s="1"/>
  <c r="S47" i="1"/>
  <c r="AT47" i="1" s="1"/>
  <c r="AO47" i="1" s="1"/>
  <c r="S48" i="1"/>
  <c r="S49" i="1"/>
  <c r="AR49" i="1" s="1"/>
  <c r="AM49" i="1" s="1"/>
  <c r="S50" i="1"/>
  <c r="S51" i="1"/>
  <c r="S52" i="1"/>
  <c r="AQ52" i="1" s="1"/>
  <c r="AL52" i="1" s="1"/>
  <c r="S53" i="1"/>
  <c r="AQ53" i="1" s="1"/>
  <c r="AL53" i="1" s="1"/>
  <c r="S54" i="1"/>
  <c r="S55" i="1"/>
  <c r="S56" i="1"/>
  <c r="S57" i="1"/>
  <c r="S58" i="1"/>
  <c r="S59" i="1"/>
  <c r="S60" i="1"/>
  <c r="AR60" i="1" s="1"/>
  <c r="AM60" i="1" s="1"/>
  <c r="S61" i="1"/>
  <c r="AQ61" i="1" s="1"/>
  <c r="AL61" i="1" s="1"/>
  <c r="S62" i="1"/>
  <c r="S63" i="1"/>
  <c r="AT63" i="1" s="1"/>
  <c r="AO63" i="1" s="1"/>
  <c r="S64" i="1"/>
  <c r="AT64" i="1" s="1"/>
  <c r="AO64" i="1" s="1"/>
  <c r="S65" i="1"/>
  <c r="S66" i="1"/>
  <c r="S67" i="1"/>
  <c r="S68" i="1"/>
  <c r="AR68" i="1" s="1"/>
  <c r="AM68" i="1" s="1"/>
  <c r="S69" i="1"/>
  <c r="S70" i="1"/>
  <c r="AQ70" i="1" s="1"/>
  <c r="AL70" i="1" s="1"/>
  <c r="S71" i="1"/>
  <c r="AQ71" i="1" s="1"/>
  <c r="AL71" i="1" s="1"/>
  <c r="S72" i="1"/>
  <c r="AQ72" i="1" s="1"/>
  <c r="AL72" i="1" s="1"/>
  <c r="S73" i="1"/>
  <c r="S74" i="1"/>
  <c r="AR74" i="1" s="1"/>
  <c r="AM74" i="1" s="1"/>
  <c r="S75" i="1"/>
  <c r="S76" i="1"/>
  <c r="S77" i="1"/>
  <c r="S78" i="1"/>
  <c r="AS78" i="1" s="1"/>
  <c r="AN78" i="1" s="1"/>
  <c r="S79" i="1"/>
  <c r="AS79" i="1" s="1"/>
  <c r="AN79" i="1" s="1"/>
  <c r="S80" i="1"/>
  <c r="AQ80" i="1" s="1"/>
  <c r="AL80" i="1" s="1"/>
  <c r="S81" i="1"/>
  <c r="AQ81" i="1" s="1"/>
  <c r="AL81" i="1" s="1"/>
  <c r="S82" i="1"/>
  <c r="AQ82" i="1" s="1"/>
  <c r="AL82" i="1" s="1"/>
  <c r="S83" i="1"/>
  <c r="AS83" i="1" s="1"/>
  <c r="AN83" i="1" s="1"/>
  <c r="S84" i="1"/>
  <c r="AR84" i="1" s="1"/>
  <c r="AM84" i="1" s="1"/>
  <c r="S85" i="1"/>
  <c r="S86" i="1"/>
  <c r="S87" i="1"/>
  <c r="AR87" i="1" s="1"/>
  <c r="AM87" i="1" s="1"/>
  <c r="S88" i="1"/>
  <c r="AT88" i="1" s="1"/>
  <c r="AO88" i="1" s="1"/>
  <c r="S89" i="1"/>
  <c r="S90" i="1"/>
  <c r="S91" i="1"/>
  <c r="AQ91" i="1" s="1"/>
  <c r="AL91" i="1" s="1"/>
  <c r="S92" i="1"/>
  <c r="S93" i="1"/>
  <c r="S94" i="1"/>
  <c r="AT94" i="1" s="1"/>
  <c r="AO94" i="1" s="1"/>
  <c r="S95" i="1"/>
  <c r="AR95" i="1" s="1"/>
  <c r="AM95" i="1" s="1"/>
  <c r="S96" i="1"/>
  <c r="AS96" i="1" s="1"/>
  <c r="AN96" i="1" s="1"/>
  <c r="S97" i="1"/>
  <c r="S98" i="1"/>
  <c r="AS98" i="1" s="1"/>
  <c r="AN98" i="1" s="1"/>
  <c r="S99" i="1"/>
  <c r="AS99" i="1" s="1"/>
  <c r="AN99" i="1" s="1"/>
  <c r="S100" i="1"/>
  <c r="AR100" i="1" s="1"/>
  <c r="AM100" i="1" s="1"/>
  <c r="S101" i="1"/>
  <c r="AR101" i="1" s="1"/>
  <c r="AM101" i="1" s="1"/>
  <c r="S102" i="1"/>
  <c r="S103" i="1"/>
  <c r="S104" i="1"/>
  <c r="AR104" i="1" s="1"/>
  <c r="AM104" i="1" s="1"/>
  <c r="S105" i="1"/>
  <c r="S106" i="1"/>
  <c r="AT106" i="1" s="1"/>
  <c r="AO106" i="1" s="1"/>
  <c r="S107" i="1"/>
  <c r="AS107" i="1" s="1"/>
  <c r="AN107" i="1" s="1"/>
  <c r="S108" i="1"/>
  <c r="AT108" i="1" s="1"/>
  <c r="AO108" i="1" s="1"/>
  <c r="S109" i="1"/>
  <c r="AS109" i="1" s="1"/>
  <c r="AN109" i="1" s="1"/>
  <c r="S110" i="1"/>
  <c r="AR110" i="1" s="1"/>
  <c r="AM110" i="1" s="1"/>
  <c r="S111" i="1"/>
  <c r="AR111" i="1" s="1"/>
  <c r="AM111" i="1" s="1"/>
  <c r="S112" i="1"/>
  <c r="S129" i="1" l="1"/>
  <c r="AQ129" i="1" s="1"/>
  <c r="AL129" i="1" s="1"/>
  <c r="S143" i="1"/>
  <c r="AR143" i="1" s="1"/>
  <c r="AM143" i="1" s="1"/>
  <c r="AR212" i="1"/>
  <c r="AM212" i="1" s="1"/>
  <c r="AS190" i="1"/>
  <c r="AN190" i="1" s="1"/>
  <c r="S154" i="1"/>
  <c r="AT154" i="1" s="1"/>
  <c r="AO154" i="1" s="1"/>
  <c r="S168" i="1"/>
  <c r="AQ168" i="1" s="1"/>
  <c r="AL168" i="1" s="1"/>
  <c r="S114" i="1"/>
  <c r="AR114" i="1" s="1"/>
  <c r="AM114" i="1" s="1"/>
  <c r="S122" i="1"/>
  <c r="AQ211" i="1"/>
  <c r="AL211" i="1" s="1"/>
  <c r="AQ204" i="1"/>
  <c r="AL204" i="1" s="1"/>
  <c r="AS204" i="1"/>
  <c r="AN204" i="1" s="1"/>
  <c r="S120" i="1"/>
  <c r="AT120" i="1" s="1"/>
  <c r="AO120" i="1" s="1"/>
  <c r="S135" i="1"/>
  <c r="AQ135" i="1" s="1"/>
  <c r="AL135" i="1" s="1"/>
  <c r="S182" i="1"/>
  <c r="AT182" i="1" s="1"/>
  <c r="AO182" i="1" s="1"/>
  <c r="S136" i="1"/>
  <c r="AT136" i="1" s="1"/>
  <c r="AO136" i="1" s="1"/>
  <c r="AS198" i="1"/>
  <c r="AN198" i="1" s="1"/>
  <c r="S117" i="1"/>
  <c r="AS117" i="1" s="1"/>
  <c r="AN117" i="1" s="1"/>
  <c r="S158" i="1"/>
  <c r="AR158" i="1" s="1"/>
  <c r="AM158" i="1" s="1"/>
  <c r="S172" i="1"/>
  <c r="AR172" i="1" s="1"/>
  <c r="AM172" i="1" s="1"/>
  <c r="S176" i="1"/>
  <c r="AS176" i="1" s="1"/>
  <c r="AN176" i="1" s="1"/>
  <c r="U199" i="1"/>
  <c r="AQ213" i="1"/>
  <c r="AL213" i="1" s="1"/>
  <c r="AQ207" i="1"/>
  <c r="AL207" i="1" s="1"/>
  <c r="AS221" i="1"/>
  <c r="AN221" i="1" s="1"/>
  <c r="AS207" i="1"/>
  <c r="AN207" i="1" s="1"/>
  <c r="AQ200" i="1"/>
  <c r="AL200" i="1" s="1"/>
  <c r="S171" i="1"/>
  <c r="AT171" i="1" s="1"/>
  <c r="AO171" i="1" s="1"/>
  <c r="S119" i="1"/>
  <c r="AQ198" i="1"/>
  <c r="AL198" i="1" s="1"/>
  <c r="AS197" i="1"/>
  <c r="AN197" i="1" s="1"/>
  <c r="AQ193" i="1"/>
  <c r="AL193" i="1" s="1"/>
  <c r="AS193" i="1"/>
  <c r="AN193" i="1" s="1"/>
  <c r="S162" i="1"/>
  <c r="AT162" i="1" s="1"/>
  <c r="AO162" i="1" s="1"/>
  <c r="S167" i="1"/>
  <c r="AQ167" i="1" s="1"/>
  <c r="AL167" i="1" s="1"/>
  <c r="AQ221" i="1"/>
  <c r="AL221" i="1" s="1"/>
  <c r="AR199" i="1"/>
  <c r="AM199" i="1" s="1"/>
  <c r="S115" i="1"/>
  <c r="AT115" i="1" s="1"/>
  <c r="AO115" i="1" s="1"/>
  <c r="AQ214" i="1"/>
  <c r="AL214" i="1" s="1"/>
  <c r="AR190" i="1"/>
  <c r="AM190" i="1" s="1"/>
  <c r="S131" i="1"/>
  <c r="AQ131" i="1" s="1"/>
  <c r="AL131" i="1" s="1"/>
  <c r="S137" i="1"/>
  <c r="S145" i="1"/>
  <c r="AS145" i="1" s="1"/>
  <c r="AN145" i="1" s="1"/>
  <c r="AS222" i="1"/>
  <c r="AN222" i="1" s="1"/>
  <c r="AS191" i="1"/>
  <c r="AN191" i="1" s="1"/>
  <c r="AQ197" i="1"/>
  <c r="AL197" i="1" s="1"/>
  <c r="AR206" i="1"/>
  <c r="AM206" i="1" s="1"/>
  <c r="AS219" i="1"/>
  <c r="AN219" i="1" s="1"/>
  <c r="AS189" i="1"/>
  <c r="AN189" i="1" s="1"/>
  <c r="S144" i="1"/>
  <c r="AS144" i="1" s="1"/>
  <c r="AN144" i="1" s="1"/>
  <c r="AQ222" i="1"/>
  <c r="AL222" i="1" s="1"/>
  <c r="AQ194" i="1"/>
  <c r="AL194" i="1" s="1"/>
  <c r="AR205" i="1"/>
  <c r="AM205" i="1" s="1"/>
  <c r="AS218" i="1"/>
  <c r="AN218" i="1" s="1"/>
  <c r="S132" i="1"/>
  <c r="AT132" i="1" s="1"/>
  <c r="AO132" i="1" s="1"/>
  <c r="AR204" i="1"/>
  <c r="AM204" i="1" s="1"/>
  <c r="AS217" i="1"/>
  <c r="AN217" i="1" s="1"/>
  <c r="AQ218" i="1"/>
  <c r="AL218" i="1" s="1"/>
  <c r="AQ190" i="1"/>
  <c r="AL190" i="1" s="1"/>
  <c r="AR203" i="1"/>
  <c r="AM203" i="1" s="1"/>
  <c r="AR217" i="1"/>
  <c r="AM217" i="1" s="1"/>
  <c r="S130" i="1"/>
  <c r="AQ130" i="1" s="1"/>
  <c r="AL130" i="1" s="1"/>
  <c r="S186" i="1"/>
  <c r="AR186" i="1" s="1"/>
  <c r="AM186" i="1" s="1"/>
  <c r="U75" i="1"/>
  <c r="W75" i="1" s="1"/>
  <c r="S118" i="1"/>
  <c r="AQ118" i="1" s="1"/>
  <c r="AL118" i="1" s="1"/>
  <c r="AQ217" i="1"/>
  <c r="AL217" i="1" s="1"/>
  <c r="AQ189" i="1"/>
  <c r="AL189" i="1" s="1"/>
  <c r="AS211" i="1"/>
  <c r="AN211" i="1" s="1"/>
  <c r="AR219" i="1"/>
  <c r="AM219" i="1" s="1"/>
  <c r="U99" i="1"/>
  <c r="W99" i="1" s="1"/>
  <c r="AS208" i="1"/>
  <c r="AN208" i="1" s="1"/>
  <c r="S155" i="1"/>
  <c r="AQ155" i="1" s="1"/>
  <c r="AL155" i="1" s="1"/>
  <c r="S164" i="1"/>
  <c r="AT164" i="1" s="1"/>
  <c r="AO164" i="1" s="1"/>
  <c r="S178" i="1"/>
  <c r="AS178" i="1" s="1"/>
  <c r="AN178" i="1" s="1"/>
  <c r="S183" i="1"/>
  <c r="AQ183" i="1" s="1"/>
  <c r="AL183" i="1" s="1"/>
  <c r="AR192" i="1"/>
  <c r="AM192" i="1" s="1"/>
  <c r="S127" i="1"/>
  <c r="AS127" i="1" s="1"/>
  <c r="AN127" i="1" s="1"/>
  <c r="S149" i="1"/>
  <c r="AQ149" i="1" s="1"/>
  <c r="AL149" i="1" s="1"/>
  <c r="AR191" i="1"/>
  <c r="AM191" i="1" s="1"/>
  <c r="AS205" i="1"/>
  <c r="AN205" i="1" s="1"/>
  <c r="AQ208" i="1"/>
  <c r="AL208" i="1" s="1"/>
  <c r="AR189" i="1"/>
  <c r="AM189" i="1" s="1"/>
  <c r="AS203" i="1"/>
  <c r="AN203" i="1" s="1"/>
  <c r="S121" i="1"/>
  <c r="AQ121" i="1" s="1"/>
  <c r="AL121" i="1" s="1"/>
  <c r="AR220" i="1"/>
  <c r="AM220" i="1" s="1"/>
  <c r="AQ203" i="1"/>
  <c r="AL203" i="1" s="1"/>
  <c r="AR218" i="1"/>
  <c r="AM218" i="1" s="1"/>
  <c r="AS194" i="1"/>
  <c r="AN194" i="1" s="1"/>
  <c r="AT223" i="1"/>
  <c r="AO223" i="1" s="1"/>
  <c r="AT209" i="1"/>
  <c r="AO209" i="1" s="1"/>
  <c r="AT195" i="1"/>
  <c r="AO195" i="1" s="1"/>
  <c r="S150" i="1"/>
  <c r="AQ150" i="1" s="1"/>
  <c r="AL150" i="1" s="1"/>
  <c r="S156" i="1"/>
  <c r="AR156" i="1" s="1"/>
  <c r="AM156" i="1" s="1"/>
  <c r="S165" i="1"/>
  <c r="AS165" i="1" s="1"/>
  <c r="AN165" i="1" s="1"/>
  <c r="S170" i="1"/>
  <c r="AR170" i="1" s="1"/>
  <c r="AM170" i="1" s="1"/>
  <c r="S174" i="1"/>
  <c r="AS174" i="1" s="1"/>
  <c r="AN174" i="1" s="1"/>
  <c r="S179" i="1"/>
  <c r="AQ179" i="1" s="1"/>
  <c r="AL179" i="1" s="1"/>
  <c r="S184" i="1"/>
  <c r="AR184" i="1" s="1"/>
  <c r="AM184" i="1" s="1"/>
  <c r="AQ220" i="1"/>
  <c r="AL220" i="1" s="1"/>
  <c r="AQ206" i="1"/>
  <c r="AL206" i="1" s="1"/>
  <c r="AQ192" i="1"/>
  <c r="AL192" i="1" s="1"/>
  <c r="AR198" i="1"/>
  <c r="AM198" i="1" s="1"/>
  <c r="AS216" i="1"/>
  <c r="AN216" i="1" s="1"/>
  <c r="AS202" i="1"/>
  <c r="AN202" i="1" s="1"/>
  <c r="AS188" i="1"/>
  <c r="AN188" i="1" s="1"/>
  <c r="AT222" i="1"/>
  <c r="AO222" i="1" s="1"/>
  <c r="AT208" i="1"/>
  <c r="AO208" i="1" s="1"/>
  <c r="AT194" i="1"/>
  <c r="AO194" i="1" s="1"/>
  <c r="AQ5" i="1"/>
  <c r="AL5" i="1" s="1"/>
  <c r="S126" i="1"/>
  <c r="AT126" i="1" s="1"/>
  <c r="AO126" i="1" s="1"/>
  <c r="S134" i="1"/>
  <c r="AQ134" i="1" s="1"/>
  <c r="AL134" i="1" s="1"/>
  <c r="S140" i="1"/>
  <c r="S148" i="1"/>
  <c r="AT148" i="1" s="1"/>
  <c r="AO148" i="1" s="1"/>
  <c r="AQ219" i="1"/>
  <c r="AL219" i="1" s="1"/>
  <c r="AQ205" i="1"/>
  <c r="AL205" i="1" s="1"/>
  <c r="AQ191" i="1"/>
  <c r="AL191" i="1" s="1"/>
  <c r="AR211" i="1"/>
  <c r="AM211" i="1" s="1"/>
  <c r="AR197" i="1"/>
  <c r="AM197" i="1" s="1"/>
  <c r="AS215" i="1"/>
  <c r="AN215" i="1" s="1"/>
  <c r="AS201" i="1"/>
  <c r="AN201" i="1" s="1"/>
  <c r="AT221" i="1"/>
  <c r="AO221" i="1" s="1"/>
  <c r="AT207" i="1"/>
  <c r="AO207" i="1" s="1"/>
  <c r="AT193" i="1"/>
  <c r="AO193" i="1" s="1"/>
  <c r="AR210" i="1"/>
  <c r="AM210" i="1" s="1"/>
  <c r="AR196" i="1"/>
  <c r="AM196" i="1" s="1"/>
  <c r="AS214" i="1"/>
  <c r="AN214" i="1" s="1"/>
  <c r="AS200" i="1"/>
  <c r="AN200" i="1" s="1"/>
  <c r="AT220" i="1"/>
  <c r="AO220" i="1" s="1"/>
  <c r="AT206" i="1"/>
  <c r="AO206" i="1" s="1"/>
  <c r="AT192" i="1"/>
  <c r="AO192" i="1" s="1"/>
  <c r="S166" i="1"/>
  <c r="AQ166" i="1" s="1"/>
  <c r="AL166" i="1" s="1"/>
  <c r="AR223" i="1"/>
  <c r="AM223" i="1" s="1"/>
  <c r="AR209" i="1"/>
  <c r="AM209" i="1" s="1"/>
  <c r="AR195" i="1"/>
  <c r="AM195" i="1" s="1"/>
  <c r="AS213" i="1"/>
  <c r="AN213" i="1" s="1"/>
  <c r="AR32" i="1"/>
  <c r="AM32" i="1" s="1"/>
  <c r="AQ216" i="1"/>
  <c r="AL216" i="1" s="1"/>
  <c r="AQ202" i="1"/>
  <c r="AL202" i="1" s="1"/>
  <c r="AQ188" i="1"/>
  <c r="AL188" i="1" s="1"/>
  <c r="AS212" i="1"/>
  <c r="AN212" i="1" s="1"/>
  <c r="AR19" i="1"/>
  <c r="AM19" i="1" s="1"/>
  <c r="S128" i="1"/>
  <c r="AS128" i="1" s="1"/>
  <c r="AN128" i="1" s="1"/>
  <c r="S142" i="1"/>
  <c r="AR142" i="1" s="1"/>
  <c r="AM142" i="1" s="1"/>
  <c r="S181" i="1"/>
  <c r="AQ181" i="1" s="1"/>
  <c r="AL181" i="1" s="1"/>
  <c r="AQ215" i="1"/>
  <c r="AL215" i="1" s="1"/>
  <c r="AQ201" i="1"/>
  <c r="AL201" i="1" s="1"/>
  <c r="AS199" i="1"/>
  <c r="AN199" i="1" s="1"/>
  <c r="AR5" i="1"/>
  <c r="AM5" i="1" s="1"/>
  <c r="AT216" i="1"/>
  <c r="AO216" i="1" s="1"/>
  <c r="AT202" i="1"/>
  <c r="AO202" i="1" s="1"/>
  <c r="AT188" i="1"/>
  <c r="AO188" i="1" s="1"/>
  <c r="AT196" i="1"/>
  <c r="AO196" i="1" s="1"/>
  <c r="AR109" i="1"/>
  <c r="AM109" i="1" s="1"/>
  <c r="AT215" i="1"/>
  <c r="AO215" i="1" s="1"/>
  <c r="AT201" i="1"/>
  <c r="AO201" i="1" s="1"/>
  <c r="S187" i="1"/>
  <c r="AS187" i="1" s="1"/>
  <c r="AN187" i="1" s="1"/>
  <c r="AQ212" i="1"/>
  <c r="AL212" i="1" s="1"/>
  <c r="AS210" i="1"/>
  <c r="AN210" i="1" s="1"/>
  <c r="AS196" i="1"/>
  <c r="AN196" i="1" s="1"/>
  <c r="AT214" i="1"/>
  <c r="AO214" i="1" s="1"/>
  <c r="AT200" i="1"/>
  <c r="AO200" i="1" s="1"/>
  <c r="AT210" i="1"/>
  <c r="AO210" i="1" s="1"/>
  <c r="AR82" i="1"/>
  <c r="AM82" i="1" s="1"/>
  <c r="AS82" i="1"/>
  <c r="AN82" i="1" s="1"/>
  <c r="AQ199" i="1"/>
  <c r="AL199" i="1" s="1"/>
  <c r="AS223" i="1"/>
  <c r="AN223" i="1" s="1"/>
  <c r="AS209" i="1"/>
  <c r="AN209" i="1" s="1"/>
  <c r="AS195" i="1"/>
  <c r="AN195" i="1" s="1"/>
  <c r="AT213" i="1"/>
  <c r="AO213" i="1" s="1"/>
  <c r="AS81" i="1"/>
  <c r="AN81" i="1" s="1"/>
  <c r="AT4" i="1"/>
  <c r="AO4" i="1" s="1"/>
  <c r="AQ95" i="1"/>
  <c r="AL95" i="1" s="1"/>
  <c r="S116" i="1"/>
  <c r="AT116" i="1" s="1"/>
  <c r="AO116" i="1" s="1"/>
  <c r="U211" i="1"/>
  <c r="AS70" i="1"/>
  <c r="AN70" i="1" s="1"/>
  <c r="S138" i="1"/>
  <c r="AS138" i="1" s="1"/>
  <c r="AN138" i="1" s="1"/>
  <c r="S146" i="1"/>
  <c r="AR146" i="1" s="1"/>
  <c r="AM146" i="1" s="1"/>
  <c r="AQ223" i="1"/>
  <c r="AL223" i="1" s="1"/>
  <c r="S185" i="1"/>
  <c r="AQ185" i="1" s="1"/>
  <c r="AL185" i="1" s="1"/>
  <c r="S152" i="1"/>
  <c r="AT152" i="1" s="1"/>
  <c r="AO152" i="1" s="1"/>
  <c r="S151" i="1"/>
  <c r="AQ151" i="1" s="1"/>
  <c r="AL151" i="1" s="1"/>
  <c r="AS106" i="1"/>
  <c r="AN106" i="1" s="1"/>
  <c r="AQ107" i="1"/>
  <c r="AL107" i="1" s="1"/>
  <c r="S161" i="1"/>
  <c r="AS161" i="1" s="1"/>
  <c r="AN161" i="1" s="1"/>
  <c r="S133" i="1"/>
  <c r="AT133" i="1" s="1"/>
  <c r="AO133" i="1" s="1"/>
  <c r="S139" i="1"/>
  <c r="AR139" i="1" s="1"/>
  <c r="AM139" i="1" s="1"/>
  <c r="AR17" i="1"/>
  <c r="AM17" i="1" s="1"/>
  <c r="S141" i="1"/>
  <c r="AT141" i="1" s="1"/>
  <c r="AO141" i="1" s="1"/>
  <c r="S159" i="1"/>
  <c r="AR159" i="1" s="1"/>
  <c r="AM159" i="1" s="1"/>
  <c r="S173" i="1"/>
  <c r="U173" i="1" s="1"/>
  <c r="W173" i="1" s="1"/>
  <c r="S177" i="1"/>
  <c r="AR177" i="1" s="1"/>
  <c r="AM177" i="1" s="1"/>
  <c r="S163" i="1"/>
  <c r="AT163" i="1" s="1"/>
  <c r="AO163" i="1" s="1"/>
  <c r="S180" i="1"/>
  <c r="AT180" i="1" s="1"/>
  <c r="AO180" i="1" s="1"/>
  <c r="AR80" i="1"/>
  <c r="AM80" i="1" s="1"/>
  <c r="AQ106" i="1"/>
  <c r="AL106" i="1" s="1"/>
  <c r="AR106" i="1"/>
  <c r="AM106" i="1" s="1"/>
  <c r="S157" i="1"/>
  <c r="AS157" i="1" s="1"/>
  <c r="AN157" i="1" s="1"/>
  <c r="AQ49" i="1"/>
  <c r="AL49" i="1" s="1"/>
  <c r="AT109" i="1"/>
  <c r="AO109" i="1" s="1"/>
  <c r="AT31" i="1"/>
  <c r="AO31" i="1" s="1"/>
  <c r="S113" i="1"/>
  <c r="AR113" i="1" s="1"/>
  <c r="AM113" i="1" s="1"/>
  <c r="S160" i="1"/>
  <c r="AT160" i="1" s="1"/>
  <c r="AO160" i="1" s="1"/>
  <c r="S175" i="1"/>
  <c r="AS175" i="1" s="1"/>
  <c r="AN175" i="1" s="1"/>
  <c r="AQ178" i="1"/>
  <c r="AL178" i="1" s="1"/>
  <c r="AT107" i="1"/>
  <c r="AO107" i="1" s="1"/>
  <c r="AT75" i="1"/>
  <c r="AO75" i="1" s="1"/>
  <c r="S125" i="1"/>
  <c r="AR125" i="1" s="1"/>
  <c r="AM125" i="1" s="1"/>
  <c r="S147" i="1"/>
  <c r="AS147" i="1" s="1"/>
  <c r="AN147" i="1" s="1"/>
  <c r="AT87" i="1"/>
  <c r="AO87" i="1" s="1"/>
  <c r="U50" i="1"/>
  <c r="W50" i="1" s="1"/>
  <c r="AQ109" i="1"/>
  <c r="AL109" i="1" s="1"/>
  <c r="AT82" i="1"/>
  <c r="AO82" i="1" s="1"/>
  <c r="AR183" i="1"/>
  <c r="AM183" i="1" s="1"/>
  <c r="AR178" i="1"/>
  <c r="AM178" i="1" s="1"/>
  <c r="AS166" i="1"/>
  <c r="AN166" i="1" s="1"/>
  <c r="AS172" i="1"/>
  <c r="AN172" i="1" s="1"/>
  <c r="AR169" i="1"/>
  <c r="AM169" i="1" s="1"/>
  <c r="AT183" i="1"/>
  <c r="AO183" i="1" s="1"/>
  <c r="AT169" i="1"/>
  <c r="AO169" i="1" s="1"/>
  <c r="AQ172" i="1"/>
  <c r="AL172" i="1" s="1"/>
  <c r="AT172" i="1"/>
  <c r="AO172" i="1" s="1"/>
  <c r="AQ158" i="1"/>
  <c r="AL158" i="1" s="1"/>
  <c r="AS169" i="1"/>
  <c r="AN169" i="1" s="1"/>
  <c r="AS158" i="1"/>
  <c r="AN158" i="1" s="1"/>
  <c r="AS183" i="1"/>
  <c r="AN183" i="1" s="1"/>
  <c r="AQ165" i="1"/>
  <c r="AL165" i="1" s="1"/>
  <c r="AT158" i="1"/>
  <c r="AO158" i="1" s="1"/>
  <c r="AR182" i="1"/>
  <c r="AM182" i="1" s="1"/>
  <c r="AR168" i="1"/>
  <c r="AM168" i="1" s="1"/>
  <c r="AR153" i="1"/>
  <c r="AM153" i="1" s="1"/>
  <c r="AQ176" i="1"/>
  <c r="AL176" i="1" s="1"/>
  <c r="AS182" i="1"/>
  <c r="AN182" i="1" s="1"/>
  <c r="AS168" i="1"/>
  <c r="AN168" i="1" s="1"/>
  <c r="AR176" i="1"/>
  <c r="AM176" i="1" s="1"/>
  <c r="AS153" i="1"/>
  <c r="AN153" i="1" s="1"/>
  <c r="AT168" i="1"/>
  <c r="AO168" i="1" s="1"/>
  <c r="AT153" i="1"/>
  <c r="AO153" i="1" s="1"/>
  <c r="AT176" i="1"/>
  <c r="AO176" i="1" s="1"/>
  <c r="AQ182" i="1"/>
  <c r="AL182" i="1" s="1"/>
  <c r="AR115" i="1"/>
  <c r="AM115" i="1" s="1"/>
  <c r="AR131" i="1"/>
  <c r="AM131" i="1" s="1"/>
  <c r="AS135" i="1"/>
  <c r="AN135" i="1" s="1"/>
  <c r="U124" i="1"/>
  <c r="W124" i="1" s="1"/>
  <c r="AT149" i="1"/>
  <c r="AO149" i="1" s="1"/>
  <c r="AQ124" i="1"/>
  <c r="AL124" i="1" s="1"/>
  <c r="AR124" i="1"/>
  <c r="AM124" i="1" s="1"/>
  <c r="AS124" i="1"/>
  <c r="AN124" i="1" s="1"/>
  <c r="AS131" i="1"/>
  <c r="AN131" i="1" s="1"/>
  <c r="AS132" i="1"/>
  <c r="AN132" i="1" s="1"/>
  <c r="AT131" i="1"/>
  <c r="AO131" i="1" s="1"/>
  <c r="AS92" i="1"/>
  <c r="AN92" i="1" s="1"/>
  <c r="AQ92" i="1"/>
  <c r="AL92" i="1" s="1"/>
  <c r="AR47" i="1"/>
  <c r="AM47" i="1" s="1"/>
  <c r="AR46" i="1"/>
  <c r="AM46" i="1" s="1"/>
  <c r="AS46" i="1"/>
  <c r="AN46" i="1" s="1"/>
  <c r="AQ46" i="1"/>
  <c r="AL46" i="1" s="1"/>
  <c r="AQ137" i="1"/>
  <c r="AL137" i="1" s="1"/>
  <c r="AT137" i="1"/>
  <c r="AO137" i="1" s="1"/>
  <c r="AR137" i="1"/>
  <c r="AM137" i="1" s="1"/>
  <c r="AS137" i="1"/>
  <c r="AN137" i="1" s="1"/>
  <c r="AS105" i="1"/>
  <c r="AN105" i="1" s="1"/>
  <c r="AQ105" i="1"/>
  <c r="AL105" i="1" s="1"/>
  <c r="AQ27" i="1"/>
  <c r="AL27" i="1" s="1"/>
  <c r="AS27" i="1"/>
  <c r="AN27" i="1" s="1"/>
  <c r="AR119" i="1"/>
  <c r="AM119" i="1" s="1"/>
  <c r="AT119" i="1"/>
  <c r="AO119" i="1" s="1"/>
  <c r="AQ119" i="1"/>
  <c r="AL119" i="1" s="1"/>
  <c r="AQ15" i="1"/>
  <c r="AL15" i="1" s="1"/>
  <c r="AR15" i="1"/>
  <c r="AM15" i="1" s="1"/>
  <c r="AS15" i="1"/>
  <c r="AN15" i="1" s="1"/>
  <c r="AQ146" i="1"/>
  <c r="AL146" i="1" s="1"/>
  <c r="AQ132" i="1"/>
  <c r="AL132" i="1" s="1"/>
  <c r="AR132" i="1"/>
  <c r="AM132" i="1" s="1"/>
  <c r="AT118" i="1"/>
  <c r="AO118" i="1" s="1"/>
  <c r="AR118" i="1"/>
  <c r="AM118" i="1" s="1"/>
  <c r="AS118" i="1"/>
  <c r="AN118" i="1" s="1"/>
  <c r="AT95" i="1"/>
  <c r="AO95" i="1" s="1"/>
  <c r="AS95" i="1"/>
  <c r="AN95" i="1" s="1"/>
  <c r="AS19" i="1"/>
  <c r="AN19" i="1" s="1"/>
  <c r="AQ19" i="1"/>
  <c r="AL19" i="1" s="1"/>
  <c r="AS32" i="1"/>
  <c r="AN32" i="1" s="1"/>
  <c r="AQ123" i="1"/>
  <c r="AL123" i="1" s="1"/>
  <c r="AS123" i="1"/>
  <c r="AN123" i="1" s="1"/>
  <c r="AR123" i="1"/>
  <c r="AM123" i="1" s="1"/>
  <c r="AS49" i="1"/>
  <c r="AN49" i="1" s="1"/>
  <c r="AT49" i="1"/>
  <c r="AO49" i="1" s="1"/>
  <c r="AQ17" i="1"/>
  <c r="AL17" i="1" s="1"/>
  <c r="AR108" i="1"/>
  <c r="AM108" i="1" s="1"/>
  <c r="AT81" i="1"/>
  <c r="AO81" i="1" s="1"/>
  <c r="AR81" i="1"/>
  <c r="AM81" i="1" s="1"/>
  <c r="AR50" i="1"/>
  <c r="AM50" i="1" s="1"/>
  <c r="AT50" i="1"/>
  <c r="AO50" i="1" s="1"/>
  <c r="AS50" i="1"/>
  <c r="AN50" i="1" s="1"/>
  <c r="AQ50" i="1"/>
  <c r="AL50" i="1" s="1"/>
  <c r="AS62" i="1"/>
  <c r="AN62" i="1" s="1"/>
  <c r="U62" i="1"/>
  <c r="W62" i="1" s="1"/>
  <c r="AT93" i="1"/>
  <c r="AO93" i="1" s="1"/>
  <c r="AS93" i="1"/>
  <c r="AN93" i="1" s="1"/>
  <c r="AR48" i="1"/>
  <c r="AM48" i="1" s="1"/>
  <c r="AS48" i="1"/>
  <c r="AN48" i="1" s="1"/>
  <c r="AQ48" i="1"/>
  <c r="AL48" i="1" s="1"/>
  <c r="AQ16" i="1"/>
  <c r="AL16" i="1" s="1"/>
  <c r="AR16" i="1"/>
  <c r="AM16" i="1" s="1"/>
  <c r="AR107" i="1"/>
  <c r="AM107" i="1" s="1"/>
  <c r="AS5" i="1"/>
  <c r="AN5" i="1" s="1"/>
  <c r="AT48" i="1"/>
  <c r="AO48" i="1" s="1"/>
  <c r="AR148" i="1"/>
  <c r="AM148" i="1" s="1"/>
  <c r="AT97" i="1"/>
  <c r="AO97" i="1" s="1"/>
  <c r="AR97" i="1"/>
  <c r="AM97" i="1" s="1"/>
  <c r="AQ97" i="1"/>
  <c r="AL97" i="1" s="1"/>
  <c r="AS51" i="1"/>
  <c r="AN51" i="1" s="1"/>
  <c r="AR51" i="1"/>
  <c r="AM51" i="1" s="1"/>
  <c r="AT51" i="1"/>
  <c r="AO51" i="1" s="1"/>
  <c r="AQ51" i="1"/>
  <c r="AL51" i="1" s="1"/>
  <c r="AS34" i="1"/>
  <c r="AN34" i="1" s="1"/>
  <c r="AQ34" i="1"/>
  <c r="AL34" i="1" s="1"/>
  <c r="AR34" i="1"/>
  <c r="AM34" i="1" s="1"/>
  <c r="AT122" i="1"/>
  <c r="AO122" i="1" s="1"/>
  <c r="AS122" i="1"/>
  <c r="AN122" i="1" s="1"/>
  <c r="AS103" i="1"/>
  <c r="AN103" i="1" s="1"/>
  <c r="AT103" i="1"/>
  <c r="AO103" i="1" s="1"/>
  <c r="AQ103" i="1"/>
  <c r="AL103" i="1" s="1"/>
  <c r="AR103" i="1"/>
  <c r="AM103" i="1" s="1"/>
  <c r="AT90" i="1"/>
  <c r="AO90" i="1" s="1"/>
  <c r="AS90" i="1"/>
  <c r="AN90" i="1" s="1"/>
  <c r="AR90" i="1"/>
  <c r="AM90" i="1" s="1"/>
  <c r="AQ90" i="1"/>
  <c r="AL90" i="1" s="1"/>
  <c r="AT72" i="1"/>
  <c r="AO72" i="1" s="1"/>
  <c r="AR72" i="1"/>
  <c r="AM72" i="1" s="1"/>
  <c r="AS72" i="1"/>
  <c r="AN72" i="1" s="1"/>
  <c r="AT26" i="1"/>
  <c r="AO26" i="1" s="1"/>
  <c r="AQ26" i="1"/>
  <c r="AL26" i="1" s="1"/>
  <c r="AR26" i="1"/>
  <c r="AM26" i="1" s="1"/>
  <c r="AS26" i="1"/>
  <c r="AN26" i="1" s="1"/>
  <c r="AQ122" i="1"/>
  <c r="AL122" i="1" s="1"/>
  <c r="AR57" i="1"/>
  <c r="AM57" i="1" s="1"/>
  <c r="AQ57" i="1"/>
  <c r="AL57" i="1" s="1"/>
  <c r="AT57" i="1"/>
  <c r="AO57" i="1" s="1"/>
  <c r="AS57" i="1"/>
  <c r="AN57" i="1" s="1"/>
  <c r="AR122" i="1"/>
  <c r="AM122" i="1" s="1"/>
  <c r="AS84" i="1"/>
  <c r="AN84" i="1" s="1"/>
  <c r="AQ84" i="1"/>
  <c r="AL84" i="1" s="1"/>
  <c r="AT84" i="1"/>
  <c r="AO84" i="1" s="1"/>
  <c r="AS64" i="1"/>
  <c r="AN64" i="1" s="1"/>
  <c r="AR64" i="1"/>
  <c r="AM64" i="1" s="1"/>
  <c r="AQ64" i="1"/>
  <c r="AL64" i="1" s="1"/>
  <c r="AT20" i="1"/>
  <c r="AO20" i="1" s="1"/>
  <c r="AS20" i="1"/>
  <c r="AN20" i="1" s="1"/>
  <c r="AQ20" i="1"/>
  <c r="AL20" i="1" s="1"/>
  <c r="AS97" i="1"/>
  <c r="AN97" i="1" s="1"/>
  <c r="AS45" i="1"/>
  <c r="AN45" i="1" s="1"/>
  <c r="AT45" i="1"/>
  <c r="AO45" i="1" s="1"/>
  <c r="AQ45" i="1"/>
  <c r="AL45" i="1" s="1"/>
  <c r="AR45" i="1"/>
  <c r="AM45" i="1" s="1"/>
  <c r="AR102" i="1"/>
  <c r="AM102" i="1" s="1"/>
  <c r="AT102" i="1"/>
  <c r="AO102" i="1" s="1"/>
  <c r="AQ102" i="1"/>
  <c r="AL102" i="1" s="1"/>
  <c r="AS102" i="1"/>
  <c r="AN102" i="1" s="1"/>
  <c r="AT41" i="1"/>
  <c r="AO41" i="1" s="1"/>
  <c r="AR41" i="1"/>
  <c r="AM41" i="1" s="1"/>
  <c r="AQ41" i="1"/>
  <c r="AL41" i="1" s="1"/>
  <c r="AS41" i="1"/>
  <c r="AN41" i="1" s="1"/>
  <c r="AR11" i="1"/>
  <c r="AM11" i="1" s="1"/>
  <c r="AT11" i="1"/>
  <c r="AO11" i="1" s="1"/>
  <c r="AS11" i="1"/>
  <c r="AN11" i="1" s="1"/>
  <c r="AQ11" i="1"/>
  <c r="AL11" i="1" s="1"/>
  <c r="AS87" i="1"/>
  <c r="AN87" i="1" s="1"/>
  <c r="U87" i="1"/>
  <c r="W87" i="1" s="1"/>
  <c r="AT67" i="1"/>
  <c r="AO67" i="1" s="1"/>
  <c r="AQ67" i="1"/>
  <c r="AL67" i="1" s="1"/>
  <c r="AR67" i="1"/>
  <c r="AM67" i="1" s="1"/>
  <c r="AQ54" i="1"/>
  <c r="AL54" i="1" s="1"/>
  <c r="AR54" i="1"/>
  <c r="AM54" i="1" s="1"/>
  <c r="AS54" i="1"/>
  <c r="AN54" i="1" s="1"/>
  <c r="AT54" i="1"/>
  <c r="AO54" i="1" s="1"/>
  <c r="AS40" i="1"/>
  <c r="AN40" i="1" s="1"/>
  <c r="AQ40" i="1"/>
  <c r="AL40" i="1" s="1"/>
  <c r="AR40" i="1"/>
  <c r="AM40" i="1" s="1"/>
  <c r="AT40" i="1"/>
  <c r="AO40" i="1" s="1"/>
  <c r="AT37" i="1"/>
  <c r="AO37" i="1" s="1"/>
  <c r="AR37" i="1"/>
  <c r="AM37" i="1" s="1"/>
  <c r="AS37" i="1"/>
  <c r="AN37" i="1" s="1"/>
  <c r="AR23" i="1"/>
  <c r="AM23" i="1" s="1"/>
  <c r="AT23" i="1"/>
  <c r="AO23" i="1" s="1"/>
  <c r="AS23" i="1"/>
  <c r="AN23" i="1" s="1"/>
  <c r="AQ23" i="1"/>
  <c r="AL23" i="1" s="1"/>
  <c r="AT10" i="1"/>
  <c r="AO10" i="1" s="1"/>
  <c r="AS10" i="1"/>
  <c r="AN10" i="1" s="1"/>
  <c r="AR10" i="1"/>
  <c r="AM10" i="1" s="1"/>
  <c r="AQ87" i="1"/>
  <c r="AL87" i="1" s="1"/>
  <c r="AR20" i="1"/>
  <c r="AM20" i="1" s="1"/>
  <c r="AS67" i="1"/>
  <c r="AN67" i="1" s="1"/>
  <c r="AT34" i="1"/>
  <c r="AO34" i="1" s="1"/>
  <c r="AS111" i="1"/>
  <c r="AN111" i="1" s="1"/>
  <c r="AQ111" i="1"/>
  <c r="AL111" i="1" s="1"/>
  <c r="AT111" i="1"/>
  <c r="AO111" i="1" s="1"/>
  <c r="AQ136" i="1"/>
  <c r="AL136" i="1" s="1"/>
  <c r="U112" i="1"/>
  <c r="W112" i="1" s="1"/>
  <c r="AT58" i="1"/>
  <c r="AO58" i="1" s="1"/>
  <c r="AQ58" i="1"/>
  <c r="AL58" i="1" s="1"/>
  <c r="AS58" i="1"/>
  <c r="AN58" i="1" s="1"/>
  <c r="AR58" i="1"/>
  <c r="AM58" i="1" s="1"/>
  <c r="AS89" i="1"/>
  <c r="AN89" i="1" s="1"/>
  <c r="AT89" i="1"/>
  <c r="AO89" i="1" s="1"/>
  <c r="AR89" i="1"/>
  <c r="AM89" i="1" s="1"/>
  <c r="AQ89" i="1"/>
  <c r="AL89" i="1" s="1"/>
  <c r="AT44" i="1"/>
  <c r="AO44" i="1" s="1"/>
  <c r="AS44" i="1"/>
  <c r="AN44" i="1" s="1"/>
  <c r="AQ44" i="1"/>
  <c r="AL44" i="1" s="1"/>
  <c r="AT68" i="1"/>
  <c r="AO68" i="1" s="1"/>
  <c r="AQ68" i="1"/>
  <c r="AL68" i="1" s="1"/>
  <c r="AS24" i="1"/>
  <c r="AN24" i="1" s="1"/>
  <c r="AR24" i="1"/>
  <c r="AM24" i="1" s="1"/>
  <c r="AT24" i="1"/>
  <c r="AO24" i="1" s="1"/>
  <c r="AQ24" i="1"/>
  <c r="AL24" i="1" s="1"/>
  <c r="AS68" i="1"/>
  <c r="AN68" i="1" s="1"/>
  <c r="AT99" i="1"/>
  <c r="AO99" i="1" s="1"/>
  <c r="AR99" i="1"/>
  <c r="AM99" i="1" s="1"/>
  <c r="AQ99" i="1"/>
  <c r="AL99" i="1" s="1"/>
  <c r="AT86" i="1"/>
  <c r="AO86" i="1" s="1"/>
  <c r="AR86" i="1"/>
  <c r="AM86" i="1" s="1"/>
  <c r="AQ86" i="1"/>
  <c r="AL86" i="1" s="1"/>
  <c r="AS86" i="1"/>
  <c r="AN86" i="1" s="1"/>
  <c r="AT66" i="1"/>
  <c r="AO66" i="1" s="1"/>
  <c r="AR66" i="1"/>
  <c r="AM66" i="1" s="1"/>
  <c r="AQ66" i="1"/>
  <c r="AL66" i="1" s="1"/>
  <c r="AT53" i="1"/>
  <c r="AO53" i="1" s="1"/>
  <c r="AR53" i="1"/>
  <c r="AM53" i="1" s="1"/>
  <c r="AS53" i="1"/>
  <c r="AN53" i="1" s="1"/>
  <c r="AT39" i="1"/>
  <c r="AO39" i="1" s="1"/>
  <c r="AR39" i="1"/>
  <c r="AM39" i="1" s="1"/>
  <c r="AS39" i="1"/>
  <c r="AN39" i="1" s="1"/>
  <c r="AQ39" i="1"/>
  <c r="AL39" i="1" s="1"/>
  <c r="AT36" i="1"/>
  <c r="AO36" i="1" s="1"/>
  <c r="AR36" i="1"/>
  <c r="AM36" i="1" s="1"/>
  <c r="AS36" i="1"/>
  <c r="AN36" i="1" s="1"/>
  <c r="AT22" i="1"/>
  <c r="AO22" i="1" s="1"/>
  <c r="AR22" i="1"/>
  <c r="AM22" i="1" s="1"/>
  <c r="AQ22" i="1"/>
  <c r="AL22" i="1" s="1"/>
  <c r="AS22" i="1"/>
  <c r="AN22" i="1" s="1"/>
  <c r="AT9" i="1"/>
  <c r="AO9" i="1" s="1"/>
  <c r="AR9" i="1"/>
  <c r="AM9" i="1" s="1"/>
  <c r="AS9" i="1"/>
  <c r="AN9" i="1" s="1"/>
  <c r="AQ37" i="1"/>
  <c r="AL37" i="1" s="1"/>
  <c r="AS66" i="1"/>
  <c r="AN66" i="1" s="1"/>
  <c r="AR7" i="1"/>
  <c r="AM7" i="1" s="1"/>
  <c r="AT7" i="1"/>
  <c r="AO7" i="1" s="1"/>
  <c r="AS7" i="1"/>
  <c r="AN7" i="1" s="1"/>
  <c r="AQ7" i="1"/>
  <c r="AL7" i="1" s="1"/>
  <c r="AR76" i="1"/>
  <c r="AM76" i="1" s="1"/>
  <c r="AT76" i="1"/>
  <c r="AO76" i="1" s="1"/>
  <c r="AS76" i="1"/>
  <c r="AN76" i="1" s="1"/>
  <c r="AQ76" i="1"/>
  <c r="AL76" i="1" s="1"/>
  <c r="AR71" i="1"/>
  <c r="AM71" i="1" s="1"/>
  <c r="AT71" i="1"/>
  <c r="AO71" i="1" s="1"/>
  <c r="AS71" i="1"/>
  <c r="AN71" i="1" s="1"/>
  <c r="AS55" i="1"/>
  <c r="AN55" i="1" s="1"/>
  <c r="AT55" i="1"/>
  <c r="AO55" i="1" s="1"/>
  <c r="AR55" i="1"/>
  <c r="AM55" i="1" s="1"/>
  <c r="AQ55" i="1"/>
  <c r="AL55" i="1" s="1"/>
  <c r="AS38" i="1"/>
  <c r="AN38" i="1" s="1"/>
  <c r="U38" i="1"/>
  <c r="W38" i="1" s="1"/>
  <c r="AT38" i="1"/>
  <c r="AO38" i="1" s="1"/>
  <c r="AR38" i="1"/>
  <c r="AM38" i="1" s="1"/>
  <c r="AR112" i="1"/>
  <c r="AM112" i="1" s="1"/>
  <c r="AS112" i="1"/>
  <c r="AN112" i="1" s="1"/>
  <c r="AT112" i="1"/>
  <c r="AO112" i="1" s="1"/>
  <c r="AQ112" i="1"/>
  <c r="AL112" i="1" s="1"/>
  <c r="AT98" i="1"/>
  <c r="AO98" i="1" s="1"/>
  <c r="AQ98" i="1"/>
  <c r="AL98" i="1" s="1"/>
  <c r="AR98" i="1"/>
  <c r="AM98" i="1" s="1"/>
  <c r="AT85" i="1"/>
  <c r="AO85" i="1" s="1"/>
  <c r="AS85" i="1"/>
  <c r="AN85" i="1" s="1"/>
  <c r="AQ85" i="1"/>
  <c r="AL85" i="1" s="1"/>
  <c r="AR85" i="1"/>
  <c r="AM85" i="1" s="1"/>
  <c r="AT65" i="1"/>
  <c r="AO65" i="1" s="1"/>
  <c r="AQ65" i="1"/>
  <c r="AL65" i="1" s="1"/>
  <c r="AR65" i="1"/>
  <c r="AM65" i="1" s="1"/>
  <c r="AS65" i="1"/>
  <c r="AN65" i="1" s="1"/>
  <c r="AT52" i="1"/>
  <c r="AO52" i="1" s="1"/>
  <c r="AS52" i="1"/>
  <c r="AN52" i="1" s="1"/>
  <c r="AR52" i="1"/>
  <c r="AM52" i="1" s="1"/>
  <c r="AS35" i="1"/>
  <c r="AN35" i="1" s="1"/>
  <c r="AR35" i="1"/>
  <c r="AM35" i="1" s="1"/>
  <c r="AQ35" i="1"/>
  <c r="AL35" i="1" s="1"/>
  <c r="AT35" i="1"/>
  <c r="AO35" i="1" s="1"/>
  <c r="AR21" i="1"/>
  <c r="AM21" i="1" s="1"/>
  <c r="AQ21" i="1"/>
  <c r="AL21" i="1" s="1"/>
  <c r="AT21" i="1"/>
  <c r="AO21" i="1" s="1"/>
  <c r="AS21" i="1"/>
  <c r="AN21" i="1" s="1"/>
  <c r="AT8" i="1"/>
  <c r="AO8" i="1" s="1"/>
  <c r="AR8" i="1"/>
  <c r="AM8" i="1" s="1"/>
  <c r="AS8" i="1"/>
  <c r="AN8" i="1" s="1"/>
  <c r="AQ8" i="1"/>
  <c r="AL8" i="1" s="1"/>
  <c r="AQ36" i="1"/>
  <c r="AL36" i="1" s="1"/>
  <c r="AS101" i="1"/>
  <c r="AN101" i="1" s="1"/>
  <c r="AT101" i="1"/>
  <c r="AO101" i="1" s="1"/>
  <c r="AQ101" i="1"/>
  <c r="AL101" i="1" s="1"/>
  <c r="AR88" i="1"/>
  <c r="AM88" i="1" s="1"/>
  <c r="AS88" i="1"/>
  <c r="AN88" i="1" s="1"/>
  <c r="AT70" i="1"/>
  <c r="AO70" i="1" s="1"/>
  <c r="AR70" i="1"/>
  <c r="AM70" i="1" s="1"/>
  <c r="AT43" i="1"/>
  <c r="AO43" i="1" s="1"/>
  <c r="AR43" i="1"/>
  <c r="AM43" i="1" s="1"/>
  <c r="AQ43" i="1"/>
  <c r="AL43" i="1" s="1"/>
  <c r="AT13" i="1"/>
  <c r="AO13" i="1" s="1"/>
  <c r="AR13" i="1"/>
  <c r="AM13" i="1" s="1"/>
  <c r="AQ13" i="1"/>
  <c r="AL13" i="1" s="1"/>
  <c r="AT100" i="1"/>
  <c r="AO100" i="1" s="1"/>
  <c r="AS100" i="1"/>
  <c r="AN100" i="1" s="1"/>
  <c r="AQ100" i="1"/>
  <c r="AL100" i="1" s="1"/>
  <c r="AS69" i="1"/>
  <c r="AN69" i="1" s="1"/>
  <c r="AR69" i="1"/>
  <c r="AM69" i="1" s="1"/>
  <c r="AT69" i="1"/>
  <c r="AO69" i="1" s="1"/>
  <c r="AQ69" i="1"/>
  <c r="AL69" i="1" s="1"/>
  <c r="AT56" i="1"/>
  <c r="AO56" i="1" s="1"/>
  <c r="AS56" i="1"/>
  <c r="AN56" i="1" s="1"/>
  <c r="AQ56" i="1"/>
  <c r="AL56" i="1" s="1"/>
  <c r="AT42" i="1"/>
  <c r="AO42" i="1" s="1"/>
  <c r="AR42" i="1"/>
  <c r="AM42" i="1" s="1"/>
  <c r="AQ42" i="1"/>
  <c r="AL42" i="1" s="1"/>
  <c r="AR25" i="1"/>
  <c r="AM25" i="1" s="1"/>
  <c r="AS25" i="1"/>
  <c r="AN25" i="1" s="1"/>
  <c r="AT25" i="1"/>
  <c r="AO25" i="1" s="1"/>
  <c r="AS12" i="1"/>
  <c r="AN12" i="1" s="1"/>
  <c r="AR12" i="1"/>
  <c r="AM12" i="1" s="1"/>
  <c r="AQ88" i="1"/>
  <c r="AL88" i="1" s="1"/>
  <c r="AS63" i="1"/>
  <c r="AN63" i="1" s="1"/>
  <c r="AQ63" i="1"/>
  <c r="AL63" i="1" s="1"/>
  <c r="AR63" i="1"/>
  <c r="AM63" i="1" s="1"/>
  <c r="AS33" i="1"/>
  <c r="AN33" i="1" s="1"/>
  <c r="AQ33" i="1"/>
  <c r="AL33" i="1" s="1"/>
  <c r="AR33" i="1"/>
  <c r="AM33" i="1" s="1"/>
  <c r="AQ110" i="1"/>
  <c r="AL110" i="1" s="1"/>
  <c r="AS110" i="1"/>
  <c r="AN110" i="1" s="1"/>
  <c r="AQ83" i="1"/>
  <c r="AL83" i="1" s="1"/>
  <c r="AT83" i="1"/>
  <c r="AO83" i="1" s="1"/>
  <c r="AR83" i="1"/>
  <c r="AM83" i="1" s="1"/>
  <c r="AQ25" i="1"/>
  <c r="AL25" i="1" s="1"/>
  <c r="U25" i="1"/>
  <c r="AS6" i="1"/>
  <c r="AN6" i="1" s="1"/>
  <c r="AQ6" i="1"/>
  <c r="AL6" i="1" s="1"/>
  <c r="AR6" i="1"/>
  <c r="AM6" i="1" s="1"/>
  <c r="AT6" i="1"/>
  <c r="AO6" i="1" s="1"/>
  <c r="AT12" i="1"/>
  <c r="AO12" i="1" s="1"/>
  <c r="AR56" i="1"/>
  <c r="AM56" i="1" s="1"/>
  <c r="AS43" i="1"/>
  <c r="AN43" i="1" s="1"/>
  <c r="AT110" i="1"/>
  <c r="AO110" i="1" s="1"/>
  <c r="AQ96" i="1"/>
  <c r="AL96" i="1" s="1"/>
  <c r="AT96" i="1"/>
  <c r="AO96" i="1" s="1"/>
  <c r="AR96" i="1"/>
  <c r="AM96" i="1" s="1"/>
  <c r="AS42" i="1"/>
  <c r="AN42" i="1" s="1"/>
  <c r="AT140" i="1"/>
  <c r="AO140" i="1" s="1"/>
  <c r="AR140" i="1"/>
  <c r="AM140" i="1" s="1"/>
  <c r="AS140" i="1"/>
  <c r="AN140" i="1" s="1"/>
  <c r="AQ140" i="1"/>
  <c r="AL140" i="1" s="1"/>
  <c r="AS80" i="1"/>
  <c r="AN80" i="1" s="1"/>
  <c r="AT80" i="1"/>
  <c r="AO80" i="1" s="1"/>
  <c r="AT30" i="1"/>
  <c r="AO30" i="1" s="1"/>
  <c r="AQ30" i="1"/>
  <c r="AL30" i="1" s="1"/>
  <c r="AR30" i="1"/>
  <c r="AM30" i="1" s="1"/>
  <c r="AT79" i="1"/>
  <c r="AO79" i="1" s="1"/>
  <c r="AR79" i="1"/>
  <c r="AM79" i="1" s="1"/>
  <c r="AQ79" i="1"/>
  <c r="AL79" i="1" s="1"/>
  <c r="AS29" i="1"/>
  <c r="AN29" i="1" s="1"/>
  <c r="AT29" i="1"/>
  <c r="AO29" i="1" s="1"/>
  <c r="AR29" i="1"/>
  <c r="AM29" i="1" s="1"/>
  <c r="AR62" i="1"/>
  <c r="AM62" i="1" s="1"/>
  <c r="AQ62" i="1"/>
  <c r="AL62" i="1" s="1"/>
  <c r="AT62" i="1"/>
  <c r="AO62" i="1" s="1"/>
  <c r="AT3" i="1"/>
  <c r="AO3" i="1" s="1"/>
  <c r="AQ3" i="1"/>
  <c r="AL3" i="1" s="1"/>
  <c r="AS3" i="1"/>
  <c r="AN3" i="1" s="1"/>
  <c r="AR75" i="1"/>
  <c r="AM75" i="1" s="1"/>
  <c r="AQ75" i="1"/>
  <c r="AL75" i="1" s="1"/>
  <c r="AS75" i="1"/>
  <c r="AN75" i="1" s="1"/>
  <c r="AS61" i="1"/>
  <c r="AN61" i="1" s="1"/>
  <c r="AT61" i="1"/>
  <c r="AO61" i="1" s="1"/>
  <c r="AR92" i="1"/>
  <c r="AM92" i="1" s="1"/>
  <c r="AT92" i="1"/>
  <c r="AO92" i="1" s="1"/>
  <c r="AT17" i="1"/>
  <c r="AO17" i="1" s="1"/>
  <c r="AQ93" i="1"/>
  <c r="AL93" i="1" s="1"/>
  <c r="AR93" i="1"/>
  <c r="AM93" i="1" s="1"/>
  <c r="AT105" i="1"/>
  <c r="AO105" i="1" s="1"/>
  <c r="AR105" i="1"/>
  <c r="AM105" i="1" s="1"/>
  <c r="AT78" i="1"/>
  <c r="AO78" i="1" s="1"/>
  <c r="AR78" i="1"/>
  <c r="AM78" i="1" s="1"/>
  <c r="AQ78" i="1"/>
  <c r="AL78" i="1" s="1"/>
  <c r="AT74" i="1"/>
  <c r="AO74" i="1" s="1"/>
  <c r="AQ74" i="1"/>
  <c r="AL74" i="1" s="1"/>
  <c r="AS74" i="1"/>
  <c r="AN74" i="1" s="1"/>
  <c r="AS60" i="1"/>
  <c r="AN60" i="1" s="1"/>
  <c r="AT60" i="1"/>
  <c r="AO60" i="1" s="1"/>
  <c r="AQ60" i="1"/>
  <c r="AL60" i="1" s="1"/>
  <c r="AS47" i="1"/>
  <c r="AN47" i="1" s="1"/>
  <c r="AQ47" i="1"/>
  <c r="AL47" i="1" s="1"/>
  <c r="AS28" i="1"/>
  <c r="AN28" i="1" s="1"/>
  <c r="AT28" i="1"/>
  <c r="AO28" i="1" s="1"/>
  <c r="AR28" i="1"/>
  <c r="AM28" i="1" s="1"/>
  <c r="AS104" i="1"/>
  <c r="AN104" i="1" s="1"/>
  <c r="AT104" i="1"/>
  <c r="AO104" i="1" s="1"/>
  <c r="AQ104" i="1"/>
  <c r="AL104" i="1" s="1"/>
  <c r="AS91" i="1"/>
  <c r="AN91" i="1" s="1"/>
  <c r="AR91" i="1"/>
  <c r="AM91" i="1" s="1"/>
  <c r="AS77" i="1"/>
  <c r="AN77" i="1" s="1"/>
  <c r="AT77" i="1"/>
  <c r="AO77" i="1" s="1"/>
  <c r="AR77" i="1"/>
  <c r="AM77" i="1" s="1"/>
  <c r="AQ77" i="1"/>
  <c r="AL77" i="1" s="1"/>
  <c r="AT73" i="1"/>
  <c r="AO73" i="1" s="1"/>
  <c r="AQ73" i="1"/>
  <c r="AL73" i="1" s="1"/>
  <c r="AS73" i="1"/>
  <c r="AN73" i="1" s="1"/>
  <c r="AR73" i="1"/>
  <c r="AM73" i="1" s="1"/>
  <c r="AT59" i="1"/>
  <c r="AO59" i="1" s="1"/>
  <c r="AS59" i="1"/>
  <c r="AN59" i="1" s="1"/>
  <c r="AR59" i="1"/>
  <c r="AM59" i="1" s="1"/>
  <c r="AQ59" i="1"/>
  <c r="AL59" i="1" s="1"/>
  <c r="AT27" i="1"/>
  <c r="AO27" i="1" s="1"/>
  <c r="AR27" i="1"/>
  <c r="AM27" i="1" s="1"/>
  <c r="AS14" i="1"/>
  <c r="AN14" i="1" s="1"/>
  <c r="AT14" i="1"/>
  <c r="AO14" i="1" s="1"/>
  <c r="AQ14" i="1"/>
  <c r="AL14" i="1" s="1"/>
  <c r="AR61" i="1"/>
  <c r="AM61" i="1" s="1"/>
  <c r="AS30" i="1"/>
  <c r="AN30" i="1" s="1"/>
  <c r="AT91" i="1"/>
  <c r="AO91" i="1" s="1"/>
  <c r="AT16" i="1"/>
  <c r="AO16" i="1" s="1"/>
  <c r="AR31" i="1"/>
  <c r="AM31" i="1" s="1"/>
  <c r="AS108" i="1"/>
  <c r="AN108" i="1" s="1"/>
  <c r="AQ108" i="1"/>
  <c r="AL108" i="1" s="1"/>
  <c r="AS94" i="1"/>
  <c r="AN94" i="1" s="1"/>
  <c r="AR94" i="1"/>
  <c r="AM94" i="1" s="1"/>
  <c r="AQ94" i="1"/>
  <c r="AL94" i="1" s="1"/>
  <c r="AT18" i="1"/>
  <c r="AO18" i="1" s="1"/>
  <c r="AQ18" i="1"/>
  <c r="AL18" i="1" s="1"/>
  <c r="AS18" i="1"/>
  <c r="AN18" i="1" s="1"/>
  <c r="AS4" i="1"/>
  <c r="AN4" i="1" s="1"/>
  <c r="AR4" i="1"/>
  <c r="AM4" i="1" s="1"/>
  <c r="AS31" i="1"/>
  <c r="AN31" i="1" s="1"/>
  <c r="AS116" i="1"/>
  <c r="AN116" i="1" s="1"/>
  <c r="AQ116" i="1"/>
  <c r="AL116" i="1" s="1"/>
  <c r="AS143" i="1"/>
  <c r="AN143" i="1" s="1"/>
  <c r="AT143" i="1"/>
  <c r="AO143" i="1" s="1"/>
  <c r="AQ143" i="1"/>
  <c r="AL143" i="1" s="1"/>
  <c r="AS129" i="1"/>
  <c r="AN129" i="1" s="1"/>
  <c r="AR129" i="1"/>
  <c r="AM129" i="1" s="1"/>
  <c r="AT129" i="1"/>
  <c r="AO129" i="1" s="1"/>
  <c r="AS115" i="1"/>
  <c r="AN115" i="1" s="1"/>
  <c r="AQ115" i="1"/>
  <c r="AL115" i="1" s="1"/>
  <c r="AQ128" i="1"/>
  <c r="AL128" i="1" s="1"/>
  <c r="AT128" i="1"/>
  <c r="AO128" i="1" s="1"/>
  <c r="AS114" i="1"/>
  <c r="AN114" i="1" s="1"/>
  <c r="AT114" i="1"/>
  <c r="AO114" i="1" s="1"/>
  <c r="AQ114" i="1"/>
  <c r="AL114" i="1" s="1"/>
  <c r="AR116" i="1"/>
  <c r="AM116" i="1" s="1"/>
  <c r="AT125" i="1"/>
  <c r="AO125" i="1" s="1"/>
  <c r="AQ32" i="1"/>
  <c r="AL32" i="1" s="1"/>
  <c r="AR135" i="1"/>
  <c r="AM135" i="1" s="1"/>
  <c r="AT135" i="1"/>
  <c r="AO135" i="1" s="1"/>
  <c r="AQ147" i="1"/>
  <c r="AL147" i="1" s="1"/>
  <c r="AS119" i="1"/>
  <c r="AN119" i="1" s="1"/>
  <c r="AQ184" i="1" l="1"/>
  <c r="AL184" i="1" s="1"/>
  <c r="AR165" i="1"/>
  <c r="AM165" i="1" s="1"/>
  <c r="AT178" i="1"/>
  <c r="AO178" i="1" s="1"/>
  <c r="AS184" i="1"/>
  <c r="AN184" i="1" s="1"/>
  <c r="AT184" i="1"/>
  <c r="AO184" i="1" s="1"/>
  <c r="AS181" i="1"/>
  <c r="AN181" i="1" s="1"/>
  <c r="AR166" i="1"/>
  <c r="AM166" i="1" s="1"/>
  <c r="AT166" i="1"/>
  <c r="AO166" i="1" s="1"/>
  <c r="AT146" i="1"/>
  <c r="AO146" i="1" s="1"/>
  <c r="AS146" i="1"/>
  <c r="AN146" i="1" s="1"/>
  <c r="AT181" i="1"/>
  <c r="AO181" i="1" s="1"/>
  <c r="AT147" i="1"/>
  <c r="AO147" i="1" s="1"/>
  <c r="AR181" i="1"/>
  <c r="AM181" i="1" s="1"/>
  <c r="AR173" i="1"/>
  <c r="AM173" i="1" s="1"/>
  <c r="AT165" i="1"/>
  <c r="AO165" i="1" s="1"/>
  <c r="AQ120" i="1"/>
  <c r="AL120" i="1" s="1"/>
  <c r="AT161" i="1"/>
  <c r="AO161" i="1" s="1"/>
  <c r="AQ141" i="1"/>
  <c r="AL141" i="1" s="1"/>
  <c r="AQ187" i="1"/>
  <c r="AL187" i="1" s="1"/>
  <c r="AR147" i="1"/>
  <c r="AM147" i="1" s="1"/>
  <c r="AR157" i="1"/>
  <c r="AM157" i="1" s="1"/>
  <c r="AR152" i="1"/>
  <c r="AM152" i="1" s="1"/>
  <c r="AT187" i="1"/>
  <c r="AO187" i="1" s="1"/>
  <c r="AR187" i="1"/>
  <c r="AM187" i="1" s="1"/>
  <c r="AT173" i="1"/>
  <c r="AO173" i="1" s="1"/>
  <c r="AT157" i="1"/>
  <c r="AO157" i="1" s="1"/>
  <c r="AS160" i="1"/>
  <c r="AN160" i="1" s="1"/>
  <c r="AQ160" i="1"/>
  <c r="AL160" i="1" s="1"/>
  <c r="AR141" i="1"/>
  <c r="AM141" i="1" s="1"/>
  <c r="AS141" i="1"/>
  <c r="AN141" i="1" s="1"/>
  <c r="AQ161" i="1"/>
  <c r="AL161" i="1" s="1"/>
  <c r="AS151" i="1"/>
  <c r="AN151" i="1" s="1"/>
  <c r="AS136" i="1"/>
  <c r="AN136" i="1" s="1"/>
  <c r="AT151" i="1"/>
  <c r="AO151" i="1" s="1"/>
  <c r="AR138" i="1"/>
  <c r="AM138" i="1" s="1"/>
  <c r="AQ138" i="1"/>
  <c r="AL138" i="1" s="1"/>
  <c r="AR151" i="1"/>
  <c r="AM151" i="1" s="1"/>
  <c r="AT138" i="1"/>
  <c r="AO138" i="1" s="1"/>
  <c r="AT144" i="1"/>
  <c r="AO144" i="1" s="1"/>
  <c r="AS120" i="1"/>
  <c r="AN120" i="1" s="1"/>
  <c r="AR136" i="1"/>
  <c r="AM136" i="1" s="1"/>
  <c r="AS171" i="1"/>
  <c r="AN171" i="1" s="1"/>
  <c r="U136" i="1"/>
  <c r="W136" i="1" s="1"/>
  <c r="AQ144" i="1"/>
  <c r="AL144" i="1" s="1"/>
  <c r="AR120" i="1"/>
  <c r="AM120" i="1" s="1"/>
  <c r="AQ171" i="1"/>
  <c r="AL171" i="1" s="1"/>
  <c r="AR144" i="1"/>
  <c r="AM144" i="1" s="1"/>
  <c r="AQ186" i="1"/>
  <c r="AL186" i="1" s="1"/>
  <c r="AS186" i="1"/>
  <c r="AN186" i="1" s="1"/>
  <c r="AR171" i="1"/>
  <c r="AM171" i="1" s="1"/>
  <c r="AR164" i="1"/>
  <c r="AM164" i="1" s="1"/>
  <c r="AS164" i="1"/>
  <c r="AN164" i="1" s="1"/>
  <c r="AS149" i="1"/>
  <c r="AN149" i="1" s="1"/>
  <c r="AR149" i="1"/>
  <c r="AM149" i="1" s="1"/>
  <c r="AQ164" i="1"/>
  <c r="AL164" i="1" s="1"/>
  <c r="U187" i="1"/>
  <c r="W187" i="1" s="1"/>
  <c r="AT186" i="1"/>
  <c r="AO186" i="1" s="1"/>
  <c r="AT167" i="1"/>
  <c r="AO167" i="1" s="1"/>
  <c r="AR167" i="1"/>
  <c r="AM167" i="1" s="1"/>
  <c r="AS167" i="1"/>
  <c r="AN167" i="1" s="1"/>
  <c r="AS148" i="1"/>
  <c r="AN148" i="1" s="1"/>
  <c r="AR154" i="1"/>
  <c r="AM154" i="1" s="1"/>
  <c r="AS154" i="1"/>
  <c r="AN154" i="1" s="1"/>
  <c r="AQ152" i="1"/>
  <c r="AL152" i="1" s="1"/>
  <c r="AQ154" i="1"/>
  <c r="AL154" i="1" s="1"/>
  <c r="AQ157" i="1"/>
  <c r="AL157" i="1" s="1"/>
  <c r="AT117" i="1"/>
  <c r="AO117" i="1" s="1"/>
  <c r="AS152" i="1"/>
  <c r="AN152" i="1" s="1"/>
  <c r="AQ117" i="1"/>
  <c r="AL117" i="1" s="1"/>
  <c r="AS162" i="1"/>
  <c r="AN162" i="1" s="1"/>
  <c r="AR162" i="1"/>
  <c r="AM162" i="1" s="1"/>
  <c r="AQ139" i="1"/>
  <c r="AL139" i="1" s="1"/>
  <c r="AQ162" i="1"/>
  <c r="AL162" i="1" s="1"/>
  <c r="AR117" i="1"/>
  <c r="AM117" i="1" s="1"/>
  <c r="AS139" i="1"/>
  <c r="AN139" i="1" s="1"/>
  <c r="AR160" i="1"/>
  <c r="AM160" i="1" s="1"/>
  <c r="AQ133" i="1"/>
  <c r="AL133" i="1" s="1"/>
  <c r="AR133" i="1"/>
  <c r="AM133" i="1" s="1"/>
  <c r="AT179" i="1"/>
  <c r="AO179" i="1" s="1"/>
  <c r="AT134" i="1"/>
  <c r="AO134" i="1" s="1"/>
  <c r="AR145" i="1"/>
  <c r="AM145" i="1" s="1"/>
  <c r="AT145" i="1"/>
  <c r="AO145" i="1" s="1"/>
  <c r="AQ145" i="1"/>
  <c r="AL145" i="1" s="1"/>
  <c r="AT150" i="1"/>
  <c r="AO150" i="1" s="1"/>
  <c r="AR174" i="1"/>
  <c r="AM174" i="1" s="1"/>
  <c r="AQ142" i="1"/>
  <c r="AL142" i="1" s="1"/>
  <c r="AS142" i="1"/>
  <c r="AN142" i="1" s="1"/>
  <c r="AQ113" i="1"/>
  <c r="AL113" i="1" s="1"/>
  <c r="AQ170" i="1"/>
  <c r="AL170" i="1" s="1"/>
  <c r="AQ174" i="1"/>
  <c r="AL174" i="1" s="1"/>
  <c r="AS179" i="1"/>
  <c r="AN179" i="1" s="1"/>
  <c r="AQ163" i="1"/>
  <c r="AL163" i="1" s="1"/>
  <c r="AQ159" i="1"/>
  <c r="AL159" i="1" s="1"/>
  <c r="AT174" i="1"/>
  <c r="AO174" i="1" s="1"/>
  <c r="AS121" i="1"/>
  <c r="AN121" i="1" s="1"/>
  <c r="AR179" i="1"/>
  <c r="AM179" i="1" s="1"/>
  <c r="AT159" i="1"/>
  <c r="AO159" i="1" s="1"/>
  <c r="AT121" i="1"/>
  <c r="AO121" i="1" s="1"/>
  <c r="AR121" i="1"/>
  <c r="AM121" i="1" s="1"/>
  <c r="AR163" i="1"/>
  <c r="AM163" i="1" s="1"/>
  <c r="AS159" i="1"/>
  <c r="AN159" i="1" s="1"/>
  <c r="AT130" i="1"/>
  <c r="AO130" i="1" s="1"/>
  <c r="AR130" i="1"/>
  <c r="AM130" i="1" s="1"/>
  <c r="AS130" i="1"/>
  <c r="AN130" i="1" s="1"/>
  <c r="AS155" i="1"/>
  <c r="AN155" i="1" s="1"/>
  <c r="AR128" i="1"/>
  <c r="AM128" i="1" s="1"/>
  <c r="AR155" i="1"/>
  <c r="AM155" i="1" s="1"/>
  <c r="AT155" i="1"/>
  <c r="AO155" i="1" s="1"/>
  <c r="AT142" i="1"/>
  <c r="AO142" i="1" s="1"/>
  <c r="U149" i="1"/>
  <c r="W149" i="1" s="1"/>
  <c r="AR127" i="1"/>
  <c r="AM127" i="1" s="1"/>
  <c r="U175" i="1"/>
  <c r="W175" i="1" s="1"/>
  <c r="AT170" i="1"/>
  <c r="AO170" i="1" s="1"/>
  <c r="AT127" i="1"/>
  <c r="AO127" i="1" s="1"/>
  <c r="AS163" i="1"/>
  <c r="AN163" i="1" s="1"/>
  <c r="AS170" i="1"/>
  <c r="AN170" i="1" s="1"/>
  <c r="AT113" i="1"/>
  <c r="AO113" i="1" s="1"/>
  <c r="AQ127" i="1"/>
  <c r="AL127" i="1" s="1"/>
  <c r="AQ148" i="1"/>
  <c r="AL148" i="1" s="1"/>
  <c r="AQ156" i="1"/>
  <c r="AL156" i="1" s="1"/>
  <c r="AQ173" i="1"/>
  <c r="AL173" i="1" s="1"/>
  <c r="AT156" i="1"/>
  <c r="AO156" i="1" s="1"/>
  <c r="AS134" i="1"/>
  <c r="AN134" i="1" s="1"/>
  <c r="AR134" i="1"/>
  <c r="AM134" i="1" s="1"/>
  <c r="AS126" i="1"/>
  <c r="AN126" i="1" s="1"/>
  <c r="AS150" i="1"/>
  <c r="AN150" i="1" s="1"/>
  <c r="AQ126" i="1"/>
  <c r="AL126" i="1" s="1"/>
  <c r="AR150" i="1"/>
  <c r="AM150" i="1" s="1"/>
  <c r="AR126" i="1"/>
  <c r="AM126" i="1" s="1"/>
  <c r="AS156" i="1"/>
  <c r="AN156" i="1" s="1"/>
  <c r="AT139" i="1"/>
  <c r="AO139" i="1" s="1"/>
  <c r="AQ175" i="1"/>
  <c r="AL175" i="1" s="1"/>
  <c r="U161" i="1"/>
  <c r="W161" i="1" s="1"/>
  <c r="AS173" i="1"/>
  <c r="AN173" i="1" s="1"/>
  <c r="AT175" i="1"/>
  <c r="AO175" i="1" s="1"/>
  <c r="AR175" i="1"/>
  <c r="AM175" i="1" s="1"/>
  <c r="AS177" i="1"/>
  <c r="AN177" i="1" s="1"/>
  <c r="AR180" i="1"/>
  <c r="AM180" i="1" s="1"/>
  <c r="AR161" i="1"/>
  <c r="AM161" i="1" s="1"/>
  <c r="AQ180" i="1"/>
  <c r="AL180" i="1" s="1"/>
  <c r="AS113" i="1"/>
  <c r="AN113" i="1" s="1"/>
  <c r="AS180" i="1"/>
  <c r="AN180" i="1" s="1"/>
  <c r="AS133" i="1"/>
  <c r="AN133" i="1" s="1"/>
  <c r="AS125" i="1"/>
  <c r="AN125" i="1" s="1"/>
  <c r="AT177" i="1"/>
  <c r="AO177" i="1" s="1"/>
  <c r="AT185" i="1"/>
  <c r="AO185" i="1" s="1"/>
  <c r="AS185" i="1"/>
  <c r="AN185" i="1" s="1"/>
  <c r="AR185" i="1"/>
  <c r="AM185" i="1" s="1"/>
  <c r="AQ125" i="1"/>
  <c r="AL125" i="1" s="1"/>
  <c r="AQ177" i="1"/>
  <c r="AL177" i="1" s="1"/>
  <c r="BA3" i="5" l="1"/>
  <c r="V9" i="5"/>
  <c r="V10" i="5"/>
  <c r="V11" i="5"/>
  <c r="V12" i="5"/>
  <c r="V13" i="5"/>
  <c r="V8" i="5"/>
  <c r="BA3" i="6"/>
  <c r="V10" i="6"/>
  <c r="V11" i="6"/>
  <c r="V12" i="6"/>
  <c r="V13" i="6"/>
  <c r="V14" i="6"/>
  <c r="V15" i="6"/>
  <c r="V9" i="6"/>
  <c r="BA3" i="7"/>
  <c r="V16" i="7"/>
  <c r="V17" i="7"/>
  <c r="V18" i="7"/>
  <c r="V19" i="7"/>
  <c r="V20" i="7"/>
  <c r="V21" i="7"/>
  <c r="V22" i="7"/>
  <c r="V23" i="7"/>
  <c r="V24" i="7"/>
  <c r="V25" i="7"/>
  <c r="V26" i="7"/>
  <c r="V27" i="7"/>
  <c r="V15" i="7"/>
  <c r="BA3" i="8"/>
  <c r="AX3" i="8"/>
  <c r="V19" i="8"/>
  <c r="V20" i="8"/>
  <c r="V21" i="8"/>
  <c r="V22" i="8"/>
  <c r="V23" i="8"/>
  <c r="V24" i="8"/>
  <c r="V25" i="8"/>
  <c r="V26" i="8"/>
  <c r="V27" i="8"/>
  <c r="V28" i="8"/>
  <c r="V29" i="8"/>
  <c r="V30" i="8"/>
  <c r="V31" i="8"/>
  <c r="V32" i="8"/>
  <c r="V33" i="8"/>
  <c r="V18" i="8"/>
  <c r="S33" i="8"/>
  <c r="S32" i="8"/>
  <c r="S31" i="8"/>
  <c r="S30" i="8"/>
  <c r="S29" i="8"/>
  <c r="S28" i="8"/>
  <c r="S27" i="8"/>
  <c r="S26" i="8"/>
  <c r="S25" i="8"/>
  <c r="S24" i="8"/>
  <c r="S23" i="8"/>
  <c r="S22" i="8"/>
  <c r="S21" i="8"/>
  <c r="S20" i="8"/>
  <c r="S19" i="8"/>
  <c r="S18" i="8"/>
  <c r="BA3" i="9"/>
  <c r="AX3" i="9"/>
  <c r="V9" i="9"/>
  <c r="V10" i="9"/>
  <c r="V11" i="9"/>
  <c r="V12" i="9"/>
  <c r="V13" i="9"/>
  <c r="V8" i="9"/>
  <c r="S13" i="9"/>
  <c r="S12" i="9"/>
  <c r="S11" i="9"/>
  <c r="S10" i="9"/>
  <c r="S9" i="9"/>
  <c r="S8" i="9"/>
  <c r="BA3" i="10"/>
  <c r="AX3" i="10"/>
  <c r="V11" i="10"/>
  <c r="V12" i="10"/>
  <c r="V13" i="10"/>
  <c r="V14" i="10"/>
  <c r="V15" i="10"/>
  <c r="V16" i="10"/>
  <c r="V17" i="10"/>
  <c r="V10" i="10"/>
  <c r="S17" i="10"/>
  <c r="S16" i="10"/>
  <c r="S15" i="10"/>
  <c r="S14" i="10"/>
  <c r="S13" i="10"/>
  <c r="S12" i="10"/>
  <c r="S11" i="10"/>
  <c r="S10" i="10"/>
  <c r="BA2" i="9"/>
  <c r="AX2" i="9"/>
  <c r="V3" i="9"/>
  <c r="V4" i="9"/>
  <c r="V5" i="9"/>
  <c r="V6" i="9"/>
  <c r="V7" i="9"/>
  <c r="V2" i="9"/>
  <c r="BA2" i="5"/>
  <c r="V3" i="5"/>
  <c r="V4" i="5"/>
  <c r="V5" i="5"/>
  <c r="V6" i="5"/>
  <c r="V7" i="5"/>
  <c r="V2" i="5"/>
  <c r="BA2" i="6" l="1"/>
  <c r="V3" i="6"/>
  <c r="V4" i="6"/>
  <c r="V5" i="6"/>
  <c r="V6" i="6"/>
  <c r="V7" i="6"/>
  <c r="V8" i="6"/>
  <c r="V2" i="6"/>
  <c r="BA2" i="7"/>
  <c r="V3" i="7"/>
  <c r="V4" i="7"/>
  <c r="V5" i="7"/>
  <c r="V6" i="7"/>
  <c r="V7" i="7"/>
  <c r="V8" i="7"/>
  <c r="V9" i="7"/>
  <c r="V10" i="7"/>
  <c r="V11" i="7"/>
  <c r="V12" i="7"/>
  <c r="V13" i="7"/>
  <c r="V14" i="7"/>
  <c r="V2" i="7"/>
  <c r="BA2" i="8"/>
  <c r="AX2" i="8"/>
  <c r="V7" i="8"/>
  <c r="V8" i="8"/>
  <c r="V9" i="8"/>
  <c r="V10" i="8"/>
  <c r="V11" i="8"/>
  <c r="V12" i="8"/>
  <c r="V13" i="8"/>
  <c r="V14" i="8"/>
  <c r="V15" i="8"/>
  <c r="V16" i="8"/>
  <c r="V17" i="8"/>
  <c r="V3" i="8"/>
  <c r="V4" i="8"/>
  <c r="V5" i="8"/>
  <c r="V6" i="8"/>
  <c r="V2" i="8"/>
  <c r="S17" i="8"/>
  <c r="S16" i="8"/>
  <c r="S15" i="8"/>
  <c r="S14" i="8"/>
  <c r="S13" i="8"/>
  <c r="S12" i="8"/>
  <c r="S11" i="8"/>
  <c r="S10" i="8"/>
  <c r="S9" i="8"/>
  <c r="S8" i="8"/>
  <c r="S7" i="8"/>
  <c r="S6" i="8"/>
  <c r="S5" i="8"/>
  <c r="S4" i="8"/>
  <c r="S3" i="8"/>
  <c r="S2" i="8"/>
  <c r="S7" i="9"/>
  <c r="S6" i="9"/>
  <c r="S5" i="9"/>
  <c r="S4" i="9"/>
  <c r="S3" i="9"/>
  <c r="S2" i="9"/>
  <c r="BA2" i="10"/>
  <c r="AX2" i="10"/>
  <c r="V3" i="10"/>
  <c r="V4" i="10"/>
  <c r="V5" i="10"/>
  <c r="V6" i="10"/>
  <c r="V7" i="10"/>
  <c r="V8" i="10"/>
  <c r="V9" i="10"/>
  <c r="V2" i="10"/>
  <c r="S9" i="10"/>
  <c r="S8" i="10"/>
  <c r="S7" i="10"/>
  <c r="S6" i="10"/>
  <c r="S5" i="10"/>
  <c r="S4" i="10"/>
  <c r="S3" i="10"/>
  <c r="S2" i="10"/>
  <c r="G10" i="14" l="1"/>
  <c r="O81" i="12"/>
  <c r="O80" i="12"/>
  <c r="O79" i="12"/>
  <c r="O78" i="12"/>
  <c r="O77" i="12"/>
  <c r="O76" i="12"/>
  <c r="O75" i="12"/>
  <c r="O74" i="12"/>
  <c r="O73" i="12"/>
  <c r="O72" i="12"/>
  <c r="O71" i="12"/>
  <c r="O70" i="12"/>
  <c r="O69" i="12"/>
  <c r="O68" i="12"/>
  <c r="O67" i="12"/>
  <c r="O66" i="12"/>
  <c r="O65" i="12"/>
  <c r="O64" i="12"/>
  <c r="O63" i="12"/>
  <c r="O62" i="12"/>
  <c r="O61" i="12"/>
  <c r="O60" i="12"/>
  <c r="O59" i="12"/>
  <c r="O58" i="12"/>
  <c r="O57" i="12"/>
  <c r="O56" i="12"/>
  <c r="O55" i="12"/>
  <c r="O54" i="12"/>
  <c r="O53" i="12"/>
  <c r="O52" i="12"/>
  <c r="O51" i="12"/>
  <c r="O50" i="12"/>
  <c r="O49" i="12"/>
  <c r="O48" i="12"/>
  <c r="O47" i="12"/>
  <c r="O46" i="12"/>
  <c r="O45" i="12"/>
  <c r="O44" i="12"/>
  <c r="O43" i="12"/>
  <c r="O42" i="12"/>
  <c r="O41" i="12"/>
  <c r="O40" i="12"/>
  <c r="O39" i="12"/>
  <c r="O38" i="12"/>
  <c r="O37" i="12"/>
  <c r="O36" i="12"/>
  <c r="O35" i="12"/>
  <c r="O34" i="12"/>
  <c r="O33" i="12"/>
  <c r="O32" i="12"/>
  <c r="O31" i="12"/>
  <c r="O30" i="12"/>
  <c r="O29" i="12"/>
  <c r="O28" i="12"/>
  <c r="O27" i="12"/>
  <c r="O26" i="12"/>
  <c r="O25" i="12"/>
  <c r="O24" i="12"/>
  <c r="O23" i="12"/>
  <c r="O22" i="12"/>
  <c r="O21" i="12"/>
  <c r="O20" i="12"/>
  <c r="O19" i="12"/>
  <c r="O18" i="12"/>
  <c r="O17" i="12"/>
  <c r="O16" i="12"/>
  <c r="O15" i="12"/>
  <c r="O14" i="12"/>
  <c r="O13" i="12"/>
  <c r="O12" i="12"/>
  <c r="O11" i="12"/>
  <c r="O10" i="12"/>
  <c r="O9" i="12"/>
  <c r="O8" i="12"/>
  <c r="O7" i="12"/>
  <c r="O6" i="12"/>
  <c r="O5" i="12"/>
  <c r="O4" i="12"/>
  <c r="O3" i="12"/>
  <c r="O2" i="12"/>
  <c r="AD5" i="11"/>
  <c r="AB5"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 EPA User or Contractor</author>
  </authors>
  <commentList>
    <comment ref="AL2" authorId="0" shapeId="0" xr:uid="{71D8174E-BC78-4995-B438-B0905A64ED03}">
      <text>
        <r>
          <rPr>
            <b/>
            <sz val="9"/>
            <color indexed="81"/>
            <rFont val="Tahoma"/>
            <family val="2"/>
          </rPr>
          <t>U.S. EPA User or Contractor:</t>
        </r>
        <r>
          <rPr>
            <sz val="9"/>
            <color indexed="81"/>
            <rFont val="Tahoma"/>
            <family val="2"/>
          </rPr>
          <t xml:space="preserve">
</t>
        </r>
        <r>
          <rPr>
            <sz val="10"/>
            <color indexed="81"/>
            <rFont val="Tahoma"/>
            <family val="2"/>
          </rPr>
          <t xml:space="preserve">Copy/paste-special "calculation" cells into "concentration cells.  Find/replace "y " and "FALSE" with nothing.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 EPA User or Contractor</author>
  </authors>
  <commentList>
    <comment ref="V1" authorId="0" shapeId="0" xr:uid="{40E2C8D0-B343-4139-8577-165041735E2F}">
      <text>
        <r>
          <rPr>
            <b/>
            <sz val="9"/>
            <color indexed="81"/>
            <rFont val="Tahoma"/>
            <family val="2"/>
          </rPr>
          <t>U.S. EPA User or Contractor:</t>
        </r>
        <r>
          <rPr>
            <sz val="9"/>
            <color indexed="81"/>
            <rFont val="Tahoma"/>
            <family val="2"/>
          </rPr>
          <t xml:space="preserve">
Use this equation to replace "x" with peak area in polynomial curve:
=SUBSTITUTE(SUBSTITUTE(W2, "x", "*"&amp;O2&amp;"^", 1), "x", "*"&amp;O2, 1)</t>
        </r>
      </text>
    </comment>
    <comment ref="BA1" authorId="0" shapeId="0" xr:uid="{908749C0-7EE4-4D41-90D9-1BED6F9ABAAE}">
      <text>
        <r>
          <rPr>
            <b/>
            <sz val="9"/>
            <color indexed="81"/>
            <rFont val="Tahoma"/>
            <family val="2"/>
          </rPr>
          <t>U.S. EPA User or Contractor:</t>
        </r>
        <r>
          <rPr>
            <sz val="9"/>
            <color indexed="81"/>
            <rFont val="Tahoma"/>
            <family val="2"/>
          </rPr>
          <t xml:space="preserve">
Use this equation to replace "x" with peak area in polynomial curve:
=SUBSTITUTE(SUBSTITUTE(W2, "x", "*"&amp;O2&amp;"^", 1), "x", "*"&amp;O2, 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 EPA User or Contractor</author>
  </authors>
  <commentList>
    <comment ref="V1" authorId="0" shapeId="0" xr:uid="{7BF4DF5E-DFFA-4E09-B085-1CEDC1570E95}">
      <text>
        <r>
          <rPr>
            <b/>
            <sz val="9"/>
            <color indexed="81"/>
            <rFont val="Tahoma"/>
            <family val="2"/>
          </rPr>
          <t>U.S. EPA User or Contractor:</t>
        </r>
        <r>
          <rPr>
            <sz val="9"/>
            <color indexed="81"/>
            <rFont val="Tahoma"/>
            <family val="2"/>
          </rPr>
          <t xml:space="preserve">
Use this equation to replace "x" with peak area in polynomial curve:
=SUBSTITUTE(SUBSTITUTE(W2, "x", "*"&amp;O2&amp;"^", 1), "x", "*"&amp;O2, 1)</t>
        </r>
      </text>
    </comment>
    <comment ref="BA1" authorId="0" shapeId="0" xr:uid="{688251B9-438D-401F-BAE4-E5DCA298AE29}">
      <text>
        <r>
          <rPr>
            <b/>
            <sz val="9"/>
            <color indexed="81"/>
            <rFont val="Tahoma"/>
            <family val="2"/>
          </rPr>
          <t>U.S. EPA User or Contractor:</t>
        </r>
        <r>
          <rPr>
            <sz val="9"/>
            <color indexed="81"/>
            <rFont val="Tahoma"/>
            <family val="2"/>
          </rPr>
          <t xml:space="preserve">
Use this equation to replace "x" with peak area in polynomial curve:
=SUBSTITUTE(SUBSTITUTE(W2, "x", "*"&amp;O2&amp;"^", 1), "x", "*"&amp;O2, 1)</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 EPA User or Contractor</author>
  </authors>
  <commentList>
    <comment ref="V1" authorId="0" shapeId="0" xr:uid="{9131D0C2-4FD1-467A-9D6B-F9458690774D}">
      <text>
        <r>
          <rPr>
            <b/>
            <sz val="9"/>
            <color indexed="81"/>
            <rFont val="Tahoma"/>
            <family val="2"/>
          </rPr>
          <t>U.S. EPA User or Contractor:</t>
        </r>
        <r>
          <rPr>
            <sz val="9"/>
            <color indexed="81"/>
            <rFont val="Tahoma"/>
            <family val="2"/>
          </rPr>
          <t xml:space="preserve">
Use this equation to replace "x" with peak area in polynomial curve:
=SUBSTITUTE(SUBSTITUTE(W2, "x", "*"&amp;O2&amp;"^", 1), "x", "*"&amp;O2, 1)</t>
        </r>
      </text>
    </comment>
    <comment ref="BA1" authorId="0" shapeId="0" xr:uid="{D8CDB024-6514-4A4C-B425-47CEFF15D88F}">
      <text>
        <r>
          <rPr>
            <b/>
            <sz val="9"/>
            <color indexed="81"/>
            <rFont val="Tahoma"/>
            <family val="2"/>
          </rPr>
          <t>U.S. EPA User or Contractor:</t>
        </r>
        <r>
          <rPr>
            <sz val="9"/>
            <color indexed="81"/>
            <rFont val="Tahoma"/>
            <family val="2"/>
          </rPr>
          <t xml:space="preserve">
Use this equation to replace "x" with peak area in polynomial curve:
=SUBSTITUTE(SUBSTITUTE(W2, "x", "*"&amp;O2&amp;"^", 1), "x", "*"&amp;O2, 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 EPA User or Contractor</author>
  </authors>
  <commentList>
    <comment ref="V1" authorId="0" shapeId="0" xr:uid="{2907B1BF-696D-44FA-A9E2-2CF60E86ED75}">
      <text>
        <r>
          <rPr>
            <b/>
            <sz val="9"/>
            <color indexed="81"/>
            <rFont val="Tahoma"/>
            <family val="2"/>
          </rPr>
          <t>U.S. EPA User or Contractor:</t>
        </r>
        <r>
          <rPr>
            <sz val="9"/>
            <color indexed="81"/>
            <rFont val="Tahoma"/>
            <family val="2"/>
          </rPr>
          <t xml:space="preserve">
Use this equation to replace "x" with peak area in polynomial curve:
=SUBSTITUTE(SUBSTITUTE(W2, "x", "*"&amp;O2&amp;"^", 1), "x", "*"&amp;O2, 1)</t>
        </r>
      </text>
    </comment>
    <comment ref="BA1" authorId="0" shapeId="0" xr:uid="{69B79984-EB39-49FD-AD34-A1D7F592B78A}">
      <text>
        <r>
          <rPr>
            <b/>
            <sz val="9"/>
            <color indexed="81"/>
            <rFont val="Tahoma"/>
            <family val="2"/>
          </rPr>
          <t>U.S. EPA User or Contractor:</t>
        </r>
        <r>
          <rPr>
            <sz val="9"/>
            <color indexed="81"/>
            <rFont val="Tahoma"/>
            <family val="2"/>
          </rPr>
          <t xml:space="preserve">
Use this equation to replace "x" with peak area in polynomial curve:
=SUBSTITUTE(SUBSTITUTE(W2, "x", "*"&amp;O2&amp;"^", 1), "x", "*"&amp;O2, 1)</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 EPA User or Contractor</author>
  </authors>
  <commentList>
    <comment ref="V1" authorId="0" shapeId="0" xr:uid="{3FBEAE1F-0982-45B1-A499-A092BABDC1C0}">
      <text>
        <r>
          <rPr>
            <b/>
            <sz val="9"/>
            <color indexed="81"/>
            <rFont val="Tahoma"/>
            <family val="2"/>
          </rPr>
          <t>U.S. EPA User or Contractor:</t>
        </r>
        <r>
          <rPr>
            <sz val="9"/>
            <color indexed="81"/>
            <rFont val="Tahoma"/>
            <family val="2"/>
          </rPr>
          <t xml:space="preserve">
Use this equation to replace "x" with peak area in polynomial curve:
=SUBSTITUTE(SUBSTITUTE(W2, "x", "*"&amp;O2&amp;"^", 1), "x", "*"&amp;O2, 1)</t>
        </r>
      </text>
    </comment>
    <comment ref="BA1" authorId="0" shapeId="0" xr:uid="{EE7CCA68-DDA5-4B6C-BE92-FBBF029943BD}">
      <text>
        <r>
          <rPr>
            <b/>
            <sz val="9"/>
            <color indexed="81"/>
            <rFont val="Tahoma"/>
            <family val="2"/>
          </rPr>
          <t>U.S. EPA User or Contractor:</t>
        </r>
        <r>
          <rPr>
            <sz val="9"/>
            <color indexed="81"/>
            <rFont val="Tahoma"/>
            <family val="2"/>
          </rPr>
          <t xml:space="preserve">
Use this equation to replace "x" with peak area in polynomial curve:
=SUBSTITUTE(SUBSTITUTE(W2, "x", "*"&amp;O2&amp;"^", 1), "x", "*"&amp;O2, 1)</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U.S. EPA User or Contractor</author>
  </authors>
  <commentList>
    <comment ref="V1" authorId="0" shapeId="0" xr:uid="{B3CBA3EC-7D78-4B34-9644-0E03E3D55C0B}">
      <text>
        <r>
          <rPr>
            <b/>
            <sz val="9"/>
            <color indexed="81"/>
            <rFont val="Tahoma"/>
            <family val="2"/>
          </rPr>
          <t>U.S. EPA User or Contractor:</t>
        </r>
        <r>
          <rPr>
            <sz val="9"/>
            <color indexed="81"/>
            <rFont val="Tahoma"/>
            <family val="2"/>
          </rPr>
          <t xml:space="preserve">
Use this equation to replace "x" with peak area in polynomial curve:
=SUBSTITUTE(SUBSTITUTE(W2, "x", "*"&amp;O2&amp;"^", 1), "x", "*"&amp;O2, 1)</t>
        </r>
      </text>
    </comment>
    <comment ref="BA1" authorId="0" shapeId="0" xr:uid="{E0466857-B63D-497A-8FCD-62088CDF4BD9}">
      <text>
        <r>
          <rPr>
            <b/>
            <sz val="9"/>
            <color indexed="81"/>
            <rFont val="Tahoma"/>
            <family val="2"/>
          </rPr>
          <t>U.S. EPA User or Contractor:</t>
        </r>
        <r>
          <rPr>
            <sz val="9"/>
            <color indexed="81"/>
            <rFont val="Tahoma"/>
            <family val="2"/>
          </rPr>
          <t xml:space="preserve">
Use this equation to replace "x" with peak area in polynomial curve:
=SUBSTITUTE(SUBSTITUTE(W2, "x", "*"&amp;O2&amp;"^", 1), "x", "*"&amp;O2, 1)</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Christopher T. Nietch</author>
    <author>U.S. EPA User or Contractor</author>
  </authors>
  <commentList>
    <comment ref="AF3" authorId="0" shapeId="0" xr:uid="{4498781E-7366-469F-9DDA-575296B8B3B1}">
      <text>
        <r>
          <rPr>
            <b/>
            <sz val="8"/>
            <color indexed="81"/>
            <rFont val="Tahoma"/>
            <family val="2"/>
          </rPr>
          <t>Christopher T. Nietch:</t>
        </r>
        <r>
          <rPr>
            <sz val="8"/>
            <color indexed="81"/>
            <rFont val="Tahoma"/>
            <family val="2"/>
          </rPr>
          <t xml:space="preserve">
This field is not transferred to the database it is used to track sample run schedules</t>
        </r>
      </text>
    </comment>
    <comment ref="AG3" authorId="0" shapeId="0" xr:uid="{F9D0E9AE-5F10-4239-B718-0032ED120E85}">
      <text>
        <r>
          <rPr>
            <b/>
            <sz val="8"/>
            <color indexed="81"/>
            <rFont val="Tahoma"/>
            <family val="2"/>
          </rPr>
          <t>Christopher T. Nietch:</t>
        </r>
        <r>
          <rPr>
            <sz val="8"/>
            <color indexed="81"/>
            <rFont val="Tahoma"/>
            <family val="2"/>
          </rPr>
          <t xml:space="preserve">
This is a month field it is not transferred to the database.</t>
        </r>
      </text>
    </comment>
    <comment ref="AH3" authorId="0" shapeId="0" xr:uid="{50DE0CDA-402D-4445-BF5F-50F5F41E7370}">
      <text>
        <r>
          <rPr>
            <b/>
            <sz val="8"/>
            <color indexed="81"/>
            <rFont val="Tahoma"/>
            <family val="2"/>
          </rPr>
          <t>Christopher T. Nietch:</t>
        </r>
        <r>
          <rPr>
            <sz val="8"/>
            <color indexed="81"/>
            <rFont val="Tahoma"/>
            <family val="2"/>
          </rPr>
          <t xml:space="preserve">
This is a  day 
field it is not transferred to the database.</t>
        </r>
      </text>
    </comment>
    <comment ref="AI3" authorId="0" shapeId="0" xr:uid="{92FBE2A5-79D5-405F-A899-0032537B332A}">
      <text>
        <r>
          <rPr>
            <b/>
            <sz val="8"/>
            <color indexed="81"/>
            <rFont val="Tahoma"/>
            <family val="2"/>
          </rPr>
          <t>Christopher T. Nietch:</t>
        </r>
        <r>
          <rPr>
            <sz val="8"/>
            <color indexed="81"/>
            <rFont val="Tahoma"/>
            <family val="2"/>
          </rPr>
          <t xml:space="preserve">
This is a year field it is not transferred to the database.</t>
        </r>
      </text>
    </comment>
    <comment ref="AJ3" authorId="0" shapeId="0" xr:uid="{CC9AEC34-DD4B-41CF-AEEC-63AA74740954}">
      <text>
        <r>
          <rPr>
            <b/>
            <sz val="8"/>
            <color indexed="81"/>
            <rFont val="Tahoma"/>
            <family val="2"/>
          </rPr>
          <t>Christopher T. Nietch:</t>
        </r>
        <r>
          <rPr>
            <sz val="8"/>
            <color indexed="81"/>
            <rFont val="Tahoma"/>
            <family val="2"/>
          </rPr>
          <t xml:space="preserve">
This is a date field it is not transferred to the database. It is constructed from the mm dd yy fields previously then pointed to in function to format the cdate field</t>
        </r>
      </text>
    </comment>
    <comment ref="AA5" authorId="0" shapeId="0" xr:uid="{D8CC3970-56B7-4C80-92B1-A4D971241C38}">
      <text>
        <r>
          <rPr>
            <b/>
            <sz val="8"/>
            <color indexed="81"/>
            <rFont val="Tahoma"/>
            <family val="2"/>
          </rPr>
          <t>Christopher T. Nietch:</t>
        </r>
        <r>
          <rPr>
            <sz val="8"/>
            <color indexed="81"/>
            <rFont val="Tahoma"/>
            <family val="2"/>
          </rPr>
          <t xml:space="preserve">
Is the calibration equation if applicable and/or known used for samples run for a given date/time detection</t>
        </r>
      </text>
    </comment>
    <comment ref="AB5" authorId="0" shapeId="0" xr:uid="{973E1958-04E6-434C-A24D-E2DAE2238150}">
      <text>
        <r>
          <rPr>
            <b/>
            <sz val="8"/>
            <color indexed="81"/>
            <rFont val="Tahoma"/>
            <family val="2"/>
          </rPr>
          <t>Christopher T. Nietch:</t>
        </r>
        <r>
          <rPr>
            <sz val="8"/>
            <color indexed="81"/>
            <rFont val="Tahoma"/>
            <family val="2"/>
          </rPr>
          <t xml:space="preserve">
uses if then logic and standard equation to fill-in</t>
        </r>
      </text>
    </comment>
    <comment ref="AC5" authorId="0" shapeId="0" xr:uid="{FDD11697-8E42-4817-B795-AB308CBFEE60}">
      <text>
        <r>
          <rPr>
            <b/>
            <sz val="8"/>
            <color indexed="81"/>
            <rFont val="Tahoma"/>
            <family val="2"/>
          </rPr>
          <t>Christopher T. Nietch:</t>
        </r>
        <r>
          <rPr>
            <sz val="8"/>
            <color indexed="81"/>
            <rFont val="Tahoma"/>
            <family val="2"/>
          </rPr>
          <t xml:space="preserve">
Uses the vlookup function and information (name inserts) in the qcequations and qcactual worksheets to fill in</t>
        </r>
      </text>
    </comment>
    <comment ref="AD5" authorId="0" shapeId="0" xr:uid="{2485398C-22AA-4F8E-855A-4900CBB01723}">
      <text>
        <r>
          <rPr>
            <b/>
            <sz val="8"/>
            <color indexed="81"/>
            <rFont val="Tahoma"/>
            <family val="2"/>
          </rPr>
          <t>Christopher T. Nietch:</t>
        </r>
        <r>
          <rPr>
            <sz val="8"/>
            <color indexed="81"/>
            <rFont val="Tahoma"/>
            <family val="2"/>
          </rPr>
          <t xml:space="preserve">
Uses if then logic and QC criteria to determine if a QC check passes (true) or fails (false)</t>
        </r>
      </text>
    </comment>
    <comment ref="AE5" authorId="0" shapeId="0" xr:uid="{0EE55A09-5A99-45E9-8DF1-B04310DB8465}">
      <text>
        <r>
          <rPr>
            <b/>
            <sz val="8"/>
            <color indexed="81"/>
            <rFont val="Tahoma"/>
            <family val="2"/>
          </rPr>
          <t>Christopher T. Nietch:</t>
        </r>
        <r>
          <rPr>
            <sz val="8"/>
            <color indexed="81"/>
            <rFont val="Tahoma"/>
            <family val="2"/>
          </rPr>
          <t xml:space="preserve">
This field is not brought into the database it is used to check that the appropriate QC equation is used</t>
        </r>
      </text>
    </comment>
    <comment ref="C7" authorId="1" shapeId="0" xr:uid="{62E2E31C-435F-4BFE-BDFC-FD7D77498DDE}">
      <text>
        <r>
          <rPr>
            <b/>
            <sz val="9"/>
            <color indexed="81"/>
            <rFont val="Tahoma"/>
            <family val="2"/>
          </rPr>
          <t>U.S. EPA User or Contractor:</t>
        </r>
        <r>
          <rPr>
            <sz val="9"/>
            <color indexed="81"/>
            <rFont val="Tahoma"/>
            <family val="2"/>
          </rPr>
          <t xml:space="preserve">
Gray highlighted ID's are no longer in use (not contained in the 2015 data file)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U.S. EPA User or Contractor</author>
  </authors>
  <commentList>
    <comment ref="D3" authorId="0" shapeId="0" xr:uid="{060D67EE-4E20-42E4-83F6-6CED4484E2D8}">
      <text>
        <r>
          <rPr>
            <b/>
            <sz val="9"/>
            <color indexed="81"/>
            <rFont val="Tahoma"/>
            <family val="2"/>
          </rPr>
          <t>U.S. EPA User or Contractor:</t>
        </r>
        <r>
          <rPr>
            <sz val="9"/>
            <color indexed="81"/>
            <rFont val="Tahoma"/>
            <family val="2"/>
          </rPr>
          <t xml:space="preserve">
Updated 7/18/17SS
Value re-calculated for SOPs</t>
        </r>
      </text>
    </comment>
  </commentList>
</comments>
</file>

<file path=xl/sharedStrings.xml><?xml version="1.0" encoding="utf-8"?>
<sst xmlns="http://schemas.openxmlformats.org/spreadsheetml/2006/main" count="7500" uniqueCount="1001">
  <si>
    <t>cdate yymmdd10.</t>
  </si>
  <si>
    <t>ctime time11.</t>
  </si>
  <si>
    <t>id $char12.</t>
  </si>
  <si>
    <t>subid $char9.</t>
  </si>
  <si>
    <t>pos $char4.</t>
  </si>
  <si>
    <t>rep 1.</t>
  </si>
  <si>
    <t>matrix $char2.</t>
  </si>
  <si>
    <t>type $char3.</t>
  </si>
  <si>
    <t>anal$char6.</t>
  </si>
  <si>
    <t>cup 3.</t>
  </si>
  <si>
    <t>dtime time11.</t>
  </si>
  <si>
    <t>dilf 2.</t>
  </si>
  <si>
    <t>method $char5.</t>
  </si>
  <si>
    <t>parea 8.</t>
  </si>
  <si>
    <t>pht 8.</t>
  </si>
  <si>
    <t>conc 10.</t>
  </si>
  <si>
    <t>unit $char6.</t>
  </si>
  <si>
    <t>cconc 10.</t>
  </si>
  <si>
    <t>caleq $char90.</t>
  </si>
  <si>
    <t>qcrec 8.</t>
  </si>
  <si>
    <t>qcact 8.</t>
  </si>
  <si>
    <t>qcflag $char5.</t>
  </si>
  <si>
    <t>Collection Date (CDATE)</t>
  </si>
  <si>
    <t>Collection Time (CTIME)</t>
  </si>
  <si>
    <t>site id (ID)</t>
  </si>
  <si>
    <t>long id (SUBID)</t>
  </si>
  <si>
    <t>CRoss id (POS)</t>
  </si>
  <si>
    <t>REP#</t>
  </si>
  <si>
    <t>MATRIX</t>
  </si>
  <si>
    <t>TYPE</t>
  </si>
  <si>
    <t>Analyte Name (ANALY)</t>
  </si>
  <si>
    <t>Autosampler-Cup Number (CUP)</t>
  </si>
  <si>
    <t>Analyte Detection Date (DDATE)</t>
  </si>
  <si>
    <t>Analyte Detection Time (DTIME)</t>
  </si>
  <si>
    <t>Dilution Factor</t>
  </si>
  <si>
    <t>METHOD</t>
  </si>
  <si>
    <t>Peak Area (PAREA)</t>
  </si>
  <si>
    <t>Peak Height (PHT)</t>
  </si>
  <si>
    <t>Peak Concentration (CONC)</t>
  </si>
  <si>
    <t>UNIT</t>
  </si>
  <si>
    <t>Peak Concentration (corrected for dilution factor)</t>
  </si>
  <si>
    <t>Calibration Equation (CALEQ)</t>
  </si>
  <si>
    <t>QC-Recover (QCREC)</t>
  </si>
  <si>
    <t>QC-Actual (QCACT)</t>
  </si>
  <si>
    <t>QC-Flag (QCFLAG)</t>
  </si>
  <si>
    <t>QC-Equation (QCEQ)</t>
  </si>
  <si>
    <t>Run file</t>
  </si>
  <si>
    <t>NOTES</t>
  </si>
  <si>
    <t>mm</t>
  </si>
  <si>
    <t>dd</t>
  </si>
  <si>
    <t>yy</t>
  </si>
  <si>
    <t>m/d/yyyy</t>
  </si>
  <si>
    <t>PasteAsValue</t>
  </si>
  <si>
    <t>TP-TN Cal Curve ID</t>
  </si>
  <si>
    <t>TP adjusted concentration &lt;150 ppb (ug P/L)</t>
  </si>
  <si>
    <t>TP adjusted concentration &lt;300 ppb (ug P/L)</t>
  </si>
  <si>
    <t>TP adjusted concentration &lt;500 ppb (ug P/L)</t>
  </si>
  <si>
    <t>TN adjusted concentration &lt;2800 ppb (ug P/L)</t>
  </si>
  <si>
    <t>TP-TN adjusted concentration full series (ug P/L)</t>
  </si>
  <si>
    <t>TP calculation &lt;150 ppb (ug P/L)</t>
  </si>
  <si>
    <t>TP calculation &lt;300 ppb (ug P/L)</t>
  </si>
  <si>
    <t>TP calculation &lt;500 ppb (ug P/L)</t>
  </si>
  <si>
    <t>TN calculation &lt;2800 ppb (ug P/L)</t>
  </si>
  <si>
    <t>TP-TN calculation full series (ug P/L)</t>
  </si>
  <si>
    <t>TP calibration eq &lt; 150 ppb</t>
  </si>
  <si>
    <t>TP calibration eq &lt;300 ppb</t>
  </si>
  <si>
    <t>TP calibration eq &lt;500 ppb</t>
  </si>
  <si>
    <t>TN calibration eq &lt;2800 ppb</t>
  </si>
  <si>
    <t>TP-TN calibration eq full series ppb</t>
  </si>
  <si>
    <t>Combined ID</t>
  </si>
  <si>
    <t>QAC</t>
  </si>
  <si>
    <t>STD</t>
  </si>
  <si>
    <t>DI</t>
  </si>
  <si>
    <t>CAL</t>
  </si>
  <si>
    <t>TNH4</t>
  </si>
  <si>
    <t>N-1.1</t>
  </si>
  <si>
    <t>ug-N/L</t>
  </si>
  <si>
    <t>TN Calibration Curve ID</t>
  </si>
  <si>
    <t>Polynomial Value</t>
  </si>
  <si>
    <t>Polynomial Curve</t>
  </si>
  <si>
    <t>TP Calibration Curve ID</t>
  </si>
  <si>
    <t>TP</t>
  </si>
  <si>
    <t>P-1.5</t>
  </si>
  <si>
    <t>ug P/L</t>
  </si>
  <si>
    <t>Collection Date</t>
  </si>
  <si>
    <t>Collection Time</t>
  </si>
  <si>
    <t>Site id</t>
  </si>
  <si>
    <t>Longitudinal - id</t>
  </si>
  <si>
    <t>Cross-sectional id</t>
  </si>
  <si>
    <t>Replicate</t>
  </si>
  <si>
    <t>Matrix</t>
  </si>
  <si>
    <t>Type</t>
  </si>
  <si>
    <t>Analyte Name</t>
  </si>
  <si>
    <t>Autosampler-Cup Number</t>
  </si>
  <si>
    <t>Analyte Detection Date</t>
  </si>
  <si>
    <t>Analyte Detection Time</t>
  </si>
  <si>
    <t>Method</t>
  </si>
  <si>
    <t>Peak Area</t>
  </si>
  <si>
    <t>Peak Height</t>
  </si>
  <si>
    <t>Concentration</t>
  </si>
  <si>
    <t>Unit</t>
  </si>
  <si>
    <t>Concentration (corrected {i.e, dilution factor, unit conversions, etc}) (ug/l)</t>
  </si>
  <si>
    <t>Calibration Equation</t>
  </si>
  <si>
    <t>QC-Recovery</t>
  </si>
  <si>
    <t>QC-Actual</t>
  </si>
  <si>
    <t>QC-Flag</t>
  </si>
  <si>
    <t>QC-Equation</t>
  </si>
  <si>
    <t>cdate</t>
  </si>
  <si>
    <t>ctime</t>
  </si>
  <si>
    <t>id</t>
  </si>
  <si>
    <t>subid</t>
  </si>
  <si>
    <t>pos</t>
  </si>
  <si>
    <t>rep</t>
  </si>
  <si>
    <t>matrix</t>
  </si>
  <si>
    <t>type</t>
  </si>
  <si>
    <t>analy</t>
  </si>
  <si>
    <t>cup</t>
  </si>
  <si>
    <t>ddate</t>
  </si>
  <si>
    <t>dtime</t>
  </si>
  <si>
    <t>dilf</t>
  </si>
  <si>
    <t>method</t>
  </si>
  <si>
    <t>parea</t>
  </si>
  <si>
    <t>pht</t>
  </si>
  <si>
    <t>conc</t>
  </si>
  <si>
    <t>unit</t>
  </si>
  <si>
    <t>cconc</t>
  </si>
  <si>
    <t>caleq</t>
  </si>
  <si>
    <t>qcrec</t>
  </si>
  <si>
    <t>qcact</t>
  </si>
  <si>
    <t>qcflag</t>
  </si>
  <si>
    <t>qceq</t>
  </si>
  <si>
    <t>ctime
time11.</t>
  </si>
  <si>
    <t>id
$char3.</t>
  </si>
  <si>
    <t>subid
$char7.</t>
  </si>
  <si>
    <t>pos
$char4.</t>
  </si>
  <si>
    <t>rep
1.</t>
  </si>
  <si>
    <t>matrix
$char3.</t>
  </si>
  <si>
    <t>analy
$char6.</t>
  </si>
  <si>
    <t>cup
3.</t>
  </si>
  <si>
    <t>ddate
yymmdd10.</t>
  </si>
  <si>
    <t>dtime
time11.</t>
  </si>
  <si>
    <t>dilf
3.</t>
  </si>
  <si>
    <t>method
$char5.</t>
  </si>
  <si>
    <t>parea
8.</t>
  </si>
  <si>
    <t>pht
8.</t>
  </si>
  <si>
    <t>conc
10.</t>
  </si>
  <si>
    <t>unit
$char6.</t>
  </si>
  <si>
    <t>cconc
10.</t>
  </si>
  <si>
    <t>caleq
$char90.</t>
  </si>
  <si>
    <t>qcrec
8.</t>
  </si>
  <si>
    <t>qcact
8.</t>
  </si>
  <si>
    <t>qcflag
$char5.</t>
  </si>
  <si>
    <t>yyyymmdd</t>
  </si>
  <si>
    <t>hh:mm:ss AM/PM</t>
  </si>
  <si>
    <t>QA/QC standards, checks, blanks, etc.</t>
  </si>
  <si>
    <t>Influent</t>
  </si>
  <si>
    <t>INF</t>
  </si>
  <si>
    <t>left</t>
  </si>
  <si>
    <t>L</t>
  </si>
  <si>
    <t>#</t>
  </si>
  <si>
    <t>atmospheric deposition</t>
  </si>
  <si>
    <t>AD</t>
  </si>
  <si>
    <t>Adenosine monophosphate (recovry standard)</t>
  </si>
  <si>
    <t>AMP</t>
  </si>
  <si>
    <t>Dissolved (Filtered) Reactive Phosphorus (as orthophosphate)</t>
  </si>
  <si>
    <t>DRP</t>
  </si>
  <si>
    <t>Lachat Wet Chem Method for Nitrite-Nitrate</t>
  </si>
  <si>
    <t>N-1.0</t>
  </si>
  <si>
    <t>ug N/L</t>
  </si>
  <si>
    <t/>
  </si>
  <si>
    <t>*make sure this is an Excel date</t>
  </si>
  <si>
    <t>*make sure this is an Excel time</t>
  </si>
  <si>
    <t>effluent</t>
  </si>
  <si>
    <t>EFF</t>
  </si>
  <si>
    <t>right</t>
  </si>
  <si>
    <t>R</t>
  </si>
  <si>
    <t>periphyton</t>
  </si>
  <si>
    <t>BP</t>
  </si>
  <si>
    <t>Adenosine triphosphate (recovery standard)</t>
  </si>
  <si>
    <t>ATP</t>
  </si>
  <si>
    <t>Dissolved (Filtered) Ammonium</t>
  </si>
  <si>
    <t>NH4</t>
  </si>
  <si>
    <t>Lachat Wet Chem Method for Ammonium</t>
  </si>
  <si>
    <t>Aveys Run (Cincinnati Nature Center, stream site B)</t>
  </si>
  <si>
    <t>AVR</t>
  </si>
  <si>
    <t>bucket used to collect wet deposition</t>
  </si>
  <si>
    <t>WET</t>
  </si>
  <si>
    <t>center</t>
  </si>
  <si>
    <t>C</t>
  </si>
  <si>
    <t>deionized water</t>
  </si>
  <si>
    <t>Calibration (std)</t>
  </si>
  <si>
    <t>Ammonium analyzed as an endpoint to 24hr Urease Assay</t>
  </si>
  <si>
    <t>NH4-Urease</t>
  </si>
  <si>
    <t>Method N-1.0 with a pre wet oxidation step</t>
  </si>
  <si>
    <t>N-1.2</t>
  </si>
  <si>
    <t>mg N/L</t>
  </si>
  <si>
    <t>Cemetery Creek</t>
  </si>
  <si>
    <t>CEC</t>
  </si>
  <si>
    <t>bucket used to collect dry deposition</t>
  </si>
  <si>
    <t>DRY</t>
  </si>
  <si>
    <t>1:20 Dilution</t>
  </si>
  <si>
    <t>DIL20</t>
  </si>
  <si>
    <t>drinking water</t>
  </si>
  <si>
    <t>DW</t>
  </si>
  <si>
    <t>Check (of calibration std)</t>
  </si>
  <si>
    <t>CHK</t>
  </si>
  <si>
    <t>Dissolved (Filtered) Nitrite-Nitrate</t>
  </si>
  <si>
    <t>NO2-3</t>
  </si>
  <si>
    <t>Lachat Wet Chem Method for Orthophosphate</t>
  </si>
  <si>
    <t>P-1.0</t>
  </si>
  <si>
    <t>mg P/L</t>
  </si>
  <si>
    <t>East Fork (Harsha) Lake outflow to Lower East Fork River</t>
  </si>
  <si>
    <t>DAM</t>
  </si>
  <si>
    <t>bucket used for mixed wet and dry deposition</t>
  </si>
  <si>
    <t>W|D</t>
  </si>
  <si>
    <t>Undiluted</t>
  </si>
  <si>
    <t>UDIL</t>
  </si>
  <si>
    <t>intergravel</t>
  </si>
  <si>
    <t>IG</t>
  </si>
  <si>
    <t>Control for Urease Assay</t>
  </si>
  <si>
    <t>CONTROL</t>
  </si>
  <si>
    <t>Total Dissolved (Filtered) Nitrogen (as nitrate)</t>
  </si>
  <si>
    <t>TDN</t>
  </si>
  <si>
    <t>Method P-1.0 with a pre wet oxidation step and a comprehensive calibration curve</t>
  </si>
  <si>
    <t>mg C/L</t>
  </si>
  <si>
    <t>Bob McEwen Drinking Water Treatment Plant Intake Water sampled at sink inside the plant</t>
  </si>
  <si>
    <t>DWT</t>
  </si>
  <si>
    <t>control bucket for deposition</t>
  </si>
  <si>
    <t>surface water</t>
  </si>
  <si>
    <t>SW</t>
  </si>
  <si>
    <t>Analytical Duplicate</t>
  </si>
  <si>
    <t>DUP</t>
  </si>
  <si>
    <t>Total Nitrogen (Not filtered, as nitrate)</t>
  </si>
  <si>
    <t>TN</t>
  </si>
  <si>
    <t>Lachat Wet Chem Method for Urea</t>
  </si>
  <si>
    <t>U-1.0</t>
  </si>
  <si>
    <t>Experimental Stream Facility Mesocosms</t>
  </si>
  <si>
    <t>E01 - E08</t>
  </si>
  <si>
    <t>blank</t>
  </si>
  <si>
    <t>BLK</t>
  </si>
  <si>
    <t>waste water</t>
  </si>
  <si>
    <t>WW</t>
  </si>
  <si>
    <t>Experimental Stream Facility DI</t>
  </si>
  <si>
    <t>ESF</t>
  </si>
  <si>
    <t>Total Ammonium (Not filtered)</t>
  </si>
  <si>
    <t>Wet Oxidation Method for Organic Carbon</t>
  </si>
  <si>
    <t>C-1.0</t>
  </si>
  <si>
    <t>East Fork Little Miami River at Bluesky Parkway</t>
  </si>
  <si>
    <t>EFB</t>
  </si>
  <si>
    <t>confluence</t>
  </si>
  <si>
    <t>CFL</t>
  </si>
  <si>
    <t>Experimental Stream Facility DI with Urea</t>
  </si>
  <si>
    <t>ESFwU</t>
  </si>
  <si>
    <t>Total Nitrite-Nitrate (Not filtered)</t>
  </si>
  <si>
    <t>TNO2-3</t>
  </si>
  <si>
    <t>Lachat Wet Chem Method for Nitrite (no cadmium reduction)</t>
  </si>
  <si>
    <t>N-1.3</t>
  </si>
  <si>
    <t>East Fork Little Miami River at the confluence with the Littile Miami River at South Milford Rd.</t>
  </si>
  <si>
    <t>EFC</t>
  </si>
  <si>
    <t>discharge</t>
  </si>
  <si>
    <t>DSG</t>
  </si>
  <si>
    <t>Field</t>
  </si>
  <si>
    <t>FLD</t>
  </si>
  <si>
    <t>Total Dissolved (Filtered) Phosphorus</t>
  </si>
  <si>
    <t>TDP</t>
  </si>
  <si>
    <t>Method N-1.0 with in-line UV/heat digestion for TN and N-1.2 calibration curve range</t>
  </si>
  <si>
    <t>N-1.4</t>
  </si>
  <si>
    <t>East Fork Little Miami River North of Fayettville at Morgan Rd.</t>
  </si>
  <si>
    <t>EFG</t>
  </si>
  <si>
    <t>gravel section row and side</t>
  </si>
  <si>
    <t>G01 - G16.1/2</t>
  </si>
  <si>
    <t>Glutamic acid pluce glycerophoshate (recovery standard)</t>
  </si>
  <si>
    <t>GUP</t>
  </si>
  <si>
    <t>Total Phosphorus (Not Filtered)</t>
  </si>
  <si>
    <t>Method P-1.0 with in-line UV/heat digestion for TN and P-1.5 calibration curve range</t>
  </si>
  <si>
    <t>P-1.6</t>
  </si>
  <si>
    <t>East Fork Little Miami River at intake to Experimental Stream Facility</t>
  </si>
  <si>
    <t>EFK</t>
  </si>
  <si>
    <t>prefiltration</t>
  </si>
  <si>
    <t>PFL</t>
  </si>
  <si>
    <t>AWBERC Laboratory (blank)</t>
  </si>
  <si>
    <t>LAB</t>
  </si>
  <si>
    <t>Total Reactive Phosphorus (Not filtered, as orthophosphate)</t>
  </si>
  <si>
    <t>TRP</t>
  </si>
  <si>
    <t>East Fork (Harsha) Lake at intake to DWTP</t>
  </si>
  <si>
    <t>EFL</t>
  </si>
  <si>
    <t>prepermangante addition</t>
  </si>
  <si>
    <t>PMN</t>
  </si>
  <si>
    <t>Method Detection Limit</t>
  </si>
  <si>
    <t>MDL</t>
  </si>
  <si>
    <t>Total Urea</t>
  </si>
  <si>
    <t>TUREA</t>
  </si>
  <si>
    <t>East Fork Little Miami River at Marathon</t>
  </si>
  <si>
    <t>EFM</t>
  </si>
  <si>
    <t>post settling ponds</t>
  </si>
  <si>
    <t>SET</t>
  </si>
  <si>
    <t>Performance (standard)</t>
  </si>
  <si>
    <t>PER</t>
  </si>
  <si>
    <t>Dissolved (Filtered) Urea</t>
  </si>
  <si>
    <t>UREA</t>
  </si>
  <si>
    <t>East Fork little Miami River at Fayetteville</t>
  </si>
  <si>
    <t>EFY</t>
  </si>
  <si>
    <t>recovery</t>
  </si>
  <si>
    <t>REC</t>
  </si>
  <si>
    <t>REP</t>
  </si>
  <si>
    <t>Total (not filtered) Organic Carbon</t>
  </si>
  <si>
    <t>TOC</t>
  </si>
  <si>
    <t>East Fork Little Miami River at Williamsburg ("inflow to lake")</t>
  </si>
  <si>
    <t>ELI</t>
  </si>
  <si>
    <t>Jake Beaulieau sampling site</t>
  </si>
  <si>
    <t>ROA</t>
  </si>
  <si>
    <t>Matrix Spike</t>
  </si>
  <si>
    <t>SPK</t>
  </si>
  <si>
    <t>Dissolved (Filtered) Nitrite</t>
  </si>
  <si>
    <t>NO2</t>
  </si>
  <si>
    <t>Four Mile Creek at Elick Run Rd.</t>
  </si>
  <si>
    <t>FMR</t>
  </si>
  <si>
    <t>combined sample of surface and next depth</t>
  </si>
  <si>
    <t>S1</t>
  </si>
  <si>
    <t>Unknown</t>
  </si>
  <si>
    <t>UKN</t>
  </si>
  <si>
    <t>Totla Nitrite (Not filtered)</t>
  </si>
  <si>
    <t>TNO2</t>
  </si>
  <si>
    <t>Grassy Run at Confluence with East Fork River</t>
  </si>
  <si>
    <t>GRR</t>
  </si>
  <si>
    <t>filtered aliquot of combined sample of surface and next depth</t>
  </si>
  <si>
    <t>S1F</t>
  </si>
  <si>
    <t>Hall Run at Roundbottom</t>
  </si>
  <si>
    <t>HLR</t>
  </si>
  <si>
    <t>Water Column Depth</t>
  </si>
  <si>
    <t>Hesierman Stream at intake to Experimental Stream Facility</t>
  </si>
  <si>
    <t>HST</t>
  </si>
  <si>
    <t>Water Column depth</t>
  </si>
  <si>
    <t>Howard Run at confluence with East Fork River</t>
  </si>
  <si>
    <t>HWR</t>
  </si>
  <si>
    <t>Kain Run Tribuitary</t>
  </si>
  <si>
    <t>KRT</t>
  </si>
  <si>
    <t>Standard</t>
  </si>
  <si>
    <t>Lucy Run at confluence with East Fork River</t>
  </si>
  <si>
    <t>LRC</t>
  </si>
  <si>
    <t>Lake Sample form Surface</t>
  </si>
  <si>
    <t>SURFACE</t>
  </si>
  <si>
    <t>Owensville Tributary to Stonelick Creek</t>
  </si>
  <si>
    <t>OWT</t>
  </si>
  <si>
    <t>tile section row and side</t>
  </si>
  <si>
    <t>T01-T26.1/2</t>
  </si>
  <si>
    <t>South Harsha Tributary to Lake</t>
  </si>
  <si>
    <t>SHA</t>
  </si>
  <si>
    <t>Shaylor Crossing Headwater to Shaylor Run</t>
  </si>
  <si>
    <t>SHC</t>
  </si>
  <si>
    <t>Shaylor Run</t>
  </si>
  <si>
    <t>SHR</t>
  </si>
  <si>
    <t>South Lucy Tributary to Lucy Run</t>
  </si>
  <si>
    <t>SLT</t>
  </si>
  <si>
    <t>Stonelick Creek at confluence to East Fork River</t>
  </si>
  <si>
    <t>STC</t>
  </si>
  <si>
    <t>Upper Hall Run</t>
  </si>
  <si>
    <t>UHL</t>
  </si>
  <si>
    <t>Upper Salt Run</t>
  </si>
  <si>
    <t>USR</t>
  </si>
  <si>
    <t>Experimental Stream Facility</t>
  </si>
  <si>
    <t>Grailville Treatment Wetland</t>
  </si>
  <si>
    <t>GWT</t>
  </si>
  <si>
    <t>Shepherd Creek - Roadway Site (Jake Beaulieu)</t>
  </si>
  <si>
    <t>TMC</t>
  </si>
  <si>
    <t>Shepherd Creek - Driveway Site (Jake Beaulieu)</t>
  </si>
  <si>
    <t>DRI</t>
  </si>
  <si>
    <t>Top of reach (Jake Bealieu, EGT site)</t>
  </si>
  <si>
    <t>TOP</t>
  </si>
  <si>
    <t>Shepherd Creek - Reference Site (Jake Beaulieu)</t>
  </si>
  <si>
    <t>REF/RF7</t>
  </si>
  <si>
    <t>Tributary (Jake Beaulieu, EGT site)</t>
  </si>
  <si>
    <t>TRB</t>
  </si>
  <si>
    <t>Amberly Creek Buried Reach (JB)</t>
  </si>
  <si>
    <t>AMB</t>
  </si>
  <si>
    <t>Beaver Creek Buried Reach (JB)</t>
  </si>
  <si>
    <t>BVR</t>
  </si>
  <si>
    <t>Eastgate Buried Reach (JB)</t>
  </si>
  <si>
    <t>EGT</t>
  </si>
  <si>
    <t>Este Buried Reach (JB)</t>
  </si>
  <si>
    <t>EST</t>
  </si>
  <si>
    <t>Hall Run Buried Reach (JB)</t>
  </si>
  <si>
    <t>HRN</t>
  </si>
  <si>
    <t>Happy Hollow Buried Reach (JB)</t>
  </si>
  <si>
    <t>HHW</t>
  </si>
  <si>
    <t>Pebble Creek Buried Reach (JB)</t>
  </si>
  <si>
    <t>PBC</t>
  </si>
  <si>
    <t>Taylor Creek Buried Reach (JB)</t>
  </si>
  <si>
    <t>TLC</t>
  </si>
  <si>
    <t>Salamander Excrete Pilot Test (Milanovich/Hopton)</t>
  </si>
  <si>
    <t>SEP</t>
  </si>
  <si>
    <t>E01 - E10</t>
  </si>
  <si>
    <t>EFRM</t>
  </si>
  <si>
    <t>POPLR</t>
  </si>
  <si>
    <t>BARNS</t>
  </si>
  <si>
    <t>FIELD</t>
  </si>
  <si>
    <t>STEFLM</t>
  </si>
  <si>
    <t>Ohio River at Thomas Moore College (Beaulieau)</t>
  </si>
  <si>
    <t>ATH</t>
  </si>
  <si>
    <t>Top of reach (Bealieu, EGT site)</t>
  </si>
  <si>
    <t>Bethel</t>
  </si>
  <si>
    <t>Tributary (Beaulieu, EGT site)</t>
  </si>
  <si>
    <t>CC</t>
  </si>
  <si>
    <t>Upstream (Butler/Schuster)</t>
  </si>
  <si>
    <t>UP</t>
  </si>
  <si>
    <t>Cloverlick Creek</t>
  </si>
  <si>
    <t>CLC</t>
  </si>
  <si>
    <t>Downstream (Butler/Schuster)</t>
  </si>
  <si>
    <t>DN</t>
  </si>
  <si>
    <t>Clermont County Managed Site</t>
  </si>
  <si>
    <t>COUNTY</t>
  </si>
  <si>
    <t>Baseflow (Butler/Schuster)</t>
  </si>
  <si>
    <t>BF</t>
  </si>
  <si>
    <t>Cornwell Farm Site</t>
  </si>
  <si>
    <t>CWL</t>
  </si>
  <si>
    <t>Stormflow (Butler/Schuster)</t>
  </si>
  <si>
    <t>SF</t>
  </si>
  <si>
    <t>East Fork Lake at Drinking Water Intake</t>
  </si>
  <si>
    <t>EDW</t>
  </si>
  <si>
    <t>East Fork Lake East of Narrowed Section</t>
  </si>
  <si>
    <t>EEN</t>
  </si>
  <si>
    <t>Clermont County Named Sites</t>
  </si>
  <si>
    <t>EFLMR##</t>
  </si>
  <si>
    <t>East Fork Lake Middle Part (Between EWN and EDW)</t>
  </si>
  <si>
    <t>EMP</t>
  </si>
  <si>
    <t>East Fork Lake Overflow (near DAM control Structure)</t>
  </si>
  <si>
    <t>EOF</t>
  </si>
  <si>
    <t>ETB</t>
  </si>
  <si>
    <t>East Fork Lake Upstream Lacustrine Part of Main River Inflow</t>
  </si>
  <si>
    <t>EUS</t>
  </si>
  <si>
    <t xml:space="preserve">East Fork River Upstream of Williamsburg WWTP </t>
  </si>
  <si>
    <t>EUW</t>
  </si>
  <si>
    <t>East Fork Lake West of Narrowed Section</t>
  </si>
  <si>
    <t>EWN</t>
  </si>
  <si>
    <t>FiveMile Run Headwater Cover Crop Runoff Site (BrownCounty)</t>
  </si>
  <si>
    <t>FVM</t>
  </si>
  <si>
    <t>Grassy Run at 138 (Usually Maintained by County)</t>
  </si>
  <si>
    <t>GRS</t>
  </si>
  <si>
    <t>Grassy Run at Glancey-MarathonRd crossing before GRT</t>
  </si>
  <si>
    <t>GRSSY3.2</t>
  </si>
  <si>
    <t>Grassy Run Tributary</t>
  </si>
  <si>
    <t>GRT</t>
  </si>
  <si>
    <t>Newtonsville Site</t>
  </si>
  <si>
    <t>NWT</t>
  </si>
  <si>
    <t>RAW</t>
  </si>
  <si>
    <t>ReverseOsmosisTreated Water</t>
  </si>
  <si>
    <t>RO</t>
  </si>
  <si>
    <t>Stearling Run East Branch Site</t>
  </si>
  <si>
    <t>SRE</t>
  </si>
  <si>
    <t>Stearling Run West Branch Site</t>
  </si>
  <si>
    <t>SRW</t>
  </si>
  <si>
    <t>TDS Tox Test RUN</t>
  </si>
  <si>
    <t>T1-T8</t>
  </si>
  <si>
    <t>TOXTEST1-8</t>
  </si>
  <si>
    <t>WTH</t>
  </si>
  <si>
    <t>(Milanovich/Hopton)</t>
  </si>
  <si>
    <t>AT</t>
  </si>
  <si>
    <t>Bechtold Park (Milanovich/Hopton)</t>
  </si>
  <si>
    <t>BECH</t>
  </si>
  <si>
    <t>CNCF</t>
  </si>
  <si>
    <t>CNCFS</t>
  </si>
  <si>
    <t>CNCM</t>
  </si>
  <si>
    <t>CNCSC</t>
  </si>
  <si>
    <t>DH</t>
  </si>
  <si>
    <t>DRK</t>
  </si>
  <si>
    <t>FR</t>
  </si>
  <si>
    <t>KNDY</t>
  </si>
  <si>
    <t>MIAMIF</t>
  </si>
  <si>
    <t>Lick Run - Quebec Heights (Butler/Schuster)</t>
  </si>
  <si>
    <t>QH</t>
  </si>
  <si>
    <t>RAPRN</t>
  </si>
  <si>
    <t>RHC2</t>
  </si>
  <si>
    <t>RHCF</t>
  </si>
  <si>
    <t>RHCM</t>
  </si>
  <si>
    <t>RICH2</t>
  </si>
  <si>
    <t>RICM</t>
  </si>
  <si>
    <t>SHEP</t>
  </si>
  <si>
    <t>Lick Run - St. Francis Rain Gardens (Butler/Schuster)</t>
  </si>
  <si>
    <t>STF</t>
  </si>
  <si>
    <t>SCAS reactors (Carolyn Acheson)</t>
  </si>
  <si>
    <t>NE</t>
  </si>
  <si>
    <t>HNB</t>
  </si>
  <si>
    <t>LNB</t>
  </si>
  <si>
    <t xml:space="preserve">Trib to East Fork River Main Stem @ Round Bottom Rd. </t>
  </si>
  <si>
    <t>E. FK. L. MIAMI R. UPST. LYNCHBURG WWTP</t>
  </si>
  <si>
    <t xml:space="preserve">200506         </t>
  </si>
  <si>
    <t>TRIB. TO DODSON CREEK (RM 4.52) @ U.S. RT. 50</t>
  </si>
  <si>
    <t xml:space="preserve">301890         </t>
  </si>
  <si>
    <t>USACE Reservoir</t>
  </si>
  <si>
    <t>2BHR20001</t>
  </si>
  <si>
    <t>2BRR20001</t>
  </si>
  <si>
    <t>2BVR20001</t>
  </si>
  <si>
    <t>2CBR20001</t>
  </si>
  <si>
    <t>2CCK20001</t>
  </si>
  <si>
    <t>2CFK20001</t>
  </si>
  <si>
    <t>2CHL20001</t>
  </si>
  <si>
    <t>2CRR20001</t>
  </si>
  <si>
    <t>2EFR20001</t>
  </si>
  <si>
    <t>2GRR20001</t>
  </si>
  <si>
    <t>2HTR20001</t>
  </si>
  <si>
    <t>2MNR20001</t>
  </si>
  <si>
    <t>2MSR20001</t>
  </si>
  <si>
    <t>2NRR20001</t>
  </si>
  <si>
    <t>2PRR20001</t>
  </si>
  <si>
    <t>2RRR20001</t>
  </si>
  <si>
    <t>2SRR20001</t>
  </si>
  <si>
    <t>2TAR20001</t>
  </si>
  <si>
    <t>2WFR20001</t>
  </si>
  <si>
    <t>Mike Elovitz</t>
  </si>
  <si>
    <t>622_AA</t>
  </si>
  <si>
    <t>Unique ID</t>
  </si>
  <si>
    <t>622_BB</t>
  </si>
  <si>
    <t>622_BR</t>
  </si>
  <si>
    <t>622_DZ</t>
  </si>
  <si>
    <t>622_HT</t>
  </si>
  <si>
    <t>622_MN</t>
  </si>
  <si>
    <t>622_PT</t>
  </si>
  <si>
    <t>622_TR</t>
  </si>
  <si>
    <t>622_WR</t>
  </si>
  <si>
    <t>622_XX</t>
  </si>
  <si>
    <t>Jake Beaulieu</t>
  </si>
  <si>
    <t>BRR</t>
  </si>
  <si>
    <t>CGC</t>
  </si>
  <si>
    <t>ROY's Site</t>
  </si>
  <si>
    <t>FMC</t>
  </si>
  <si>
    <t>TRIB. TO E. FK. L. MIAMI R. (78.45) @ RAPID FORGE RD.</t>
  </si>
  <si>
    <t>P04</t>
  </si>
  <si>
    <t xml:space="preserve">M04P04         </t>
  </si>
  <si>
    <t>E. FK. L. MIAMI R. UPST. LYNCHBURG @ CANADA RD.</t>
  </si>
  <si>
    <t>S15</t>
  </si>
  <si>
    <t xml:space="preserve">M04S15         </t>
  </si>
  <si>
    <t>E. FK. L. MIAMI R. DST LYNCHBURG @ WISE RD.</t>
  </si>
  <si>
    <t>S14</t>
  </si>
  <si>
    <t xml:space="preserve">M04S14         </t>
  </si>
  <si>
    <t>DODSON CREEK @ 134</t>
  </si>
  <si>
    <t>S51</t>
  </si>
  <si>
    <t xml:space="preserve">M04S51         </t>
  </si>
  <si>
    <t>W. FK. E. FK. L. MIAMI R. @ ST. RT. 123</t>
  </si>
  <si>
    <t>S50</t>
  </si>
  <si>
    <t xml:space="preserve">M04S50         </t>
  </si>
  <si>
    <t>SALT RUN NEAR PERINTOWN @ ROUNDBOTTOM RD.</t>
  </si>
  <si>
    <t>SAR</t>
  </si>
  <si>
    <t xml:space="preserve">M99Q10         </t>
  </si>
  <si>
    <t>Nutrient Diffusing Substrates</t>
  </si>
  <si>
    <t>NDS</t>
  </si>
  <si>
    <t>Controls</t>
  </si>
  <si>
    <t>CON</t>
  </si>
  <si>
    <t>Fine fritted glass disc</t>
  </si>
  <si>
    <t>F</t>
  </si>
  <si>
    <t>Sampler #</t>
  </si>
  <si>
    <t>Agar</t>
  </si>
  <si>
    <t>AG</t>
  </si>
  <si>
    <t>Nitrogen+Phosphorus Enrichment</t>
  </si>
  <si>
    <t>NP</t>
  </si>
  <si>
    <t>Coarse fritted glass disc</t>
  </si>
  <si>
    <t>Sample Weight</t>
  </si>
  <si>
    <t>Fine fritted glass disc + Glass fiber filter</t>
  </si>
  <si>
    <t>FF</t>
  </si>
  <si>
    <t>Porous crucible cover</t>
  </si>
  <si>
    <t>PCC</t>
  </si>
  <si>
    <t>St. Francis Rain Gardens (Scott Jacobs)</t>
  </si>
  <si>
    <t>Site #, Rep # (3 sites, 6 reps)</t>
  </si>
  <si>
    <t>S1R1</t>
  </si>
  <si>
    <t>Lysimeter # (8 lysimeters)</t>
  </si>
  <si>
    <t>L1b</t>
  </si>
  <si>
    <t>ISCO blank</t>
  </si>
  <si>
    <t>ISCO</t>
  </si>
  <si>
    <t>Lysimeter blank</t>
  </si>
  <si>
    <t>LYS</t>
  </si>
  <si>
    <t>Pervious Pavement Lots (Scott Jacobs/Ruben Kertesz)</t>
  </si>
  <si>
    <t>PP</t>
  </si>
  <si>
    <t xml:space="preserve">Influent </t>
  </si>
  <si>
    <t>IN</t>
  </si>
  <si>
    <t>Sample rep</t>
  </si>
  <si>
    <t>Lot 82</t>
  </si>
  <si>
    <t>Lot 90</t>
  </si>
  <si>
    <t>Saltex - wetland samples (Joe Schubauer-Berigan)</t>
  </si>
  <si>
    <t>Saltex</t>
  </si>
  <si>
    <t>Site A (#s 1-6)</t>
  </si>
  <si>
    <t>A1</t>
  </si>
  <si>
    <t>Blue</t>
  </si>
  <si>
    <t>B</t>
  </si>
  <si>
    <t>Note: inconsisent ID's for these samples</t>
  </si>
  <si>
    <t>JSB</t>
  </si>
  <si>
    <t>Site B (#s 1-6)</t>
  </si>
  <si>
    <t>B1</t>
  </si>
  <si>
    <t>Red</t>
  </si>
  <si>
    <t>Site C (#s 1-6)</t>
  </si>
  <si>
    <t>C1</t>
  </si>
  <si>
    <t>White</t>
  </si>
  <si>
    <t>W</t>
  </si>
  <si>
    <t>Site D (#s 1-6)</t>
  </si>
  <si>
    <t>D1</t>
  </si>
  <si>
    <t>Yellow</t>
  </si>
  <si>
    <t>Y</t>
  </si>
  <si>
    <t>Site X (#s 1-6)</t>
  </si>
  <si>
    <t>X1</t>
  </si>
  <si>
    <t>AltRvr</t>
  </si>
  <si>
    <t>CS</t>
  </si>
  <si>
    <t>MerDock</t>
  </si>
  <si>
    <t>PR</t>
  </si>
  <si>
    <t>PU</t>
  </si>
  <si>
    <t>Tank</t>
  </si>
  <si>
    <t>WA-82 Greywater (Jay Garland/Brian Zimmerman)</t>
  </si>
  <si>
    <t>WA82</t>
  </si>
  <si>
    <t>B2</t>
  </si>
  <si>
    <t>Feed</t>
  </si>
  <si>
    <t>Eff</t>
  </si>
  <si>
    <t>??</t>
  </si>
  <si>
    <t>BUO</t>
  </si>
  <si>
    <t>ERS</t>
  </si>
  <si>
    <t>FVC</t>
  </si>
  <si>
    <t>H1-42</t>
  </si>
  <si>
    <t>CVB</t>
  </si>
  <si>
    <t>CW1-4</t>
  </si>
  <si>
    <t>DCH</t>
  </si>
  <si>
    <t>ECP</t>
  </si>
  <si>
    <t>EFBeach</t>
  </si>
  <si>
    <t>LRN</t>
  </si>
  <si>
    <t>MC</t>
  </si>
  <si>
    <t>Nexsens</t>
  </si>
  <si>
    <t>Nshore</t>
  </si>
  <si>
    <t>SHCK</t>
  </si>
  <si>
    <t>TBS</t>
  </si>
  <si>
    <t>Clermont County samples</t>
  </si>
  <si>
    <t>CWLBP</t>
  </si>
  <si>
    <t>CWLBPF</t>
  </si>
  <si>
    <t>CWLBPP</t>
  </si>
  <si>
    <t>CWLBPR</t>
  </si>
  <si>
    <t>CWLUS</t>
  </si>
  <si>
    <t>CWLUSF</t>
  </si>
  <si>
    <t>CWLUSP</t>
  </si>
  <si>
    <t>CWLUSR</t>
  </si>
  <si>
    <t>SVBEFF</t>
  </si>
  <si>
    <t>SVBEFFF</t>
  </si>
  <si>
    <t>SVBEFFP</t>
  </si>
  <si>
    <t>SVBEFFR</t>
  </si>
  <si>
    <t>SVBINF</t>
  </si>
  <si>
    <t>SVBINFF</t>
  </si>
  <si>
    <t>SVBINFP</t>
  </si>
  <si>
    <t>SVBINFR</t>
  </si>
  <si>
    <t>Joel Allen samples</t>
  </si>
  <si>
    <t>EFLD</t>
  </si>
  <si>
    <t>EFLS</t>
  </si>
  <si>
    <t>EMB</t>
  </si>
  <si>
    <t>CGB</t>
  </si>
  <si>
    <t>BUOY</t>
  </si>
  <si>
    <t>FB</t>
  </si>
  <si>
    <t>LB</t>
  </si>
  <si>
    <t>Jake Beaulieu samples</t>
  </si>
  <si>
    <t>JJB</t>
  </si>
  <si>
    <t>Joong Lee samples</t>
  </si>
  <si>
    <t>SHCK1-26</t>
  </si>
  <si>
    <t>?? 9/22/15 samples</t>
  </si>
  <si>
    <t>CCIntake</t>
  </si>
  <si>
    <t>Intake2</t>
  </si>
  <si>
    <t>EFLMUS</t>
  </si>
  <si>
    <t>EFLMUS2</t>
  </si>
  <si>
    <t>Cloverlick</t>
  </si>
  <si>
    <t>ENN</t>
  </si>
  <si>
    <t>FLYFB</t>
  </si>
  <si>
    <t>Vikram Kapoor samples (Jorge Santo Domingo)</t>
  </si>
  <si>
    <t>VK</t>
  </si>
  <si>
    <t>ID</t>
  </si>
  <si>
    <t>WATERSHED</t>
  </si>
  <si>
    <t>SiteID*</t>
  </si>
  <si>
    <t>OEPA2012Survey</t>
  </si>
  <si>
    <t>DESCRIPTION</t>
  </si>
  <si>
    <t>RM</t>
  </si>
  <si>
    <t>DrainageArea_mi2</t>
  </si>
  <si>
    <t>Lat</t>
  </si>
  <si>
    <t>Long</t>
  </si>
  <si>
    <t>For SAS Delete</t>
  </si>
  <si>
    <t>EFKW</t>
  </si>
  <si>
    <t>NA</t>
  </si>
  <si>
    <t>if id = "</t>
  </si>
  <si>
    <t>E01</t>
  </si>
  <si>
    <t>" then delete;</t>
  </si>
  <si>
    <t>E01.1</t>
  </si>
  <si>
    <t>E01.2</t>
  </si>
  <si>
    <t>Avey's Run</t>
  </si>
  <si>
    <t>E02</t>
  </si>
  <si>
    <t xml:space="preserve">200468         </t>
  </si>
  <si>
    <t>CLOVERLICK CREEK NE OF BETHEL @ ST. RT. 133</t>
  </si>
  <si>
    <t>E02.1</t>
  </si>
  <si>
    <t>Cornwell Drainage_us Stahl driveway Marathon Edenton</t>
  </si>
  <si>
    <t>E02.2</t>
  </si>
  <si>
    <t>M04S07</t>
  </si>
  <si>
    <t>East Fork River at spillway of East Fork Lake Dam, main outflow from East Fork Lake</t>
  </si>
  <si>
    <t>E03</t>
  </si>
  <si>
    <t>Inside DWTP</t>
  </si>
  <si>
    <t>E03.1</t>
  </si>
  <si>
    <t>M04S11</t>
  </si>
  <si>
    <t>EFLMR RM 44.1 at Blue Sky Park Rd.</t>
  </si>
  <si>
    <t>E03.2</t>
  </si>
  <si>
    <t xml:space="preserve">610530         </t>
  </si>
  <si>
    <t>E FK L MIAMI R NEAR TERRACE PARK COUNTRY CLUB @ S MILFORD RD</t>
  </si>
  <si>
    <t>E04</t>
  </si>
  <si>
    <t>East Fork River at Morgan Rd and Hwy 68</t>
  </si>
  <si>
    <t>E04.1</t>
  </si>
  <si>
    <t xml:space="preserve">M04W38         </t>
  </si>
  <si>
    <t>E. FK. L. MIAMI R. SE OF MILFORD, ADJ W TECHNE CENTER DRIVE</t>
  </si>
  <si>
    <t>E04.2</t>
  </si>
  <si>
    <t xml:space="preserve">301738         </t>
  </si>
  <si>
    <t>E. FK. L. MIAMI R. NEAR MARATHON @ ST. RT. 286</t>
  </si>
  <si>
    <t>E05</t>
  </si>
  <si>
    <t xml:space="preserve">M04S13         </t>
  </si>
  <si>
    <t>E. FK. L. MIAMI R. AT FAYETTEVILLE @ U.S. RT. 50</t>
  </si>
  <si>
    <t>E05.1</t>
  </si>
  <si>
    <t xml:space="preserve">M04S08         </t>
  </si>
  <si>
    <t>E. FK. L. MIAMI R. AT WILLIAMSBURG @ MAIN ST.</t>
  </si>
  <si>
    <t>E05.2</t>
  </si>
  <si>
    <t xml:space="preserve">M04S09         </t>
  </si>
  <si>
    <t>East Fork River at SR 32 crossing</t>
  </si>
  <si>
    <t>E06</t>
  </si>
  <si>
    <t>Unnamed</t>
  </si>
  <si>
    <t>Fourmile Creek @ Jackson Rd</t>
  </si>
  <si>
    <t>E06.1</t>
  </si>
  <si>
    <t xml:space="preserve">M99Q15         </t>
  </si>
  <si>
    <t>FOURMILE RUN NEAR BATAVIA @ ELK LICK RD.</t>
  </si>
  <si>
    <t>E06.2</t>
  </si>
  <si>
    <t xml:space="preserve">M04S49         </t>
  </si>
  <si>
    <t>FIVEMILE CREEK @ BLUE SKY PARK RD. (LOWER CROSSING)</t>
  </si>
  <si>
    <t>E07</t>
  </si>
  <si>
    <t>Five Mile Creek, Headwater Region at stream crossing just north of Rt 68 and Rt 286 Junction</t>
  </si>
  <si>
    <t>E07.1</t>
  </si>
  <si>
    <t xml:space="preserve">301345         </t>
  </si>
  <si>
    <t>GRASSY FORK S OF MARATHON @ GLANCY CORNER-MARATHON RD.</t>
  </si>
  <si>
    <t>E07.2</t>
  </si>
  <si>
    <t>Grassy Fork Tribuitary</t>
  </si>
  <si>
    <t>E08</t>
  </si>
  <si>
    <t xml:space="preserve">M04P13         </t>
  </si>
  <si>
    <t>HALL RUN NEAR MILFORD @ ROUNDBOTTOM RD.</t>
  </si>
  <si>
    <t>E08.1</t>
  </si>
  <si>
    <t>Heiserman Stream at intake to the Experimental Stream Facility</t>
  </si>
  <si>
    <t>E08.2</t>
  </si>
  <si>
    <t xml:space="preserve">301894         </t>
  </si>
  <si>
    <t>HOWARD RUN @ BURDSALL RD.</t>
  </si>
  <si>
    <t>Headwater Tribuitary to Kain Run off of St Route 271, East of St Route 32 overpass</t>
  </si>
  <si>
    <t xml:space="preserve">M04S43         </t>
  </si>
  <si>
    <t>LUCY RUN S OF BATAVIA, NEAR MOUTH</t>
  </si>
  <si>
    <t xml:space="preserve">Light Run Tribuitary to Cloverlick Creek </t>
  </si>
  <si>
    <t xml:space="preserve">301148         </t>
  </si>
  <si>
    <t>TRIB. TO STONELICK CREEK (10.61) @ CEDARVILLE RD.</t>
  </si>
  <si>
    <t>Owensville Tributary</t>
  </si>
  <si>
    <t>PSR</t>
  </si>
  <si>
    <t>M04S46</t>
  </si>
  <si>
    <t xml:space="preserve">Pleasant Run at Glancy Corner @ Marathon Rd. </t>
  </si>
  <si>
    <t>SCR</t>
  </si>
  <si>
    <t xml:space="preserve">M04P12         </t>
  </si>
  <si>
    <t>SUGARCAMP RUN NEAR MILFORD @ U.S. RT. 50</t>
  </si>
  <si>
    <t>South Harsha Tributary at Elk Lick Rd crossing in East Fork Lake State Park</t>
  </si>
  <si>
    <t>Shayler Crossing Headwater</t>
  </si>
  <si>
    <t xml:space="preserve">M04S37         </t>
  </si>
  <si>
    <t>SHAYLER RUN SE OF PERINTOWN @ BALDWIN RD.</t>
  </si>
  <si>
    <t>2CMR20001</t>
  </si>
  <si>
    <t>South Lucy Tributary Headwater</t>
  </si>
  <si>
    <t xml:space="preserve">M04P09         </t>
  </si>
  <si>
    <t>STONELICK CREEK NEAR BATAVIA @ U.S. RT. 50</t>
  </si>
  <si>
    <t>SYR</t>
  </si>
  <si>
    <t>M04S38</t>
  </si>
  <si>
    <t>Shayler Run Near Olive Branch, Upst St. Rt. 32</t>
  </si>
  <si>
    <t>Twin Bridges Stream crossing in East Fork Lake State Park</t>
  </si>
  <si>
    <t>Upper Hall Run Headwater</t>
  </si>
  <si>
    <t>EFKL</t>
  </si>
  <si>
    <t>East Fork Lake Near Cloverlick and Poplar combined inflows</t>
  </si>
  <si>
    <t>East Fork Lake at DWTP intake</t>
  </si>
  <si>
    <t>East Fork Lake Main Beach west of narrows</t>
  </si>
  <si>
    <t>East Fork Lake North Shore before narrows</t>
  </si>
  <si>
    <t>East Fork Lake near overflow controls structure</t>
  </si>
  <si>
    <t>East Fork Lake Upstream</t>
  </si>
  <si>
    <t>POPLR2.1</t>
  </si>
  <si>
    <t>Poplar Creek @ Macedonia_Macedonia Road Bridge</t>
  </si>
  <si>
    <t>GRSSY0.2</t>
  </si>
  <si>
    <t>Grassy Fork @ GC-Marathon Rd_Glancy Corner-Marathon Road</t>
  </si>
  <si>
    <t>PLEAS1.3</t>
  </si>
  <si>
    <t>Pleasant Run at Blue Sky Park_downstream of CECOS</t>
  </si>
  <si>
    <t>PLEAS2.5</t>
  </si>
  <si>
    <t>Pleasant Run at Hartman Cabin_upstream of CECOS</t>
  </si>
  <si>
    <t>EFRM70.1</t>
  </si>
  <si>
    <t>East Fork @ Wise Road_Clinton Co Wise Road Bridge</t>
  </si>
  <si>
    <t>OB1.83</t>
  </si>
  <si>
    <t>O'Bannon Obannonville bridge_OBannonville Bridge ds WWTP</t>
  </si>
  <si>
    <t>EFRM75.3</t>
  </si>
  <si>
    <t>East Fork @ Canada Rd_Canada Road bridge</t>
  </si>
  <si>
    <t>USCWL</t>
  </si>
  <si>
    <t>cornwell upstream_upstream of BMP</t>
  </si>
  <si>
    <t>GRSSY3.0</t>
  </si>
  <si>
    <t>Grassy Fork Marathon Edenton_5764 Marathon-Edenton Road</t>
  </si>
  <si>
    <t>Grassy Fork @131 Brown Co_river left trib., us 131, Brown Co</t>
  </si>
  <si>
    <t>DODSN1.4</t>
  </si>
  <si>
    <t>Dodson Cr. @ St. Rt. 134_Dodson Creek @ St. Rt. 134</t>
  </si>
  <si>
    <t>HMWALTNF</t>
  </si>
  <si>
    <t>nearfield, watlz, horse manure_u/s of pond</t>
  </si>
  <si>
    <t>PE</t>
  </si>
  <si>
    <t>HMWALTFF</t>
  </si>
  <si>
    <t>Waltz, far field, horse manure_d/s of pond</t>
  </si>
  <si>
    <t>HMTHORNF</t>
  </si>
  <si>
    <t>Thornbury, near field_near manure pile</t>
  </si>
  <si>
    <t>HMTHORFF</t>
  </si>
  <si>
    <t>Thornbury, far-field_d/s from manure pile u/s drive</t>
  </si>
  <si>
    <t>XL</t>
  </si>
  <si>
    <t>HMMILLNF</t>
  </si>
  <si>
    <t>Miller, near-field_pipe draining manure pile</t>
  </si>
  <si>
    <t>GRSSY</t>
  </si>
  <si>
    <t>HMMILLFF</t>
  </si>
  <si>
    <t>Miller, far-field_by trail crossing</t>
  </si>
  <si>
    <t>HMGONZNF</t>
  </si>
  <si>
    <t>Gonzalez, near field_</t>
  </si>
  <si>
    <t>HNR</t>
  </si>
  <si>
    <t>HMGONZFF</t>
  </si>
  <si>
    <t>Gonzalez, far field_</t>
  </si>
  <si>
    <t>LKF</t>
  </si>
  <si>
    <t>Clough Creek</t>
  </si>
  <si>
    <t>NBS</t>
  </si>
  <si>
    <t>TNB</t>
  </si>
  <si>
    <t>Sterling Run, Western Branch, Headwater Region at intersection of Greenbush East Rd and Rt 68.</t>
  </si>
  <si>
    <t>Sterling Run, Eastern Branch, Headwater Region at stream crossing on Rt286 between Moon and Dietrick Rds</t>
  </si>
  <si>
    <t>Perintown</t>
  </si>
  <si>
    <t>03247500 EAST FORK LITTLE MIAMI RIVER AT PERINTOWN, OH</t>
  </si>
  <si>
    <t>2EFR10002</t>
  </si>
  <si>
    <t>East Fork River at 276 bridge crossing in Williamsburg, OH.</t>
  </si>
  <si>
    <t>2EFR20004</t>
  </si>
  <si>
    <t>East Fork Lake, EFLMR Main Inflow Tribuitary, Willamsburg, O. Quad (NEAR EUS)</t>
  </si>
  <si>
    <t>2EFR21001</t>
  </si>
  <si>
    <t>East Fork Lake, Cloverlick Inflow Tribuitary above Poplar Creek</t>
  </si>
  <si>
    <t>LMR</t>
  </si>
  <si>
    <t>2EFR11205</t>
  </si>
  <si>
    <t>Poplar Creek and St Route232</t>
  </si>
  <si>
    <t>LRW</t>
  </si>
  <si>
    <t>2EFR11204</t>
  </si>
  <si>
    <t>Poplar Creek and St Route125</t>
  </si>
  <si>
    <t>WOCW</t>
  </si>
  <si>
    <t>2EFR20005</t>
  </si>
  <si>
    <t>East Fork Lake near Cabin Run Inflow (NEAR EEN)</t>
  </si>
  <si>
    <t>2EFR21000</t>
  </si>
  <si>
    <t>East Fork Lake near combined confluences of CLC and Poplar in lake</t>
  </si>
  <si>
    <t>2EFR20024</t>
  </si>
  <si>
    <t>East Fork Lake, Near Boat Launch on Elk Lick Rd</t>
  </si>
  <si>
    <t>2EFR23001</t>
  </si>
  <si>
    <t>East Fork Lake near Slabcamp Run Inflow</t>
  </si>
  <si>
    <t>Located on East Fork Lake at the Log Boom. (Lake Side of "DAM" near USACE Flow Control Structure)</t>
  </si>
  <si>
    <t>2EFR10000</t>
  </si>
  <si>
    <t>EFLMR at CO. RD. Bridge 0.1 Miles off Elk Lick Road, Batavia, O. Quad. (Near EPA "DAM" Site)</t>
  </si>
  <si>
    <t>622_wR</t>
  </si>
  <si>
    <t>Bear Run</t>
  </si>
  <si>
    <t>HRR</t>
  </si>
  <si>
    <t>Horner Run</t>
  </si>
  <si>
    <t>Lick Fork</t>
  </si>
  <si>
    <t>North Branch Sycamore</t>
  </si>
  <si>
    <t>Trib North Branch Sycamore</t>
  </si>
  <si>
    <t>EQUATION</t>
  </si>
  <si>
    <t>[chk]/[actual]*100</t>
  </si>
  <si>
    <t>[rec]/[actual]*100</t>
  </si>
  <si>
    <t>NIC</t>
  </si>
  <si>
    <t>[per]/[actual]*100</t>
  </si>
  <si>
    <t>((ABS(rep1-rep2))/((rep1+rep2)/2)*100</t>
  </si>
  <si>
    <t>([spikedunkn]-[unkn])/[spike]*100</t>
  </si>
  <si>
    <t>nominal concentration</t>
  </si>
  <si>
    <t>IF(OR(TYPE="CHK",TYPE="ATP", TYPE="GUP",TYPE="PER"),CCONC/QCACT*100,IF(TYPE="DUP",(ABS(CONC1-CONC2))/AVERAGE(CONC1,CONC2))*100,IF(TYPE="SPK",SPKCONC-CONC1/QCACT*100,IF(OR(TYPE="LAB",TYPE="FLD",TYPE="ESF"),CONC1,""))))</t>
  </si>
  <si>
    <t>ANALYTE</t>
  </si>
  <si>
    <t>POS</t>
  </si>
  <si>
    <t>VALUE</t>
  </si>
  <si>
    <t>TP/TDP</t>
  </si>
  <si>
    <t>A</t>
  </si>
  <si>
    <t xml:space="preserve">IF(ISNA(VLOOKUP(C2,Customers,2,FALSE)),"",(VLOOKUP(C2,Customers,2,FALSE))) </t>
  </si>
  <si>
    <t>Let's try it.  First we need to think about each of the three formulas and what they must include.  We already have our VLOOKUP formula and we already know what an IF function must include, so the only one we need to learn is the ISNA function.  All the ISNA function does is return a value of true or false.  True if the cell has a #N/A error and false if it doesn't.  So, since an IF statement wants to know if something is true or false, these two functions work very well together.</t>
  </si>
  <si>
    <t>TN/TDN</t>
  </si>
  <si>
    <t>Click into cell D2 in your Invoice sheet where your first VLOOKUP formula is.</t>
  </si>
  <si>
    <t xml:space="preserve">The thing you need to understand is that when you nest formulas within formulas, Excel performs the operation dictated by the deepest nested formula first, then works its way outward.  So, enter the following formula into cell D2, then enter an account number in cell C2 that does not exist on your Accounts sheet and you will see that the #N/A error does not show. </t>
  </si>
  <si>
    <r>
      <t xml:space="preserve">NOTE: </t>
    </r>
    <r>
      <rPr>
        <sz val="10"/>
        <color indexed="8"/>
        <rFont val="Arial"/>
        <family val="2"/>
      </rPr>
      <t> Be sure to include all the proper commas and parentheses.  Remember that all opening parentheses must have closing parentheses or Excel will give you an error message.</t>
    </r>
  </si>
  <si>
    <t>Remember that Excel performs the deepest nested function first, so looking at the formula above, you will see:</t>
  </si>
  <si>
    <r>
      <t>The first thing Excel does is perform the first VLOOKUP (since that's the one that is nested deepest)</t>
    </r>
    <r>
      <rPr>
        <sz val="10"/>
        <color indexed="8"/>
        <rFont val="Times New Roman"/>
        <family val="1"/>
      </rPr>
      <t xml:space="preserve"> </t>
    </r>
  </si>
  <si>
    <r>
      <t>Then it performs the ISNA function on the result of the VLOOKUP to see if the VLOOKUP gave a #N/A error or not.  The ISNA function returns a value of true if it sees the #N/A error and a value of false if it doesn't</t>
    </r>
    <r>
      <rPr>
        <sz val="10"/>
        <color indexed="8"/>
        <rFont val="Times New Roman"/>
        <family val="1"/>
      </rPr>
      <t xml:space="preserve"> </t>
    </r>
  </si>
  <si>
    <r>
      <t>Then Excel performs the IF function on the result of the ISNA function.  If it sees a "true", it returns nothing (which is what the "" tells it). If it is "false", it returns the result of the VLOOKUP function, which is what the last VLOOKUP function is telling it to do if the value is false.</t>
    </r>
    <r>
      <rPr>
        <sz val="10"/>
        <color indexed="8"/>
        <rFont val="Times New Roman"/>
        <family val="1"/>
      </rPr>
      <t xml:space="preserve"> </t>
    </r>
  </si>
  <si>
    <t>Tfe</t>
  </si>
  <si>
    <t>TP/TDP/TN/TDN</t>
  </si>
  <si>
    <t>Source</t>
  </si>
  <si>
    <t>UltraCheck</t>
  </si>
  <si>
    <t>Keith/Maily PO4</t>
  </si>
  <si>
    <t>Ultracheck</t>
  </si>
  <si>
    <t>Maily PO4</t>
  </si>
  <si>
    <t>Dave Griffith NO2</t>
  </si>
  <si>
    <t>David G. NO2</t>
  </si>
  <si>
    <t>Start date:</t>
  </si>
  <si>
    <t>Code:</t>
  </si>
  <si>
    <t>16A</t>
  </si>
  <si>
    <t>16B</t>
  </si>
  <si>
    <t>17A</t>
  </si>
  <si>
    <t>17B</t>
  </si>
  <si>
    <t>17C</t>
  </si>
  <si>
    <t>18A</t>
  </si>
  <si>
    <t>18B</t>
  </si>
  <si>
    <t>18C</t>
  </si>
  <si>
    <t>19A</t>
  </si>
  <si>
    <t>19B</t>
  </si>
  <si>
    <t>19C</t>
  </si>
  <si>
    <t>21A</t>
  </si>
  <si>
    <t>NO2-3/TNO2-3</t>
  </si>
  <si>
    <t>D</t>
  </si>
  <si>
    <t>Nutrient Master Data Change Log</t>
  </si>
  <si>
    <t>DATE</t>
  </si>
  <si>
    <t>INITIALS</t>
  </si>
  <si>
    <t>CHANGES</t>
  </si>
  <si>
    <t>AKB</t>
  </si>
  <si>
    <t>Created file.</t>
  </si>
  <si>
    <t>D.H</t>
  </si>
  <si>
    <t>D.G</t>
  </si>
  <si>
    <t>D.F</t>
  </si>
  <si>
    <t>D.E</t>
  </si>
  <si>
    <t>D.D</t>
  </si>
  <si>
    <t>D.C</t>
  </si>
  <si>
    <t>D.B</t>
  </si>
  <si>
    <t>D.A</t>
  </si>
  <si>
    <t>Q.H</t>
  </si>
  <si>
    <t>Q.G</t>
  </si>
  <si>
    <t>Q.F</t>
  </si>
  <si>
    <t>Q.E</t>
  </si>
  <si>
    <t>Q.D</t>
  </si>
  <si>
    <t>Q.C</t>
  </si>
  <si>
    <t>Q.B</t>
  </si>
  <si>
    <t>Q.A</t>
  </si>
  <si>
    <t>cdate mmdd10.</t>
  </si>
  <si>
    <t>tpe $char3.</t>
  </si>
  <si>
    <t>ddate mmdd10.</t>
  </si>
  <si>
    <t>m/d/</t>
  </si>
  <si>
    <t>22A</t>
  </si>
  <si>
    <t>22B</t>
  </si>
  <si>
    <t>21B</t>
  </si>
  <si>
    <t>22C</t>
  </si>
  <si>
    <t>ug-P/L</t>
  </si>
  <si>
    <t>Manually changed to "TRUE" due to low concentrations</t>
  </si>
  <si>
    <t>24A</t>
  </si>
  <si>
    <t>24B</t>
  </si>
  <si>
    <t>24C</t>
  </si>
  <si>
    <t>OM_1-22-2025_05-03-28PMadj-adj (8500).omn</t>
  </si>
  <si>
    <t>y=0.457x2+171.06x-90.902</t>
  </si>
  <si>
    <t>OM_1-22-2025_01-33-41PM-adj (8500) .omn</t>
  </si>
  <si>
    <t>y=0.0294x2+205.94x+6.343</t>
  </si>
  <si>
    <t>y=-15.223x2+247.15x-2.155</t>
  </si>
  <si>
    <t>y=-27.957x2+268.45x-4.2074</t>
  </si>
  <si>
    <t>y=-113.23x2+321.73x-7.4011</t>
  </si>
  <si>
    <t>y=0.857x2+166x-84.808</t>
  </si>
  <si>
    <t>OM_1-24-2025_01-59-08PMadj (8500).OMN</t>
  </si>
  <si>
    <t>y=-0.0851x2+228.88x-104.36</t>
  </si>
  <si>
    <t>y=2.5732x2+201.29x-76.99</t>
  </si>
  <si>
    <t>OM_1-24-2025_10-47-30AM-adj (8500).omn</t>
  </si>
  <si>
    <t>y=-1.3102x2+212.34x+3.8493</t>
  </si>
  <si>
    <t>y=-7.6709x2+230.25x-0.0652</t>
  </si>
  <si>
    <t>y=-31.655x2+263.05x-4.8235</t>
  </si>
  <si>
    <t>y=-88.002x2+299.37x-7.0891</t>
  </si>
  <si>
    <t>OM_1-30-2025_10-50-49AMadj-adj (8500).OMN</t>
  </si>
  <si>
    <t>Conc = 0.169 * Area^2 + 60.8 * Area + 0.00</t>
  </si>
  <si>
    <t>Sh</t>
  </si>
  <si>
    <t>Dp</t>
  </si>
  <si>
    <t>Conc = 197 * Area + 3.37</t>
  </si>
  <si>
    <t>Conc = 147 * Area + 2.31</t>
  </si>
  <si>
    <t>OM_1-29-2025_05-00-18PMadj (8500).OMN</t>
  </si>
  <si>
    <t>Conc = 248 * Area - 107</t>
  </si>
  <si>
    <t>y=-0.184x2+251.8x-113.39</t>
  </si>
  <si>
    <t>y=-0.1957x2+248.26x-106.67</t>
  </si>
  <si>
    <t>OM_1-29-2025_02-41-16PMadj-adj (8500).omn</t>
  </si>
  <si>
    <t>Conc = 245 * Area + 9.76</t>
  </si>
  <si>
    <t>y=-0.9791x2+252.54x+6.5963</t>
  </si>
  <si>
    <t>y=-17.314x2+288.71x+0.4726</t>
  </si>
  <si>
    <t>y=-59.51x2+334.39x-4.4</t>
  </si>
  <si>
    <t>y=-208.66x2+412.32x-8.2985</t>
  </si>
  <si>
    <t>OM_1-31-2025_10-25-22AM-adj (8500).omn</t>
  </si>
  <si>
    <t>Conc = 103 * Area + 0.00</t>
  </si>
  <si>
    <t>OM_2-5-2025_09-57-46AM (8500).OMN</t>
  </si>
  <si>
    <t>y=0.2491x2+174.07x-113.01</t>
  </si>
  <si>
    <t>y=0.1329x2+176.31x-116.96</t>
  </si>
  <si>
    <t>OM_2-4-2025_03-05-57PM-adj (8500).omn</t>
  </si>
  <si>
    <t>y=-1.1905x2+216.45x+5.0455</t>
  </si>
  <si>
    <t>y=-16.641x2+252.95x-1.0931</t>
  </si>
  <si>
    <t>y=-47.205x2+288.15x-6.3604</t>
  </si>
  <si>
    <t>y=-89.549x2+313.97x-7.9418</t>
  </si>
  <si>
    <t>OM_2-12-2025_09-55-43AM (8500).OMN</t>
  </si>
  <si>
    <t>y=0.0191x2+236.17x-121.05</t>
  </si>
  <si>
    <t>y=0.3081x2+237.89x-127.61</t>
  </si>
  <si>
    <t>OM_2-11-2025_04-08-50PM-adj (8500).omn</t>
  </si>
  <si>
    <t>y=0.1004x2+241.38x-1.4194</t>
  </si>
  <si>
    <t>y=-14.932x2+275.41x-8.012</t>
  </si>
  <si>
    <t>y=-39.94x2+303.47x-11.008</t>
  </si>
  <si>
    <t>y=-90.394x2+333.64x-13.123</t>
  </si>
  <si>
    <t>OM_3-3-2025_11-02-00AM (8500).OMN</t>
  </si>
  <si>
    <t>y=-0.2376x2+181.4x-114.93</t>
  </si>
  <si>
    <t>y=0.2081x2+177.29x-111.48</t>
  </si>
  <si>
    <t>OM_2-20-2025_02-30-53PM-adj (8500).omn</t>
  </si>
  <si>
    <t>y=2.5833x2+192.01x+3.9138</t>
  </si>
  <si>
    <t>y=-47.52x2+316.83x-12.892</t>
  </si>
  <si>
    <t>y=-80.479x2+314.03x-7.064</t>
  </si>
  <si>
    <t>1</t>
  </si>
  <si>
    <t>2</t>
  </si>
  <si>
    <t>3</t>
  </si>
  <si>
    <t>4</t>
  </si>
  <si>
    <t>9</t>
  </si>
  <si>
    <t>16</t>
  </si>
  <si>
    <t>17</t>
  </si>
  <si>
    <t>18</t>
  </si>
  <si>
    <t>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</si>
</sst>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yyyymmdd"/>
    <numFmt numFmtId="165" formatCode="[$-409]h:mm:ss\ AM/PM;@"/>
    <numFmt numFmtId="166" formatCode="[$-F400]h:mm:ss\ AM/PM"/>
    <numFmt numFmtId="167" formatCode="[$-409]h:mm\ AM/PM;@"/>
    <numFmt numFmtId="168" formatCode="0.0"/>
    <numFmt numFmtId="169" formatCode="0.000"/>
    <numFmt numFmtId="170" formatCode="mm/dd/yy;@"/>
    <numFmt numFmtId="171" formatCode="0.0000"/>
    <numFmt numFmtId="172" formatCode="#,##0.00000"/>
  </numFmts>
  <fonts count="18"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sz val="10"/>
      <name val="Arial"/>
      <family val="2"/>
    </font>
    <font>
      <b/>
      <sz val="9"/>
      <color indexed="81"/>
      <name val="Tahoma"/>
      <family val="2"/>
    </font>
    <font>
      <sz val="9"/>
      <color indexed="81"/>
      <name val="Tahoma"/>
      <family val="2"/>
    </font>
    <font>
      <sz val="10"/>
      <color indexed="81"/>
      <name val="Tahoma"/>
      <family val="2"/>
    </font>
    <font>
      <b/>
      <sz val="10"/>
      <name val="Arial"/>
      <family val="2"/>
    </font>
    <font>
      <sz val="10"/>
      <color theme="1"/>
      <name val="Arial"/>
      <family val="2"/>
    </font>
    <font>
      <b/>
      <sz val="8"/>
      <color indexed="81"/>
      <name val="Tahoma"/>
      <family val="2"/>
    </font>
    <font>
      <sz val="8"/>
      <color indexed="81"/>
      <name val="Tahoma"/>
      <family val="2"/>
    </font>
    <font>
      <sz val="10"/>
      <color indexed="8"/>
      <name val="Arial"/>
      <family val="2"/>
    </font>
    <font>
      <sz val="11"/>
      <color indexed="8"/>
      <name val="Calibri"/>
      <family val="2"/>
    </font>
    <font>
      <b/>
      <sz val="10"/>
      <color indexed="8"/>
      <name val="Arial"/>
      <family val="2"/>
    </font>
    <font>
      <sz val="10"/>
      <color indexed="8"/>
      <name val="Times New Roman"/>
      <family val="1"/>
    </font>
    <font>
      <sz val="8"/>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
      <patternFill patternType="solid">
        <fgColor rgb="FFFFFF00"/>
        <bgColor indexed="64"/>
      </patternFill>
    </fill>
  </fills>
  <borders count="8">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22"/>
      </left>
      <right style="thin">
        <color indexed="22"/>
      </right>
      <top style="thin">
        <color indexed="22"/>
      </top>
      <bottom style="thin">
        <color indexed="22"/>
      </bottom>
      <diagonal/>
    </border>
    <border>
      <left/>
      <right style="thin">
        <color indexed="64"/>
      </right>
      <top/>
      <bottom/>
      <diagonal/>
    </border>
    <border>
      <left/>
      <right style="thin">
        <color indexed="64"/>
      </right>
      <top/>
      <bottom style="thin">
        <color indexed="64"/>
      </bottom>
      <diagonal/>
    </border>
  </borders>
  <cellStyleXfs count="4">
    <xf numFmtId="0" fontId="0" fillId="0" borderId="0"/>
    <xf numFmtId="0" fontId="5" fillId="0" borderId="0"/>
    <xf numFmtId="0" fontId="5" fillId="0" borderId="0"/>
    <xf numFmtId="0" fontId="13" fillId="0" borderId="0"/>
  </cellStyleXfs>
  <cellXfs count="135">
    <xf numFmtId="0" fontId="0" fillId="0" borderId="0" xfId="0"/>
    <xf numFmtId="164" fontId="0" fillId="0" borderId="0" xfId="0" applyNumberFormat="1" applyAlignment="1">
      <alignment horizontal="center" wrapText="1"/>
    </xf>
    <xf numFmtId="165" fontId="4" fillId="0" borderId="1" xfId="0" applyNumberFormat="1" applyFont="1" applyBorder="1" applyAlignment="1">
      <alignment horizontal="center" wrapText="1"/>
    </xf>
    <xf numFmtId="0" fontId="0" fillId="0" borderId="0" xfId="0" applyAlignment="1">
      <alignment horizontal="center" wrapText="1"/>
    </xf>
    <xf numFmtId="14" fontId="0" fillId="0" borderId="0" xfId="0" applyNumberFormat="1" applyAlignment="1">
      <alignment horizontal="center" wrapText="1"/>
    </xf>
    <xf numFmtId="166" fontId="0" fillId="0" borderId="0" xfId="0" applyNumberFormat="1" applyAlignment="1">
      <alignment horizontal="center" wrapText="1"/>
    </xf>
    <xf numFmtId="167" fontId="0" fillId="0" borderId="0" xfId="0" applyNumberFormat="1" applyAlignment="1">
      <alignment horizontal="center" wrapText="1"/>
    </xf>
    <xf numFmtId="1" fontId="0" fillId="0" borderId="0" xfId="0" applyNumberFormat="1" applyAlignment="1">
      <alignment horizontal="center" wrapText="1"/>
    </xf>
    <xf numFmtId="168" fontId="0" fillId="0" borderId="0" xfId="0" applyNumberFormat="1" applyAlignment="1">
      <alignment horizontal="center" wrapText="1"/>
    </xf>
    <xf numFmtId="2" fontId="0" fillId="0" borderId="0" xfId="0" applyNumberFormat="1" applyAlignment="1">
      <alignment horizontal="center" wrapText="1"/>
    </xf>
    <xf numFmtId="0" fontId="0" fillId="0" borderId="0" xfId="0" applyAlignment="1">
      <alignment horizontal="center"/>
    </xf>
    <xf numFmtId="0" fontId="0" fillId="0" borderId="2" xfId="0" applyBorder="1" applyAlignment="1">
      <alignment horizontal="center" wrapText="1"/>
    </xf>
    <xf numFmtId="14" fontId="0" fillId="0" borderId="0" xfId="0" applyNumberFormat="1" applyAlignment="1">
      <alignment horizontal="center"/>
    </xf>
    <xf numFmtId="0" fontId="0" fillId="0" borderId="1" xfId="0" applyBorder="1" applyAlignment="1">
      <alignment horizontal="center"/>
    </xf>
    <xf numFmtId="168" fontId="0" fillId="0" borderId="1" xfId="0" applyNumberFormat="1" applyBorder="1" applyAlignment="1">
      <alignment horizontal="center" wrapText="1"/>
    </xf>
    <xf numFmtId="2" fontId="0" fillId="0" borderId="1" xfId="0" applyNumberFormat="1" applyBorder="1" applyAlignment="1">
      <alignment horizontal="center" wrapText="1"/>
    </xf>
    <xf numFmtId="0" fontId="0" fillId="0" borderId="1" xfId="0" applyBorder="1" applyAlignment="1">
      <alignment horizontal="center" wrapText="1"/>
    </xf>
    <xf numFmtId="164" fontId="0" fillId="0" borderId="3" xfId="0" applyNumberFormat="1" applyBorder="1" applyAlignment="1">
      <alignment horizontal="center" wrapText="1"/>
    </xf>
    <xf numFmtId="165" fontId="4" fillId="0" borderId="4" xfId="0" applyNumberFormat="1" applyFont="1" applyBorder="1" applyAlignment="1">
      <alignment horizontal="center" wrapText="1"/>
    </xf>
    <xf numFmtId="0" fontId="0" fillId="0" borderId="4" xfId="0" applyBorder="1" applyAlignment="1">
      <alignment horizontal="center" wrapText="1"/>
    </xf>
    <xf numFmtId="14" fontId="0" fillId="0" borderId="4" xfId="0" applyNumberFormat="1" applyBorder="1" applyAlignment="1">
      <alignment horizontal="center" wrapText="1"/>
    </xf>
    <xf numFmtId="166" fontId="0" fillId="0" borderId="4" xfId="0" applyNumberFormat="1" applyBorder="1" applyAlignment="1">
      <alignment horizontal="center" wrapText="1"/>
    </xf>
    <xf numFmtId="0" fontId="5" fillId="0" borderId="4" xfId="0" applyFont="1" applyBorder="1" applyAlignment="1">
      <alignment horizontal="center" wrapText="1"/>
    </xf>
    <xf numFmtId="169" fontId="0" fillId="0" borderId="4" xfId="0" applyNumberFormat="1" applyBorder="1" applyAlignment="1">
      <alignment horizontal="center" wrapText="1"/>
    </xf>
    <xf numFmtId="1" fontId="0" fillId="0" borderId="4" xfId="0" applyNumberFormat="1" applyBorder="1" applyAlignment="1">
      <alignment horizontal="center" wrapText="1"/>
    </xf>
    <xf numFmtId="168" fontId="0" fillId="2" borderId="4" xfId="0" applyNumberFormat="1" applyFill="1" applyBorder="1" applyAlignment="1">
      <alignment horizontal="center" wrapText="1"/>
    </xf>
    <xf numFmtId="169" fontId="0" fillId="2" borderId="4" xfId="0" applyNumberFormat="1" applyFill="1" applyBorder="1" applyAlignment="1">
      <alignment horizontal="center" wrapText="1"/>
    </xf>
    <xf numFmtId="2" fontId="0" fillId="2" borderId="4" xfId="0" applyNumberFormat="1" applyFill="1" applyBorder="1" applyAlignment="1">
      <alignment horizontal="center" wrapText="1"/>
    </xf>
    <xf numFmtId="0" fontId="0" fillId="2" borderId="4" xfId="0" applyFill="1" applyBorder="1" applyAlignment="1">
      <alignment horizontal="center" wrapText="1"/>
    </xf>
    <xf numFmtId="14" fontId="0" fillId="2" borderId="4" xfId="0" applyNumberFormat="1" applyFill="1" applyBorder="1" applyAlignment="1">
      <alignment horizontal="center" wrapText="1"/>
    </xf>
    <xf numFmtId="168" fontId="4" fillId="2" borderId="4" xfId="0" applyNumberFormat="1" applyFont="1" applyFill="1" applyBorder="1" applyAlignment="1">
      <alignment horizontal="center" wrapText="1"/>
    </xf>
    <xf numFmtId="0" fontId="0" fillId="2" borderId="0" xfId="0" applyFill="1" applyAlignment="1">
      <alignment horizontal="center"/>
    </xf>
    <xf numFmtId="164" fontId="0" fillId="0" borderId="0" xfId="0" applyNumberFormat="1" applyAlignment="1">
      <alignment horizontal="center"/>
    </xf>
    <xf numFmtId="19" fontId="0" fillId="0" borderId="0" xfId="0" applyNumberFormat="1" applyAlignment="1">
      <alignment horizontal="center"/>
    </xf>
    <xf numFmtId="168" fontId="0" fillId="2" borderId="0" xfId="0" applyNumberFormat="1" applyFill="1" applyAlignment="1">
      <alignment horizontal="center"/>
    </xf>
    <xf numFmtId="165" fontId="5" fillId="0" borderId="4" xfId="0" applyNumberFormat="1" applyFont="1" applyBorder="1" applyAlignment="1">
      <alignment horizontal="center" wrapText="1"/>
    </xf>
    <xf numFmtId="168" fontId="0" fillId="0" borderId="4" xfId="0" applyNumberFormat="1" applyBorder="1" applyAlignment="1">
      <alignment horizontal="center" wrapText="1"/>
    </xf>
    <xf numFmtId="164" fontId="4" fillId="0" borderId="0" xfId="0" applyNumberFormat="1" applyFont="1" applyAlignment="1">
      <alignment horizontal="center" wrapText="1"/>
    </xf>
    <xf numFmtId="0" fontId="4" fillId="0" borderId="4" xfId="0" applyFont="1" applyBorder="1" applyAlignment="1">
      <alignment horizontal="center" wrapText="1"/>
    </xf>
    <xf numFmtId="14" fontId="4" fillId="0" borderId="4" xfId="0" applyNumberFormat="1" applyFont="1" applyBorder="1" applyAlignment="1">
      <alignment horizontal="center" wrapText="1"/>
    </xf>
    <xf numFmtId="166" fontId="4" fillId="0" borderId="4" xfId="0" applyNumberFormat="1" applyFont="1" applyBorder="1" applyAlignment="1">
      <alignment horizontal="center" wrapText="1"/>
    </xf>
    <xf numFmtId="169" fontId="4" fillId="0" borderId="4" xfId="0" applyNumberFormat="1" applyFont="1" applyBorder="1" applyAlignment="1">
      <alignment horizontal="center" wrapText="1"/>
    </xf>
    <xf numFmtId="1" fontId="4" fillId="0" borderId="4" xfId="0" applyNumberFormat="1" applyFont="1" applyBorder="1" applyAlignment="1">
      <alignment horizontal="center" wrapText="1"/>
    </xf>
    <xf numFmtId="168" fontId="4" fillId="0" borderId="4" xfId="0" applyNumberFormat="1" applyFont="1" applyBorder="1" applyAlignment="1">
      <alignment horizontal="center" wrapText="1"/>
    </xf>
    <xf numFmtId="0" fontId="4" fillId="0" borderId="0" xfId="0" applyFont="1" applyAlignment="1">
      <alignment horizontal="center" wrapText="1"/>
    </xf>
    <xf numFmtId="14" fontId="0" fillId="0" borderId="0" xfId="0" applyNumberFormat="1"/>
    <xf numFmtId="0" fontId="9" fillId="0" borderId="0" xfId="1" applyFont="1" applyAlignment="1">
      <alignment horizontal="left" wrapText="1"/>
    </xf>
    <xf numFmtId="167" fontId="9" fillId="0" borderId="0" xfId="1" applyNumberFormat="1" applyFont="1" applyAlignment="1">
      <alignment horizontal="left" wrapText="1"/>
    </xf>
    <xf numFmtId="169" fontId="9" fillId="0" borderId="0" xfId="1" applyNumberFormat="1" applyFont="1" applyAlignment="1">
      <alignment horizontal="left" wrapText="1"/>
    </xf>
    <xf numFmtId="1" fontId="9" fillId="0" borderId="0" xfId="1" applyNumberFormat="1" applyFont="1" applyAlignment="1">
      <alignment horizontal="left" wrapText="1"/>
    </xf>
    <xf numFmtId="168" fontId="9" fillId="0" borderId="0" xfId="1" applyNumberFormat="1" applyFont="1" applyAlignment="1">
      <alignment horizontal="left" wrapText="1"/>
    </xf>
    <xf numFmtId="2" fontId="9" fillId="0" borderId="0" xfId="1" applyNumberFormat="1" applyFont="1" applyAlignment="1">
      <alignment horizontal="left" wrapText="1"/>
    </xf>
    <xf numFmtId="49" fontId="9" fillId="0" borderId="0" xfId="1" applyNumberFormat="1" applyFont="1" applyAlignment="1">
      <alignment horizontal="left" wrapText="1"/>
    </xf>
    <xf numFmtId="0" fontId="5" fillId="0" borderId="0" xfId="1" applyAlignment="1">
      <alignment horizontal="left"/>
    </xf>
    <xf numFmtId="0" fontId="9" fillId="0" borderId="0" xfId="1" applyFont="1"/>
    <xf numFmtId="0" fontId="5" fillId="0" borderId="0" xfId="1"/>
    <xf numFmtId="164" fontId="9" fillId="0" borderId="0" xfId="1" applyNumberFormat="1" applyFont="1" applyAlignment="1">
      <alignment wrapText="1"/>
    </xf>
    <xf numFmtId="165" fontId="9" fillId="0" borderId="0" xfId="1" applyNumberFormat="1" applyFont="1" applyAlignment="1">
      <alignment wrapText="1"/>
    </xf>
    <xf numFmtId="0" fontId="9" fillId="0" borderId="0" xfId="1" applyFont="1" applyAlignment="1">
      <alignment wrapText="1"/>
    </xf>
    <xf numFmtId="167" fontId="9" fillId="0" borderId="0" xfId="1" applyNumberFormat="1" applyFont="1" applyAlignment="1">
      <alignment wrapText="1"/>
    </xf>
    <xf numFmtId="1" fontId="9" fillId="0" borderId="0" xfId="1" applyNumberFormat="1" applyFont="1" applyAlignment="1">
      <alignment wrapText="1"/>
    </xf>
    <xf numFmtId="2" fontId="9" fillId="0" borderId="0" xfId="1" applyNumberFormat="1" applyFont="1" applyAlignment="1">
      <alignment wrapText="1"/>
    </xf>
    <xf numFmtId="0" fontId="5" fillId="0" borderId="0" xfId="1" applyAlignment="1">
      <alignment horizontal="left" wrapText="1"/>
    </xf>
    <xf numFmtId="0" fontId="5" fillId="0" borderId="0" xfId="1" applyAlignment="1">
      <alignment horizontal="center" wrapText="1"/>
    </xf>
    <xf numFmtId="0" fontId="5" fillId="0" borderId="0" xfId="1" applyAlignment="1">
      <alignment horizontal="center"/>
    </xf>
    <xf numFmtId="168" fontId="5" fillId="0" borderId="0" xfId="1" applyNumberFormat="1" applyAlignment="1">
      <alignment horizontal="center"/>
    </xf>
    <xf numFmtId="0" fontId="5" fillId="3" borderId="0" xfId="1" applyFill="1"/>
    <xf numFmtId="0" fontId="5" fillId="3" borderId="0" xfId="1" applyFill="1" applyAlignment="1">
      <alignment horizontal="center"/>
    </xf>
    <xf numFmtId="0" fontId="5" fillId="3" borderId="1" xfId="1" applyFill="1" applyBorder="1"/>
    <xf numFmtId="0" fontId="5" fillId="3" borderId="1" xfId="1" applyFill="1" applyBorder="1" applyAlignment="1">
      <alignment horizontal="center"/>
    </xf>
    <xf numFmtId="0" fontId="5" fillId="0" borderId="1" xfId="1" applyBorder="1"/>
    <xf numFmtId="0" fontId="5" fillId="0" borderId="1" xfId="1" applyBorder="1" applyAlignment="1">
      <alignment horizontal="center"/>
    </xf>
    <xf numFmtId="0" fontId="10" fillId="3" borderId="0" xfId="0" applyFont="1" applyFill="1"/>
    <xf numFmtId="0" fontId="0" fillId="0" borderId="0" xfId="0" applyAlignment="1">
      <alignment horizontal="left"/>
    </xf>
    <xf numFmtId="49" fontId="0" fillId="0" borderId="0" xfId="0" applyNumberFormat="1" applyAlignment="1">
      <alignment horizontal="left"/>
    </xf>
    <xf numFmtId="0" fontId="0" fillId="3" borderId="0" xfId="0" applyFill="1" applyAlignment="1">
      <alignment horizontal="center"/>
    </xf>
    <xf numFmtId="0" fontId="4" fillId="3" borderId="0" xfId="1" applyFont="1" applyFill="1" applyAlignment="1">
      <alignment horizontal="center"/>
    </xf>
    <xf numFmtId="0" fontId="4" fillId="3" borderId="1" xfId="1" applyFont="1" applyFill="1" applyBorder="1" applyAlignment="1">
      <alignment horizontal="center"/>
    </xf>
    <xf numFmtId="0" fontId="0" fillId="3" borderId="1" xfId="0" applyFill="1" applyBorder="1" applyAlignment="1">
      <alignment horizontal="center"/>
    </xf>
    <xf numFmtId="49" fontId="2" fillId="0" borderId="0" xfId="0" applyNumberFormat="1" applyFont="1" applyAlignment="1">
      <alignment horizontal="left"/>
    </xf>
    <xf numFmtId="0" fontId="5" fillId="4" borderId="0" xfId="1" applyFill="1"/>
    <xf numFmtId="0" fontId="5" fillId="4" borderId="0" xfId="1" applyFill="1" applyAlignment="1">
      <alignment horizontal="center"/>
    </xf>
    <xf numFmtId="170" fontId="5" fillId="0" borderId="0" xfId="1" applyNumberFormat="1"/>
    <xf numFmtId="0" fontId="0" fillId="0" borderId="0" xfId="0" applyAlignment="1">
      <alignment horizontal="left" wrapText="1"/>
    </xf>
    <xf numFmtId="168" fontId="4" fillId="0" borderId="0" xfId="0" applyNumberFormat="1" applyFont="1" applyAlignment="1">
      <alignment horizontal="left"/>
    </xf>
    <xf numFmtId="171" fontId="0" fillId="0" borderId="0" xfId="0" applyNumberFormat="1" applyAlignment="1">
      <alignment horizontal="left"/>
    </xf>
    <xf numFmtId="171" fontId="0" fillId="0" borderId="0" xfId="0" quotePrefix="1" applyNumberFormat="1" applyAlignment="1">
      <alignment horizontal="left"/>
    </xf>
    <xf numFmtId="49" fontId="1" fillId="0" borderId="0" xfId="2" applyNumberFormat="1" applyFont="1"/>
    <xf numFmtId="172" fontId="1" fillId="0" borderId="0" xfId="2" applyNumberFormat="1" applyFont="1"/>
    <xf numFmtId="2" fontId="0" fillId="0" borderId="0" xfId="0" applyNumberFormat="1" applyAlignment="1">
      <alignment horizontal="left"/>
    </xf>
    <xf numFmtId="168" fontId="0" fillId="0" borderId="0" xfId="0" applyNumberFormat="1" applyAlignment="1">
      <alignment horizontal="left"/>
    </xf>
    <xf numFmtId="2" fontId="1" fillId="0" borderId="0" xfId="2" applyNumberFormat="1" applyFont="1"/>
    <xf numFmtId="168" fontId="1" fillId="0" borderId="0" xfId="2" applyNumberFormat="1" applyFont="1"/>
    <xf numFmtId="0" fontId="14" fillId="0" borderId="5" xfId="3" applyFont="1" applyBorder="1" applyAlignment="1">
      <alignment horizontal="left"/>
    </xf>
    <xf numFmtId="168" fontId="14" fillId="0" borderId="5" xfId="3" applyNumberFormat="1" applyFont="1" applyBorder="1" applyAlignment="1">
      <alignment horizontal="left"/>
    </xf>
    <xf numFmtId="0" fontId="1" fillId="0" borderId="0" xfId="2" applyFont="1"/>
    <xf numFmtId="0" fontId="4" fillId="0" borderId="0" xfId="1" applyFont="1" applyAlignment="1">
      <alignment horizontal="center"/>
    </xf>
    <xf numFmtId="1" fontId="1" fillId="0" borderId="0" xfId="2" applyNumberFormat="1" applyFont="1" applyAlignment="1">
      <alignment horizontal="left"/>
    </xf>
    <xf numFmtId="0" fontId="2" fillId="0" borderId="0" xfId="0" applyFont="1" applyAlignment="1">
      <alignment horizontal="left"/>
    </xf>
    <xf numFmtId="2" fontId="1" fillId="0" borderId="0" xfId="2" applyNumberFormat="1" applyFont="1" applyAlignment="1">
      <alignment horizontal="left"/>
    </xf>
    <xf numFmtId="168" fontId="1" fillId="0" borderId="0" xfId="2" applyNumberFormat="1" applyFont="1" applyAlignment="1">
      <alignment horizontal="left"/>
    </xf>
    <xf numFmtId="172" fontId="1" fillId="0" borderId="0" xfId="2" applyNumberFormat="1" applyFont="1" applyAlignment="1">
      <alignment horizontal="left"/>
    </xf>
    <xf numFmtId="1" fontId="0" fillId="0" borderId="0" xfId="0" applyNumberFormat="1" applyAlignment="1">
      <alignment horizontal="left"/>
    </xf>
    <xf numFmtId="0" fontId="1" fillId="0" borderId="0" xfId="2" applyFont="1" applyAlignment="1">
      <alignment horizontal="left"/>
    </xf>
    <xf numFmtId="171" fontId="1" fillId="0" borderId="0" xfId="2" applyNumberFormat="1" applyFont="1" applyAlignment="1">
      <alignment horizontal="left"/>
    </xf>
    <xf numFmtId="171" fontId="14" fillId="0" borderId="5" xfId="3" applyNumberFormat="1" applyFont="1" applyBorder="1" applyAlignment="1">
      <alignment horizontal="left"/>
    </xf>
    <xf numFmtId="2" fontId="4" fillId="0" borderId="0" xfId="0" applyNumberFormat="1" applyFont="1" applyAlignment="1">
      <alignment horizontal="left"/>
    </xf>
    <xf numFmtId="0" fontId="9" fillId="0" borderId="0" xfId="1" applyFont="1" applyAlignment="1">
      <alignment horizontal="center"/>
    </xf>
    <xf numFmtId="0" fontId="13" fillId="0" borderId="0" xfId="1" applyFont="1"/>
    <xf numFmtId="0" fontId="15" fillId="0" borderId="0" xfId="1" applyFont="1"/>
    <xf numFmtId="0" fontId="5" fillId="0" borderId="0" xfId="1" applyAlignment="1">
      <alignment horizontal="left" indent="1"/>
    </xf>
    <xf numFmtId="0" fontId="13" fillId="0" borderId="0" xfId="1" applyFont="1" applyAlignment="1">
      <alignment horizontal="left" indent="1"/>
    </xf>
    <xf numFmtId="14" fontId="5" fillId="0" borderId="0" xfId="1" applyNumberFormat="1"/>
    <xf numFmtId="14" fontId="5" fillId="0" borderId="0" xfId="1" applyNumberFormat="1" applyAlignment="1">
      <alignment horizontal="center"/>
    </xf>
    <xf numFmtId="0" fontId="5" fillId="0" borderId="6" xfId="1" applyBorder="1" applyAlignment="1">
      <alignment horizontal="right"/>
    </xf>
    <xf numFmtId="0" fontId="5" fillId="0" borderId="7" xfId="1" applyBorder="1" applyAlignment="1">
      <alignment horizontal="right"/>
    </xf>
    <xf numFmtId="0" fontId="5" fillId="0" borderId="6" xfId="1" applyBorder="1" applyAlignment="1">
      <alignment horizontal="center"/>
    </xf>
    <xf numFmtId="0" fontId="3" fillId="0" borderId="0" xfId="0" applyFont="1"/>
    <xf numFmtId="0" fontId="3" fillId="0" borderId="1" xfId="0" applyFont="1" applyBorder="1" applyAlignment="1">
      <alignment horizontal="center"/>
    </xf>
    <xf numFmtId="164" fontId="0" fillId="0" borderId="0" xfId="0" applyNumberFormat="1" applyFill="1" applyAlignment="1">
      <alignment horizontal="center"/>
    </xf>
    <xf numFmtId="19" fontId="0" fillId="0" borderId="0" xfId="0" applyNumberFormat="1" applyFill="1" applyAlignment="1">
      <alignment horizontal="center"/>
    </xf>
    <xf numFmtId="0" fontId="0" fillId="0" borderId="0" xfId="0" applyFill="1" applyAlignment="1">
      <alignment horizontal="center"/>
    </xf>
    <xf numFmtId="14" fontId="0" fillId="0" borderId="0" xfId="0" applyNumberFormat="1" applyFill="1" applyAlignment="1">
      <alignment horizontal="center"/>
    </xf>
    <xf numFmtId="168" fontId="0" fillId="0" borderId="0" xfId="0" applyNumberFormat="1" applyFill="1" applyAlignment="1">
      <alignment horizontal="center"/>
    </xf>
    <xf numFmtId="0" fontId="0" fillId="0" borderId="0" xfId="0" applyFill="1"/>
    <xf numFmtId="14" fontId="0" fillId="0" borderId="0" xfId="0" applyNumberFormat="1" applyFill="1"/>
    <xf numFmtId="169" fontId="0" fillId="0" borderId="0" xfId="0" applyNumberFormat="1" applyFill="1"/>
    <xf numFmtId="164" fontId="0" fillId="2" borderId="0" xfId="0" applyNumberFormat="1" applyFill="1" applyAlignment="1">
      <alignment horizontal="center"/>
    </xf>
    <xf numFmtId="19" fontId="0" fillId="2" borderId="0" xfId="0" applyNumberFormat="1" applyFill="1" applyAlignment="1">
      <alignment horizontal="center"/>
    </xf>
    <xf numFmtId="14" fontId="0" fillId="2" borderId="0" xfId="0" applyNumberFormat="1" applyFill="1" applyAlignment="1">
      <alignment horizontal="center"/>
    </xf>
    <xf numFmtId="14" fontId="0" fillId="2" borderId="0" xfId="0" applyNumberFormat="1" applyFill="1"/>
    <xf numFmtId="169" fontId="0" fillId="2" borderId="0" xfId="0" applyNumberFormat="1" applyFill="1"/>
    <xf numFmtId="0" fontId="0" fillId="2" borderId="0" xfId="0" applyFill="1"/>
    <xf numFmtId="0" fontId="9" fillId="0" borderId="0" xfId="1" applyFont="1" applyAlignment="1">
      <alignment horizontal="left" wrapText="1"/>
    </xf>
    <xf numFmtId="0" fontId="15" fillId="0" borderId="0" xfId="1" applyFont="1" applyAlignment="1">
      <alignment horizontal="left"/>
    </xf>
  </cellXfs>
  <cellStyles count="4">
    <cellStyle name="Normal" xfId="0" builtinId="0"/>
    <cellStyle name="Normal 2" xfId="1" xr:uid="{889D6F8D-14F1-4BCF-9A68-002032A6BA4A}"/>
    <cellStyle name="Normal 3" xfId="2" xr:uid="{3EEA88C8-9A53-4C99-A41A-C9AB6D0E3B55}"/>
    <cellStyle name="Normal_EFWS_SPsck02082012" xfId="3" xr:uid="{B17CE326-2E73-4DFC-88BA-E7D84D321A86}"/>
  </cellStyles>
  <dxfs count="13">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84893132319812"/>
          <c:y val="0.17077103958823348"/>
          <c:w val="0.80147026710228053"/>
          <c:h val="0.65880101925042378"/>
        </c:manualLayout>
      </c:layout>
      <c:scatterChart>
        <c:scatterStyle val="lineMarker"/>
        <c:varyColors val="0"/>
        <c:ser>
          <c:idx val="0"/>
          <c:order val="0"/>
          <c:tx>
            <c:strRef>
              <c:f>TPCalibEq150!$U$2</c:f>
              <c:strCache>
                <c:ptCount val="1"/>
                <c:pt idx="0">
                  <c:v>1/22/2025</c:v>
                </c:pt>
              </c:strCache>
            </c:strRef>
          </c:tx>
          <c:spPr>
            <a:ln w="19050">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0"/>
          </c:trendline>
          <c:trendline>
            <c:spPr>
              <a:ln>
                <a:solidFill>
                  <a:schemeClr val="accent1"/>
                </a:solidFill>
                <a:prstDash val="sysDash"/>
              </a:ln>
            </c:spPr>
            <c:trendlineType val="linear"/>
            <c:dispRSqr val="1"/>
            <c:dispEq val="1"/>
            <c:trendlineLbl>
              <c:layout>
                <c:manualLayout>
                  <c:x val="-0.27697125708936732"/>
                  <c:y val="6.4523184601924757E-2"/>
                </c:manualLayout>
              </c:layout>
              <c:numFmt formatCode="General" sourceLinked="0"/>
              <c:txPr>
                <a:bodyPr/>
                <a:lstStyle/>
                <a:p>
                  <a:pPr>
                    <a:defRPr>
                      <a:solidFill>
                        <a:schemeClr val="tx1">
                          <a:lumMod val="65000"/>
                          <a:lumOff val="35000"/>
                        </a:schemeClr>
                      </a:solidFill>
                    </a:defRPr>
                  </a:pPr>
                  <a:endParaRPr lang="en-US"/>
                </a:p>
              </c:txPr>
            </c:trendlineLbl>
          </c:trendline>
          <c:trendline>
            <c:spPr>
              <a:ln>
                <a:solidFill>
                  <a:schemeClr val="accent1"/>
                </a:solidFill>
                <a:prstDash val="sysDash"/>
              </a:ln>
            </c:spPr>
            <c:trendlineType val="poly"/>
            <c:order val="2"/>
            <c:dispRSqr val="1"/>
            <c:dispEq val="1"/>
            <c:trendlineLbl>
              <c:layout>
                <c:manualLayout>
                  <c:x val="0.14373474243495185"/>
                  <c:y val="0.34152251598570588"/>
                </c:manualLayout>
              </c:layout>
              <c:numFmt formatCode="General" sourceLinked="0"/>
              <c:txPr>
                <a:bodyPr/>
                <a:lstStyle/>
                <a:p>
                  <a:pPr>
                    <a:defRPr>
                      <a:solidFill>
                        <a:schemeClr val="tx1">
                          <a:lumMod val="65000"/>
                          <a:lumOff val="35000"/>
                        </a:schemeClr>
                      </a:solidFill>
                    </a:defRPr>
                  </a:pPr>
                  <a:endParaRPr lang="en-US"/>
                </a:p>
              </c:txPr>
            </c:trendlineLbl>
          </c:trendline>
          <c:trendline>
            <c:spPr>
              <a:ln>
                <a:solidFill>
                  <a:schemeClr val="accent1"/>
                </a:solidFill>
                <a:prstDash val="sysDash"/>
              </a:ln>
            </c:spPr>
            <c:trendlineType val="linear"/>
            <c:dispRSqr val="0"/>
            <c:dispEq val="0"/>
          </c:trendline>
          <c:xVal>
            <c:numRef>
              <c:f>TPCalibEq150!$O$2:$O$7</c:f>
              <c:numCache>
                <c:formatCode>General</c:formatCode>
                <c:ptCount val="6"/>
                <c:pt idx="0">
                  <c:v>2.92E-2</c:v>
                </c:pt>
                <c:pt idx="1">
                  <c:v>4.6399999999999997E-2</c:v>
                </c:pt>
                <c:pt idx="2">
                  <c:v>6.4000000000000001E-2</c:v>
                </c:pt>
                <c:pt idx="3">
                  <c:v>7.85E-2</c:v>
                </c:pt>
                <c:pt idx="4">
                  <c:v>0.28899999999999998</c:v>
                </c:pt>
                <c:pt idx="5">
                  <c:v>0.627</c:v>
                </c:pt>
              </c:numCache>
            </c:numRef>
          </c:xVal>
          <c:yVal>
            <c:numRef>
              <c:f>TPCalibEq150!$S$2:$S$7</c:f>
              <c:numCache>
                <c:formatCode>0.0</c:formatCode>
                <c:ptCount val="6"/>
                <c:pt idx="0">
                  <c:v>0</c:v>
                </c:pt>
                <c:pt idx="1">
                  <c:v>5</c:v>
                </c:pt>
                <c:pt idx="2">
                  <c:v>15</c:v>
                </c:pt>
                <c:pt idx="3">
                  <c:v>20</c:v>
                </c:pt>
                <c:pt idx="4">
                  <c:v>75</c:v>
                </c:pt>
                <c:pt idx="5">
                  <c:v>150</c:v>
                </c:pt>
              </c:numCache>
            </c:numRef>
          </c:yVal>
          <c:smooth val="0"/>
          <c:extLst>
            <c:ext xmlns:c16="http://schemas.microsoft.com/office/drawing/2014/chart" uri="{C3380CC4-5D6E-409C-BE32-E72D297353CC}">
              <c16:uniqueId val="{00000004-1293-4142-B8FF-F3BD2E8C0421}"/>
            </c:ext>
          </c:extLst>
        </c:ser>
        <c:dLbls>
          <c:showLegendKey val="0"/>
          <c:showVal val="0"/>
          <c:showCatName val="0"/>
          <c:showSerName val="0"/>
          <c:showPercent val="0"/>
          <c:showBubbleSize val="0"/>
        </c:dLbls>
        <c:axId val="310343936"/>
        <c:axId val="310358016"/>
      </c:scatterChart>
      <c:valAx>
        <c:axId val="31034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8016"/>
        <c:crosses val="autoZero"/>
        <c:crossBetween val="midCat"/>
      </c:valAx>
      <c:valAx>
        <c:axId val="3103580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4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84893132319812"/>
          <c:y val="0.17077103958823348"/>
          <c:w val="0.80147026710228053"/>
          <c:h val="0.65880101925042378"/>
        </c:manualLayout>
      </c:layout>
      <c:scatterChart>
        <c:scatterStyle val="lineMarker"/>
        <c:varyColors val="0"/>
        <c:ser>
          <c:idx val="0"/>
          <c:order val="0"/>
          <c:tx>
            <c:strRef>
              <c:f>TPCalibEq150!$U$8</c:f>
              <c:strCache>
                <c:ptCount val="1"/>
                <c:pt idx="0">
                  <c:v>1/24/2025</c:v>
                </c:pt>
              </c:strCache>
            </c:strRef>
          </c:tx>
          <c:spPr>
            <a:ln w="19050">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0"/>
          </c:trendline>
          <c:trendline>
            <c:spPr>
              <a:ln>
                <a:solidFill>
                  <a:schemeClr val="accent1"/>
                </a:solidFill>
                <a:prstDash val="sysDash"/>
              </a:ln>
            </c:spPr>
            <c:trendlineType val="linear"/>
            <c:dispRSqr val="1"/>
            <c:dispEq val="1"/>
            <c:trendlineLbl>
              <c:layout>
                <c:manualLayout>
                  <c:x val="-0.27697125708936732"/>
                  <c:y val="6.4523184601924757E-2"/>
                </c:manualLayout>
              </c:layout>
              <c:numFmt formatCode="General" sourceLinked="0"/>
              <c:txPr>
                <a:bodyPr/>
                <a:lstStyle/>
                <a:p>
                  <a:pPr>
                    <a:defRPr>
                      <a:solidFill>
                        <a:schemeClr val="tx1">
                          <a:lumMod val="65000"/>
                          <a:lumOff val="35000"/>
                        </a:schemeClr>
                      </a:solidFill>
                    </a:defRPr>
                  </a:pPr>
                  <a:endParaRPr lang="en-US"/>
                </a:p>
              </c:txPr>
            </c:trendlineLbl>
          </c:trendline>
          <c:trendline>
            <c:spPr>
              <a:ln>
                <a:solidFill>
                  <a:schemeClr val="accent1"/>
                </a:solidFill>
                <a:prstDash val="sysDash"/>
              </a:ln>
            </c:spPr>
            <c:trendlineType val="poly"/>
            <c:order val="2"/>
            <c:dispRSqr val="1"/>
            <c:dispEq val="1"/>
            <c:trendlineLbl>
              <c:layout>
                <c:manualLayout>
                  <c:x val="0.14373474243495185"/>
                  <c:y val="0.34152251598570588"/>
                </c:manualLayout>
              </c:layout>
              <c:numFmt formatCode="General" sourceLinked="0"/>
              <c:txPr>
                <a:bodyPr/>
                <a:lstStyle/>
                <a:p>
                  <a:pPr>
                    <a:defRPr>
                      <a:solidFill>
                        <a:schemeClr val="tx1">
                          <a:lumMod val="65000"/>
                          <a:lumOff val="35000"/>
                        </a:schemeClr>
                      </a:solidFill>
                    </a:defRPr>
                  </a:pPr>
                  <a:endParaRPr lang="en-US"/>
                </a:p>
              </c:txPr>
            </c:trendlineLbl>
          </c:trendline>
          <c:trendline>
            <c:spPr>
              <a:ln>
                <a:solidFill>
                  <a:schemeClr val="accent1"/>
                </a:solidFill>
                <a:prstDash val="sysDash"/>
              </a:ln>
            </c:spPr>
            <c:trendlineType val="linear"/>
            <c:dispRSqr val="0"/>
            <c:dispEq val="0"/>
          </c:trendline>
          <c:xVal>
            <c:numRef>
              <c:f>TPCalibEq150!$O$8:$O$13</c:f>
              <c:numCache>
                <c:formatCode>General</c:formatCode>
                <c:ptCount val="6"/>
                <c:pt idx="0">
                  <c:v>2.4E-2</c:v>
                </c:pt>
                <c:pt idx="1">
                  <c:v>4.4999999999999998E-2</c:v>
                </c:pt>
                <c:pt idx="2">
                  <c:v>8.3299999999999999E-2</c:v>
                </c:pt>
                <c:pt idx="3">
                  <c:v>7.9899999999999999E-2</c:v>
                </c:pt>
                <c:pt idx="4">
                  <c:v>0.30199999999999999</c:v>
                </c:pt>
                <c:pt idx="5">
                  <c:v>0.64800000000000002</c:v>
                </c:pt>
              </c:numCache>
            </c:numRef>
          </c:xVal>
          <c:yVal>
            <c:numRef>
              <c:f>TPCalibEq150!$S$8:$S$13</c:f>
              <c:numCache>
                <c:formatCode>0.0</c:formatCode>
                <c:ptCount val="6"/>
                <c:pt idx="0">
                  <c:v>0</c:v>
                </c:pt>
                <c:pt idx="1">
                  <c:v>5</c:v>
                </c:pt>
                <c:pt idx="2">
                  <c:v>15</c:v>
                </c:pt>
                <c:pt idx="3">
                  <c:v>20</c:v>
                </c:pt>
                <c:pt idx="4">
                  <c:v>75</c:v>
                </c:pt>
                <c:pt idx="5">
                  <c:v>150</c:v>
                </c:pt>
              </c:numCache>
            </c:numRef>
          </c:yVal>
          <c:smooth val="0"/>
          <c:extLst>
            <c:ext xmlns:c16="http://schemas.microsoft.com/office/drawing/2014/chart" uri="{C3380CC4-5D6E-409C-BE32-E72D297353CC}">
              <c16:uniqueId val="{00000004-6A04-436C-B6ED-7062E73AE36B}"/>
            </c:ext>
          </c:extLst>
        </c:ser>
        <c:dLbls>
          <c:showLegendKey val="0"/>
          <c:showVal val="0"/>
          <c:showCatName val="0"/>
          <c:showSerName val="0"/>
          <c:showPercent val="0"/>
          <c:showBubbleSize val="0"/>
        </c:dLbls>
        <c:axId val="310343936"/>
        <c:axId val="310358016"/>
      </c:scatterChart>
      <c:valAx>
        <c:axId val="31034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8016"/>
        <c:crosses val="autoZero"/>
        <c:crossBetween val="midCat"/>
      </c:valAx>
      <c:valAx>
        <c:axId val="3103580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4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84893132319812"/>
          <c:y val="0.17077103958823348"/>
          <c:w val="0.80147026710228053"/>
          <c:h val="0.65880101925042378"/>
        </c:manualLayout>
      </c:layout>
      <c:scatterChart>
        <c:scatterStyle val="lineMarker"/>
        <c:varyColors val="0"/>
        <c:ser>
          <c:idx val="0"/>
          <c:order val="0"/>
          <c:tx>
            <c:strRef>
              <c:f>TPCalibEq150!$U$14</c:f>
              <c:strCache>
                <c:ptCount val="1"/>
                <c:pt idx="0">
                  <c:v>1/29/2025</c:v>
                </c:pt>
              </c:strCache>
            </c:strRef>
          </c:tx>
          <c:spPr>
            <a:ln w="19050">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0"/>
          </c:trendline>
          <c:trendline>
            <c:spPr>
              <a:ln>
                <a:solidFill>
                  <a:schemeClr val="accent1"/>
                </a:solidFill>
                <a:prstDash val="sysDash"/>
              </a:ln>
            </c:spPr>
            <c:trendlineType val="linear"/>
            <c:dispRSqr val="1"/>
            <c:dispEq val="1"/>
            <c:trendlineLbl>
              <c:layout>
                <c:manualLayout>
                  <c:x val="-0.27697125708936732"/>
                  <c:y val="6.4523184601924757E-2"/>
                </c:manualLayout>
              </c:layout>
              <c:numFmt formatCode="General" sourceLinked="0"/>
              <c:txPr>
                <a:bodyPr/>
                <a:lstStyle/>
                <a:p>
                  <a:pPr>
                    <a:defRPr>
                      <a:solidFill>
                        <a:schemeClr val="tx1">
                          <a:lumMod val="65000"/>
                          <a:lumOff val="35000"/>
                        </a:schemeClr>
                      </a:solidFill>
                    </a:defRPr>
                  </a:pPr>
                  <a:endParaRPr lang="en-US"/>
                </a:p>
              </c:txPr>
            </c:trendlineLbl>
          </c:trendline>
          <c:trendline>
            <c:spPr>
              <a:ln>
                <a:solidFill>
                  <a:schemeClr val="accent1"/>
                </a:solidFill>
                <a:prstDash val="sysDash"/>
              </a:ln>
            </c:spPr>
            <c:trendlineType val="poly"/>
            <c:order val="2"/>
            <c:dispRSqr val="1"/>
            <c:dispEq val="1"/>
            <c:trendlineLbl>
              <c:layout>
                <c:manualLayout>
                  <c:x val="0.14373474243495185"/>
                  <c:y val="0.34152251598570588"/>
                </c:manualLayout>
              </c:layout>
              <c:numFmt formatCode="General" sourceLinked="0"/>
              <c:txPr>
                <a:bodyPr/>
                <a:lstStyle/>
                <a:p>
                  <a:pPr>
                    <a:defRPr>
                      <a:solidFill>
                        <a:schemeClr val="tx1">
                          <a:lumMod val="65000"/>
                          <a:lumOff val="35000"/>
                        </a:schemeClr>
                      </a:solidFill>
                    </a:defRPr>
                  </a:pPr>
                  <a:endParaRPr lang="en-US"/>
                </a:p>
              </c:txPr>
            </c:trendlineLbl>
          </c:trendline>
          <c:trendline>
            <c:spPr>
              <a:ln>
                <a:solidFill>
                  <a:schemeClr val="accent1"/>
                </a:solidFill>
                <a:prstDash val="sysDash"/>
              </a:ln>
            </c:spPr>
            <c:trendlineType val="linear"/>
            <c:dispRSqr val="0"/>
            <c:dispEq val="0"/>
          </c:trendline>
          <c:xVal>
            <c:numRef>
              <c:f>TPCalibEq150!$O$14:$O$19</c:f>
              <c:numCache>
                <c:formatCode>General</c:formatCode>
                <c:ptCount val="6"/>
                <c:pt idx="0">
                  <c:v>2.23E-2</c:v>
                </c:pt>
                <c:pt idx="1">
                  <c:v>3.7900000000000003E-2</c:v>
                </c:pt>
                <c:pt idx="2">
                  <c:v>5.62E-2</c:v>
                </c:pt>
                <c:pt idx="3">
                  <c:v>6.4100000000000004E-2</c:v>
                </c:pt>
                <c:pt idx="4">
                  <c:v>0.23100000000000001</c:v>
                </c:pt>
                <c:pt idx="5">
                  <c:v>0.52100000000000002</c:v>
                </c:pt>
              </c:numCache>
            </c:numRef>
          </c:xVal>
          <c:yVal>
            <c:numRef>
              <c:f>TPCalibEq150!$S$14:$S$19</c:f>
              <c:numCache>
                <c:formatCode>0.0</c:formatCode>
                <c:ptCount val="6"/>
                <c:pt idx="0">
                  <c:v>0</c:v>
                </c:pt>
                <c:pt idx="1">
                  <c:v>5</c:v>
                </c:pt>
                <c:pt idx="2">
                  <c:v>15</c:v>
                </c:pt>
                <c:pt idx="3">
                  <c:v>20</c:v>
                </c:pt>
                <c:pt idx="4">
                  <c:v>75</c:v>
                </c:pt>
                <c:pt idx="5">
                  <c:v>150</c:v>
                </c:pt>
              </c:numCache>
            </c:numRef>
          </c:yVal>
          <c:smooth val="0"/>
          <c:extLst>
            <c:ext xmlns:c16="http://schemas.microsoft.com/office/drawing/2014/chart" uri="{C3380CC4-5D6E-409C-BE32-E72D297353CC}">
              <c16:uniqueId val="{00000004-5763-4595-96E8-719F0D45C84C}"/>
            </c:ext>
          </c:extLst>
        </c:ser>
        <c:dLbls>
          <c:showLegendKey val="0"/>
          <c:showVal val="0"/>
          <c:showCatName val="0"/>
          <c:showSerName val="0"/>
          <c:showPercent val="0"/>
          <c:showBubbleSize val="0"/>
        </c:dLbls>
        <c:axId val="310343936"/>
        <c:axId val="310358016"/>
      </c:scatterChart>
      <c:valAx>
        <c:axId val="31034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8016"/>
        <c:crosses val="autoZero"/>
        <c:crossBetween val="midCat"/>
      </c:valAx>
      <c:valAx>
        <c:axId val="3103580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4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84893132319812"/>
          <c:y val="0.17077103958823348"/>
          <c:w val="0.80147026710228053"/>
          <c:h val="0.65880101925042378"/>
        </c:manualLayout>
      </c:layout>
      <c:scatterChart>
        <c:scatterStyle val="lineMarker"/>
        <c:varyColors val="0"/>
        <c:ser>
          <c:idx val="0"/>
          <c:order val="0"/>
          <c:tx>
            <c:strRef>
              <c:f>TPCalibEq150!$U$20</c:f>
              <c:strCache>
                <c:ptCount val="1"/>
                <c:pt idx="0">
                  <c:v>2/4/2025</c:v>
                </c:pt>
              </c:strCache>
            </c:strRef>
          </c:tx>
          <c:spPr>
            <a:ln w="19050">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0"/>
          </c:trendline>
          <c:trendline>
            <c:spPr>
              <a:ln>
                <a:solidFill>
                  <a:schemeClr val="accent1"/>
                </a:solidFill>
                <a:prstDash val="sysDash"/>
              </a:ln>
            </c:spPr>
            <c:trendlineType val="linear"/>
            <c:dispRSqr val="1"/>
            <c:dispEq val="1"/>
            <c:trendlineLbl>
              <c:layout>
                <c:manualLayout>
                  <c:x val="-0.27697125708936732"/>
                  <c:y val="6.4523184601924757E-2"/>
                </c:manualLayout>
              </c:layout>
              <c:numFmt formatCode="General" sourceLinked="0"/>
              <c:txPr>
                <a:bodyPr/>
                <a:lstStyle/>
                <a:p>
                  <a:pPr>
                    <a:defRPr>
                      <a:solidFill>
                        <a:schemeClr val="tx1">
                          <a:lumMod val="65000"/>
                          <a:lumOff val="35000"/>
                        </a:schemeClr>
                      </a:solidFill>
                    </a:defRPr>
                  </a:pPr>
                  <a:endParaRPr lang="en-US"/>
                </a:p>
              </c:txPr>
            </c:trendlineLbl>
          </c:trendline>
          <c:trendline>
            <c:spPr>
              <a:ln>
                <a:solidFill>
                  <a:schemeClr val="accent1"/>
                </a:solidFill>
                <a:prstDash val="sysDash"/>
              </a:ln>
            </c:spPr>
            <c:trendlineType val="poly"/>
            <c:order val="2"/>
            <c:dispRSqr val="1"/>
            <c:dispEq val="1"/>
            <c:trendlineLbl>
              <c:layout>
                <c:manualLayout>
                  <c:x val="0.14373474243495185"/>
                  <c:y val="0.34152251598570588"/>
                </c:manualLayout>
              </c:layout>
              <c:numFmt formatCode="General" sourceLinked="0"/>
              <c:txPr>
                <a:bodyPr/>
                <a:lstStyle/>
                <a:p>
                  <a:pPr>
                    <a:defRPr>
                      <a:solidFill>
                        <a:schemeClr val="tx1">
                          <a:lumMod val="65000"/>
                          <a:lumOff val="35000"/>
                        </a:schemeClr>
                      </a:solidFill>
                    </a:defRPr>
                  </a:pPr>
                  <a:endParaRPr lang="en-US"/>
                </a:p>
              </c:txPr>
            </c:trendlineLbl>
          </c:trendline>
          <c:trendline>
            <c:spPr>
              <a:ln>
                <a:solidFill>
                  <a:schemeClr val="accent1"/>
                </a:solidFill>
                <a:prstDash val="sysDash"/>
              </a:ln>
            </c:spPr>
            <c:trendlineType val="linear"/>
            <c:dispRSqr val="0"/>
            <c:dispEq val="0"/>
          </c:trendline>
          <c:xVal>
            <c:numRef>
              <c:f>TPCalibEq150!$O$20:$O$25</c:f>
              <c:numCache>
                <c:formatCode>General</c:formatCode>
                <c:ptCount val="6"/>
                <c:pt idx="0">
                  <c:v>2.87E-2</c:v>
                </c:pt>
                <c:pt idx="1">
                  <c:v>4.6899999999999997E-2</c:v>
                </c:pt>
                <c:pt idx="2">
                  <c:v>6.9900000000000004E-2</c:v>
                </c:pt>
                <c:pt idx="3">
                  <c:v>8.5199999999999998E-2</c:v>
                </c:pt>
                <c:pt idx="4">
                  <c:v>0.29099999999999998</c:v>
                </c:pt>
                <c:pt idx="5">
                  <c:v>0.60799999999999998</c:v>
                </c:pt>
              </c:numCache>
            </c:numRef>
          </c:xVal>
          <c:yVal>
            <c:numRef>
              <c:f>TPCalibEq150!$S$20:$S$25</c:f>
              <c:numCache>
                <c:formatCode>0.0</c:formatCode>
                <c:ptCount val="6"/>
                <c:pt idx="0">
                  <c:v>0</c:v>
                </c:pt>
                <c:pt idx="1">
                  <c:v>5</c:v>
                </c:pt>
                <c:pt idx="2">
                  <c:v>15</c:v>
                </c:pt>
                <c:pt idx="3">
                  <c:v>20</c:v>
                </c:pt>
                <c:pt idx="4">
                  <c:v>75</c:v>
                </c:pt>
                <c:pt idx="5">
                  <c:v>150</c:v>
                </c:pt>
              </c:numCache>
            </c:numRef>
          </c:yVal>
          <c:smooth val="0"/>
          <c:extLst>
            <c:ext xmlns:c16="http://schemas.microsoft.com/office/drawing/2014/chart" uri="{C3380CC4-5D6E-409C-BE32-E72D297353CC}">
              <c16:uniqueId val="{00000004-C511-4BAD-8271-0855223156F9}"/>
            </c:ext>
          </c:extLst>
        </c:ser>
        <c:dLbls>
          <c:showLegendKey val="0"/>
          <c:showVal val="0"/>
          <c:showCatName val="0"/>
          <c:showSerName val="0"/>
          <c:showPercent val="0"/>
          <c:showBubbleSize val="0"/>
        </c:dLbls>
        <c:axId val="310343936"/>
        <c:axId val="310358016"/>
      </c:scatterChart>
      <c:valAx>
        <c:axId val="31034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8016"/>
        <c:crosses val="autoZero"/>
        <c:crossBetween val="midCat"/>
      </c:valAx>
      <c:valAx>
        <c:axId val="3103580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4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84893132319812"/>
          <c:y val="0.17077103958823348"/>
          <c:w val="0.80147026710228053"/>
          <c:h val="0.65880101925042378"/>
        </c:manualLayout>
      </c:layout>
      <c:scatterChart>
        <c:scatterStyle val="lineMarker"/>
        <c:varyColors val="0"/>
        <c:ser>
          <c:idx val="0"/>
          <c:order val="0"/>
          <c:tx>
            <c:strRef>
              <c:f>TPCalibEq150!$U$26</c:f>
              <c:strCache>
                <c:ptCount val="1"/>
                <c:pt idx="0">
                  <c:v>2/11/2025</c:v>
                </c:pt>
              </c:strCache>
            </c:strRef>
          </c:tx>
          <c:spPr>
            <a:ln w="19050">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0"/>
          </c:trendline>
          <c:trendline>
            <c:spPr>
              <a:ln>
                <a:solidFill>
                  <a:schemeClr val="accent1"/>
                </a:solidFill>
                <a:prstDash val="sysDash"/>
              </a:ln>
            </c:spPr>
            <c:trendlineType val="linear"/>
            <c:dispRSqr val="1"/>
            <c:dispEq val="1"/>
            <c:trendlineLbl>
              <c:layout>
                <c:manualLayout>
                  <c:x val="-0.27697125708936732"/>
                  <c:y val="6.4523184601924757E-2"/>
                </c:manualLayout>
              </c:layout>
              <c:numFmt formatCode="General" sourceLinked="0"/>
              <c:txPr>
                <a:bodyPr/>
                <a:lstStyle/>
                <a:p>
                  <a:pPr>
                    <a:defRPr>
                      <a:solidFill>
                        <a:schemeClr val="tx1">
                          <a:lumMod val="65000"/>
                          <a:lumOff val="35000"/>
                        </a:schemeClr>
                      </a:solidFill>
                    </a:defRPr>
                  </a:pPr>
                  <a:endParaRPr lang="en-US"/>
                </a:p>
              </c:txPr>
            </c:trendlineLbl>
          </c:trendline>
          <c:trendline>
            <c:spPr>
              <a:ln>
                <a:solidFill>
                  <a:schemeClr val="accent1"/>
                </a:solidFill>
                <a:prstDash val="sysDash"/>
              </a:ln>
            </c:spPr>
            <c:trendlineType val="poly"/>
            <c:order val="2"/>
            <c:dispRSqr val="1"/>
            <c:dispEq val="1"/>
            <c:trendlineLbl>
              <c:layout>
                <c:manualLayout>
                  <c:x val="0.14373474243495185"/>
                  <c:y val="0.34152251598570588"/>
                </c:manualLayout>
              </c:layout>
              <c:numFmt formatCode="General" sourceLinked="0"/>
              <c:txPr>
                <a:bodyPr/>
                <a:lstStyle/>
                <a:p>
                  <a:pPr>
                    <a:defRPr>
                      <a:solidFill>
                        <a:schemeClr val="tx1">
                          <a:lumMod val="65000"/>
                          <a:lumOff val="35000"/>
                        </a:schemeClr>
                      </a:solidFill>
                    </a:defRPr>
                  </a:pPr>
                  <a:endParaRPr lang="en-US"/>
                </a:p>
              </c:txPr>
            </c:trendlineLbl>
          </c:trendline>
          <c:trendline>
            <c:spPr>
              <a:ln>
                <a:solidFill>
                  <a:schemeClr val="accent1"/>
                </a:solidFill>
                <a:prstDash val="sysDash"/>
              </a:ln>
            </c:spPr>
            <c:trendlineType val="linear"/>
            <c:dispRSqr val="0"/>
            <c:dispEq val="0"/>
          </c:trendline>
          <c:xVal>
            <c:numRef>
              <c:f>TPCalibEq150!$O$26:$O$31</c:f>
              <c:numCache>
                <c:formatCode>General</c:formatCode>
                <c:ptCount val="6"/>
                <c:pt idx="0">
                  <c:v>4.9599999999999998E-2</c:v>
                </c:pt>
                <c:pt idx="1">
                  <c:v>7.0099999999999996E-2</c:v>
                </c:pt>
                <c:pt idx="2">
                  <c:v>7.4999999999999997E-2</c:v>
                </c:pt>
                <c:pt idx="3">
                  <c:v>8.48E-2</c:v>
                </c:pt>
                <c:pt idx="4">
                  <c:v>0.29099999999999998</c:v>
                </c:pt>
                <c:pt idx="5">
                  <c:v>0.57899999999999996</c:v>
                </c:pt>
              </c:numCache>
            </c:numRef>
          </c:xVal>
          <c:yVal>
            <c:numRef>
              <c:f>TPCalibEq150!$S$26:$S$31</c:f>
              <c:numCache>
                <c:formatCode>0.0</c:formatCode>
                <c:ptCount val="6"/>
                <c:pt idx="0">
                  <c:v>0</c:v>
                </c:pt>
                <c:pt idx="1">
                  <c:v>5</c:v>
                </c:pt>
                <c:pt idx="2">
                  <c:v>15</c:v>
                </c:pt>
                <c:pt idx="3">
                  <c:v>20</c:v>
                </c:pt>
                <c:pt idx="4">
                  <c:v>75</c:v>
                </c:pt>
                <c:pt idx="5">
                  <c:v>150</c:v>
                </c:pt>
              </c:numCache>
            </c:numRef>
          </c:yVal>
          <c:smooth val="0"/>
          <c:extLst>
            <c:ext xmlns:c16="http://schemas.microsoft.com/office/drawing/2014/chart" uri="{C3380CC4-5D6E-409C-BE32-E72D297353CC}">
              <c16:uniqueId val="{00000004-3140-4F9E-825D-2DDFC28569DF}"/>
            </c:ext>
          </c:extLst>
        </c:ser>
        <c:dLbls>
          <c:showLegendKey val="0"/>
          <c:showVal val="0"/>
          <c:showCatName val="0"/>
          <c:showSerName val="0"/>
          <c:showPercent val="0"/>
          <c:showBubbleSize val="0"/>
        </c:dLbls>
        <c:axId val="310343936"/>
        <c:axId val="310358016"/>
      </c:scatterChart>
      <c:valAx>
        <c:axId val="31034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8016"/>
        <c:crosses val="autoZero"/>
        <c:crossBetween val="midCat"/>
      </c:valAx>
      <c:valAx>
        <c:axId val="3103580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4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84893132319812"/>
          <c:y val="0.17077103958823348"/>
          <c:w val="0.80147026710228053"/>
          <c:h val="0.65880101925042378"/>
        </c:manualLayout>
      </c:layout>
      <c:scatterChart>
        <c:scatterStyle val="lineMarker"/>
        <c:varyColors val="0"/>
        <c:ser>
          <c:idx val="0"/>
          <c:order val="0"/>
          <c:tx>
            <c:strRef>
              <c:f>TPCalibEq150!$U$32</c:f>
              <c:strCache>
                <c:ptCount val="1"/>
                <c:pt idx="0">
                  <c:v>2/20/2025</c:v>
                </c:pt>
              </c:strCache>
            </c:strRef>
          </c:tx>
          <c:spPr>
            <a:ln w="19050">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0"/>
          </c:trendline>
          <c:trendline>
            <c:spPr>
              <a:ln>
                <a:solidFill>
                  <a:schemeClr val="accent1"/>
                </a:solidFill>
                <a:prstDash val="sysDash"/>
              </a:ln>
            </c:spPr>
            <c:trendlineType val="linear"/>
            <c:dispRSqr val="1"/>
            <c:dispEq val="1"/>
            <c:trendlineLbl>
              <c:layout>
                <c:manualLayout>
                  <c:x val="-0.27697125708936732"/>
                  <c:y val="6.4523184601924757E-2"/>
                </c:manualLayout>
              </c:layout>
              <c:numFmt formatCode="General" sourceLinked="0"/>
              <c:txPr>
                <a:bodyPr/>
                <a:lstStyle/>
                <a:p>
                  <a:pPr>
                    <a:defRPr>
                      <a:solidFill>
                        <a:schemeClr val="tx1">
                          <a:lumMod val="65000"/>
                          <a:lumOff val="35000"/>
                        </a:schemeClr>
                      </a:solidFill>
                    </a:defRPr>
                  </a:pPr>
                  <a:endParaRPr lang="en-US"/>
                </a:p>
              </c:txPr>
            </c:trendlineLbl>
          </c:trendline>
          <c:trendline>
            <c:spPr>
              <a:ln>
                <a:solidFill>
                  <a:schemeClr val="accent1"/>
                </a:solidFill>
                <a:prstDash val="sysDash"/>
              </a:ln>
            </c:spPr>
            <c:trendlineType val="poly"/>
            <c:order val="2"/>
            <c:dispRSqr val="1"/>
            <c:dispEq val="1"/>
            <c:trendlineLbl>
              <c:layout>
                <c:manualLayout>
                  <c:x val="0.14373474243495185"/>
                  <c:y val="0.34152251598570588"/>
                </c:manualLayout>
              </c:layout>
              <c:numFmt formatCode="General" sourceLinked="0"/>
              <c:txPr>
                <a:bodyPr/>
                <a:lstStyle/>
                <a:p>
                  <a:pPr>
                    <a:defRPr>
                      <a:solidFill>
                        <a:schemeClr val="tx1">
                          <a:lumMod val="65000"/>
                          <a:lumOff val="35000"/>
                        </a:schemeClr>
                      </a:solidFill>
                    </a:defRPr>
                  </a:pPr>
                  <a:endParaRPr lang="en-US"/>
                </a:p>
              </c:txPr>
            </c:trendlineLbl>
          </c:trendline>
          <c:trendline>
            <c:spPr>
              <a:ln>
                <a:solidFill>
                  <a:schemeClr val="accent1"/>
                </a:solidFill>
                <a:prstDash val="sysDash"/>
              </a:ln>
            </c:spPr>
            <c:trendlineType val="linear"/>
            <c:dispRSqr val="0"/>
            <c:dispEq val="0"/>
          </c:trendline>
          <c:xVal>
            <c:numRef>
              <c:f>TPCalibEq150!$O$32:$O$37</c:f>
              <c:numCache>
                <c:formatCode>General</c:formatCode>
                <c:ptCount val="6"/>
                <c:pt idx="0">
                  <c:v>3.0599999999999999E-2</c:v>
                </c:pt>
                <c:pt idx="1">
                  <c:v>3.2899999999999999E-2</c:v>
                </c:pt>
                <c:pt idx="2">
                  <c:v>6.6600000000000006E-2</c:v>
                </c:pt>
                <c:pt idx="3">
                  <c:v>9.0800000000000006E-2</c:v>
                </c:pt>
                <c:pt idx="4">
                  <c:v>0.28199999999999997</c:v>
                </c:pt>
                <c:pt idx="5">
                  <c:v>0.58899999999999997</c:v>
                </c:pt>
              </c:numCache>
            </c:numRef>
          </c:xVal>
          <c:yVal>
            <c:numRef>
              <c:f>TPCalibEq150!$S$32:$S$37</c:f>
              <c:numCache>
                <c:formatCode>0.0</c:formatCode>
                <c:ptCount val="6"/>
                <c:pt idx="0">
                  <c:v>0</c:v>
                </c:pt>
                <c:pt idx="1">
                  <c:v>5</c:v>
                </c:pt>
                <c:pt idx="2">
                  <c:v>15</c:v>
                </c:pt>
                <c:pt idx="3">
                  <c:v>20</c:v>
                </c:pt>
                <c:pt idx="4">
                  <c:v>75</c:v>
                </c:pt>
                <c:pt idx="5">
                  <c:v>150</c:v>
                </c:pt>
              </c:numCache>
            </c:numRef>
          </c:yVal>
          <c:smooth val="0"/>
          <c:extLst>
            <c:ext xmlns:c16="http://schemas.microsoft.com/office/drawing/2014/chart" uri="{C3380CC4-5D6E-409C-BE32-E72D297353CC}">
              <c16:uniqueId val="{00000004-7108-4019-9969-547AFCD16BEB}"/>
            </c:ext>
          </c:extLst>
        </c:ser>
        <c:dLbls>
          <c:showLegendKey val="0"/>
          <c:showVal val="0"/>
          <c:showCatName val="0"/>
          <c:showSerName val="0"/>
          <c:showPercent val="0"/>
          <c:showBubbleSize val="0"/>
        </c:dLbls>
        <c:axId val="310343936"/>
        <c:axId val="310358016"/>
      </c:scatterChart>
      <c:valAx>
        <c:axId val="31034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8016"/>
        <c:crosses val="autoZero"/>
        <c:crossBetween val="midCat"/>
      </c:valAx>
      <c:valAx>
        <c:axId val="3103580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4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84893132319812"/>
          <c:y val="0.17077103958823348"/>
          <c:w val="0.80147026710228053"/>
          <c:h val="0.65880101925042378"/>
        </c:manualLayout>
      </c:layout>
      <c:scatterChart>
        <c:scatterStyle val="lineMarker"/>
        <c:varyColors val="0"/>
        <c:ser>
          <c:idx val="0"/>
          <c:order val="0"/>
          <c:tx>
            <c:strRef>
              <c:f>TPCalibEq300!$U$2</c:f>
              <c:strCache>
                <c:ptCount val="1"/>
                <c:pt idx="0">
                  <c:v>1/22/2025</c:v>
                </c:pt>
              </c:strCache>
            </c:strRef>
          </c:tx>
          <c:spPr>
            <a:ln w="19050">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0"/>
          </c:trendline>
          <c:trendline>
            <c:spPr>
              <a:ln>
                <a:solidFill>
                  <a:schemeClr val="accent1"/>
                </a:solidFill>
                <a:prstDash val="sysDash"/>
              </a:ln>
            </c:spPr>
            <c:trendlineType val="linear"/>
            <c:dispRSqr val="1"/>
            <c:dispEq val="1"/>
            <c:trendlineLbl>
              <c:layout>
                <c:manualLayout>
                  <c:x val="-0.27697125708936732"/>
                  <c:y val="6.4523184601924757E-2"/>
                </c:manualLayout>
              </c:layout>
              <c:numFmt formatCode="General" sourceLinked="0"/>
              <c:txPr>
                <a:bodyPr/>
                <a:lstStyle/>
                <a:p>
                  <a:pPr>
                    <a:defRPr>
                      <a:solidFill>
                        <a:schemeClr val="tx1">
                          <a:lumMod val="65000"/>
                          <a:lumOff val="35000"/>
                        </a:schemeClr>
                      </a:solidFill>
                    </a:defRPr>
                  </a:pPr>
                  <a:endParaRPr lang="en-US"/>
                </a:p>
              </c:txPr>
            </c:trendlineLbl>
          </c:trendline>
          <c:trendline>
            <c:spPr>
              <a:ln>
                <a:solidFill>
                  <a:schemeClr val="accent1"/>
                </a:solidFill>
                <a:prstDash val="sysDash"/>
              </a:ln>
            </c:spPr>
            <c:trendlineType val="poly"/>
            <c:order val="2"/>
            <c:dispRSqr val="1"/>
            <c:dispEq val="1"/>
            <c:trendlineLbl>
              <c:layout>
                <c:manualLayout>
                  <c:x val="0.14373474243495185"/>
                  <c:y val="0.34152251598570588"/>
                </c:manualLayout>
              </c:layout>
              <c:numFmt formatCode="General" sourceLinked="0"/>
              <c:txPr>
                <a:bodyPr/>
                <a:lstStyle/>
                <a:p>
                  <a:pPr>
                    <a:defRPr>
                      <a:solidFill>
                        <a:schemeClr val="tx1">
                          <a:lumMod val="65000"/>
                          <a:lumOff val="35000"/>
                        </a:schemeClr>
                      </a:solidFill>
                    </a:defRPr>
                  </a:pPr>
                  <a:endParaRPr lang="en-US"/>
                </a:p>
              </c:txPr>
            </c:trendlineLbl>
          </c:trendline>
          <c:trendline>
            <c:spPr>
              <a:ln>
                <a:solidFill>
                  <a:schemeClr val="accent1"/>
                </a:solidFill>
                <a:prstDash val="sysDash"/>
              </a:ln>
            </c:spPr>
            <c:trendlineType val="linear"/>
            <c:dispRSqr val="0"/>
            <c:dispEq val="0"/>
          </c:trendline>
          <c:xVal>
            <c:numRef>
              <c:f>TPCalibEq300!$O$2:$O$8</c:f>
              <c:numCache>
                <c:formatCode>General</c:formatCode>
                <c:ptCount val="7"/>
                <c:pt idx="0">
                  <c:v>2.92E-2</c:v>
                </c:pt>
                <c:pt idx="1">
                  <c:v>4.6399999999999997E-2</c:v>
                </c:pt>
                <c:pt idx="2">
                  <c:v>6.4000000000000001E-2</c:v>
                </c:pt>
                <c:pt idx="3">
                  <c:v>7.85E-2</c:v>
                </c:pt>
                <c:pt idx="4">
                  <c:v>0.28899999999999998</c:v>
                </c:pt>
                <c:pt idx="5">
                  <c:v>0.627</c:v>
                </c:pt>
                <c:pt idx="6">
                  <c:v>1.31</c:v>
                </c:pt>
              </c:numCache>
            </c:numRef>
          </c:xVal>
          <c:yVal>
            <c:numRef>
              <c:f>TPCalibEq300!$S$2:$S$8</c:f>
              <c:numCache>
                <c:formatCode>0.0</c:formatCode>
                <c:ptCount val="7"/>
                <c:pt idx="0">
                  <c:v>0</c:v>
                </c:pt>
                <c:pt idx="1">
                  <c:v>5</c:v>
                </c:pt>
                <c:pt idx="2">
                  <c:v>15</c:v>
                </c:pt>
                <c:pt idx="3">
                  <c:v>20</c:v>
                </c:pt>
                <c:pt idx="4">
                  <c:v>75</c:v>
                </c:pt>
                <c:pt idx="5">
                  <c:v>150</c:v>
                </c:pt>
                <c:pt idx="6">
                  <c:v>300</c:v>
                </c:pt>
              </c:numCache>
            </c:numRef>
          </c:yVal>
          <c:smooth val="0"/>
          <c:extLst>
            <c:ext xmlns:c16="http://schemas.microsoft.com/office/drawing/2014/chart" uri="{C3380CC4-5D6E-409C-BE32-E72D297353CC}">
              <c16:uniqueId val="{00000004-D6E1-4DFC-ADB8-DFBA2125B113}"/>
            </c:ext>
          </c:extLst>
        </c:ser>
        <c:dLbls>
          <c:showLegendKey val="0"/>
          <c:showVal val="0"/>
          <c:showCatName val="0"/>
          <c:showSerName val="0"/>
          <c:showPercent val="0"/>
          <c:showBubbleSize val="0"/>
        </c:dLbls>
        <c:axId val="310343936"/>
        <c:axId val="310358016"/>
      </c:scatterChart>
      <c:valAx>
        <c:axId val="31034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8016"/>
        <c:crosses val="autoZero"/>
        <c:crossBetween val="midCat"/>
      </c:valAx>
      <c:valAx>
        <c:axId val="3103580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4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84893132319812"/>
          <c:y val="0.17077103958823348"/>
          <c:w val="0.80147026710228053"/>
          <c:h val="0.65880101925042378"/>
        </c:manualLayout>
      </c:layout>
      <c:scatterChart>
        <c:scatterStyle val="lineMarker"/>
        <c:varyColors val="0"/>
        <c:ser>
          <c:idx val="0"/>
          <c:order val="0"/>
          <c:tx>
            <c:strRef>
              <c:f>TPCalibEq300!$U$9</c:f>
              <c:strCache>
                <c:ptCount val="1"/>
                <c:pt idx="0">
                  <c:v>1/24/2025</c:v>
                </c:pt>
              </c:strCache>
            </c:strRef>
          </c:tx>
          <c:spPr>
            <a:ln w="19050">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0"/>
          </c:trendline>
          <c:trendline>
            <c:spPr>
              <a:ln>
                <a:solidFill>
                  <a:schemeClr val="accent1"/>
                </a:solidFill>
                <a:prstDash val="sysDash"/>
              </a:ln>
            </c:spPr>
            <c:trendlineType val="linear"/>
            <c:dispRSqr val="1"/>
            <c:dispEq val="1"/>
            <c:trendlineLbl>
              <c:layout>
                <c:manualLayout>
                  <c:x val="-0.27697125708936732"/>
                  <c:y val="6.4523184601924757E-2"/>
                </c:manualLayout>
              </c:layout>
              <c:numFmt formatCode="General" sourceLinked="0"/>
              <c:txPr>
                <a:bodyPr/>
                <a:lstStyle/>
                <a:p>
                  <a:pPr>
                    <a:defRPr>
                      <a:solidFill>
                        <a:schemeClr val="tx1">
                          <a:lumMod val="65000"/>
                          <a:lumOff val="35000"/>
                        </a:schemeClr>
                      </a:solidFill>
                    </a:defRPr>
                  </a:pPr>
                  <a:endParaRPr lang="en-US"/>
                </a:p>
              </c:txPr>
            </c:trendlineLbl>
          </c:trendline>
          <c:trendline>
            <c:spPr>
              <a:ln>
                <a:solidFill>
                  <a:schemeClr val="accent1"/>
                </a:solidFill>
                <a:prstDash val="sysDash"/>
              </a:ln>
            </c:spPr>
            <c:trendlineType val="poly"/>
            <c:order val="2"/>
            <c:dispRSqr val="1"/>
            <c:dispEq val="1"/>
            <c:trendlineLbl>
              <c:layout>
                <c:manualLayout>
                  <c:x val="0.14373474243495185"/>
                  <c:y val="0.34152251598570588"/>
                </c:manualLayout>
              </c:layout>
              <c:numFmt formatCode="General" sourceLinked="0"/>
              <c:txPr>
                <a:bodyPr/>
                <a:lstStyle/>
                <a:p>
                  <a:pPr>
                    <a:defRPr>
                      <a:solidFill>
                        <a:schemeClr val="tx1">
                          <a:lumMod val="65000"/>
                          <a:lumOff val="35000"/>
                        </a:schemeClr>
                      </a:solidFill>
                    </a:defRPr>
                  </a:pPr>
                  <a:endParaRPr lang="en-US"/>
                </a:p>
              </c:txPr>
            </c:trendlineLbl>
          </c:trendline>
          <c:trendline>
            <c:spPr>
              <a:ln>
                <a:solidFill>
                  <a:schemeClr val="accent1"/>
                </a:solidFill>
                <a:prstDash val="sysDash"/>
              </a:ln>
            </c:spPr>
            <c:trendlineType val="linear"/>
            <c:dispRSqr val="0"/>
            <c:dispEq val="0"/>
          </c:trendline>
          <c:xVal>
            <c:numRef>
              <c:f>TPCalibEq300!$O$9:$O$15</c:f>
              <c:numCache>
                <c:formatCode>General</c:formatCode>
                <c:ptCount val="7"/>
                <c:pt idx="0">
                  <c:v>2.4E-2</c:v>
                </c:pt>
                <c:pt idx="1">
                  <c:v>4.4999999999999998E-2</c:v>
                </c:pt>
                <c:pt idx="2">
                  <c:v>8.3299999999999999E-2</c:v>
                </c:pt>
                <c:pt idx="3">
                  <c:v>7.9899999999999999E-2</c:v>
                </c:pt>
                <c:pt idx="4">
                  <c:v>0.30199999999999999</c:v>
                </c:pt>
                <c:pt idx="5">
                  <c:v>0.64800000000000002</c:v>
                </c:pt>
                <c:pt idx="6">
                  <c:v>1.39</c:v>
                </c:pt>
              </c:numCache>
            </c:numRef>
          </c:xVal>
          <c:yVal>
            <c:numRef>
              <c:f>TPCalibEq300!$S$9:$S$15</c:f>
              <c:numCache>
                <c:formatCode>0.0</c:formatCode>
                <c:ptCount val="7"/>
                <c:pt idx="0">
                  <c:v>0</c:v>
                </c:pt>
                <c:pt idx="1">
                  <c:v>5</c:v>
                </c:pt>
                <c:pt idx="2">
                  <c:v>15</c:v>
                </c:pt>
                <c:pt idx="3">
                  <c:v>20</c:v>
                </c:pt>
                <c:pt idx="4">
                  <c:v>75</c:v>
                </c:pt>
                <c:pt idx="5">
                  <c:v>150</c:v>
                </c:pt>
                <c:pt idx="6">
                  <c:v>300</c:v>
                </c:pt>
              </c:numCache>
            </c:numRef>
          </c:yVal>
          <c:smooth val="0"/>
          <c:extLst>
            <c:ext xmlns:c16="http://schemas.microsoft.com/office/drawing/2014/chart" uri="{C3380CC4-5D6E-409C-BE32-E72D297353CC}">
              <c16:uniqueId val="{00000004-2AF7-4CA0-BA56-A456A8E42D78}"/>
            </c:ext>
          </c:extLst>
        </c:ser>
        <c:dLbls>
          <c:showLegendKey val="0"/>
          <c:showVal val="0"/>
          <c:showCatName val="0"/>
          <c:showSerName val="0"/>
          <c:showPercent val="0"/>
          <c:showBubbleSize val="0"/>
        </c:dLbls>
        <c:axId val="310343936"/>
        <c:axId val="310358016"/>
      </c:scatterChart>
      <c:valAx>
        <c:axId val="31034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8016"/>
        <c:crosses val="autoZero"/>
        <c:crossBetween val="midCat"/>
      </c:valAx>
      <c:valAx>
        <c:axId val="3103580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4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84893132319812"/>
          <c:y val="0.17077103958823348"/>
          <c:w val="0.80147026710228053"/>
          <c:h val="0.65880101925042378"/>
        </c:manualLayout>
      </c:layout>
      <c:scatterChart>
        <c:scatterStyle val="lineMarker"/>
        <c:varyColors val="0"/>
        <c:ser>
          <c:idx val="0"/>
          <c:order val="0"/>
          <c:tx>
            <c:strRef>
              <c:f>TPCalibEq300!$U$16</c:f>
              <c:strCache>
                <c:ptCount val="1"/>
                <c:pt idx="0">
                  <c:v>1/29/2025</c:v>
                </c:pt>
              </c:strCache>
            </c:strRef>
          </c:tx>
          <c:spPr>
            <a:ln w="19050">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0"/>
          </c:trendline>
          <c:trendline>
            <c:spPr>
              <a:ln>
                <a:solidFill>
                  <a:schemeClr val="accent1"/>
                </a:solidFill>
                <a:prstDash val="sysDash"/>
              </a:ln>
            </c:spPr>
            <c:trendlineType val="linear"/>
            <c:dispRSqr val="1"/>
            <c:dispEq val="1"/>
            <c:trendlineLbl>
              <c:layout>
                <c:manualLayout>
                  <c:x val="-0.27697125708936732"/>
                  <c:y val="6.4523184601924757E-2"/>
                </c:manualLayout>
              </c:layout>
              <c:numFmt formatCode="General" sourceLinked="0"/>
              <c:txPr>
                <a:bodyPr/>
                <a:lstStyle/>
                <a:p>
                  <a:pPr>
                    <a:defRPr>
                      <a:solidFill>
                        <a:schemeClr val="tx1">
                          <a:lumMod val="65000"/>
                          <a:lumOff val="35000"/>
                        </a:schemeClr>
                      </a:solidFill>
                    </a:defRPr>
                  </a:pPr>
                  <a:endParaRPr lang="en-US"/>
                </a:p>
              </c:txPr>
            </c:trendlineLbl>
          </c:trendline>
          <c:trendline>
            <c:spPr>
              <a:ln>
                <a:solidFill>
                  <a:schemeClr val="accent1"/>
                </a:solidFill>
                <a:prstDash val="sysDash"/>
              </a:ln>
            </c:spPr>
            <c:trendlineType val="poly"/>
            <c:order val="2"/>
            <c:dispRSqr val="1"/>
            <c:dispEq val="1"/>
            <c:trendlineLbl>
              <c:layout>
                <c:manualLayout>
                  <c:x val="0.14373474243495185"/>
                  <c:y val="0.34152251598570588"/>
                </c:manualLayout>
              </c:layout>
              <c:numFmt formatCode="General" sourceLinked="0"/>
              <c:txPr>
                <a:bodyPr/>
                <a:lstStyle/>
                <a:p>
                  <a:pPr>
                    <a:defRPr>
                      <a:solidFill>
                        <a:schemeClr val="tx1">
                          <a:lumMod val="65000"/>
                          <a:lumOff val="35000"/>
                        </a:schemeClr>
                      </a:solidFill>
                    </a:defRPr>
                  </a:pPr>
                  <a:endParaRPr lang="en-US"/>
                </a:p>
              </c:txPr>
            </c:trendlineLbl>
          </c:trendline>
          <c:trendline>
            <c:spPr>
              <a:ln>
                <a:solidFill>
                  <a:schemeClr val="accent1"/>
                </a:solidFill>
                <a:prstDash val="sysDash"/>
              </a:ln>
            </c:spPr>
            <c:trendlineType val="linear"/>
            <c:dispRSqr val="0"/>
            <c:dispEq val="0"/>
          </c:trendline>
          <c:xVal>
            <c:numRef>
              <c:f>TPCalibEq300!$O$16:$O$22</c:f>
              <c:numCache>
                <c:formatCode>General</c:formatCode>
                <c:ptCount val="7"/>
                <c:pt idx="0">
                  <c:v>2.23E-2</c:v>
                </c:pt>
                <c:pt idx="1">
                  <c:v>3.7900000000000003E-2</c:v>
                </c:pt>
                <c:pt idx="2">
                  <c:v>5.62E-2</c:v>
                </c:pt>
                <c:pt idx="3">
                  <c:v>6.4100000000000004E-2</c:v>
                </c:pt>
                <c:pt idx="4">
                  <c:v>0.23100000000000001</c:v>
                </c:pt>
                <c:pt idx="5">
                  <c:v>0.52100000000000002</c:v>
                </c:pt>
                <c:pt idx="6">
                  <c:v>1.1399999999999999</c:v>
                </c:pt>
              </c:numCache>
            </c:numRef>
          </c:xVal>
          <c:yVal>
            <c:numRef>
              <c:f>TPCalibEq300!$S$16:$S$22</c:f>
              <c:numCache>
                <c:formatCode>0.0</c:formatCode>
                <c:ptCount val="7"/>
                <c:pt idx="0">
                  <c:v>0</c:v>
                </c:pt>
                <c:pt idx="1">
                  <c:v>5</c:v>
                </c:pt>
                <c:pt idx="2">
                  <c:v>15</c:v>
                </c:pt>
                <c:pt idx="3">
                  <c:v>20</c:v>
                </c:pt>
                <c:pt idx="4">
                  <c:v>75</c:v>
                </c:pt>
                <c:pt idx="5">
                  <c:v>150</c:v>
                </c:pt>
                <c:pt idx="6">
                  <c:v>300</c:v>
                </c:pt>
              </c:numCache>
            </c:numRef>
          </c:yVal>
          <c:smooth val="0"/>
          <c:extLst>
            <c:ext xmlns:c16="http://schemas.microsoft.com/office/drawing/2014/chart" uri="{C3380CC4-5D6E-409C-BE32-E72D297353CC}">
              <c16:uniqueId val="{00000004-87F9-4D7E-BCF8-9FA1B14D0CA1}"/>
            </c:ext>
          </c:extLst>
        </c:ser>
        <c:dLbls>
          <c:showLegendKey val="0"/>
          <c:showVal val="0"/>
          <c:showCatName val="0"/>
          <c:showSerName val="0"/>
          <c:showPercent val="0"/>
          <c:showBubbleSize val="0"/>
        </c:dLbls>
        <c:axId val="310343936"/>
        <c:axId val="310358016"/>
      </c:scatterChart>
      <c:valAx>
        <c:axId val="31034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8016"/>
        <c:crosses val="autoZero"/>
        <c:crossBetween val="midCat"/>
      </c:valAx>
      <c:valAx>
        <c:axId val="3103580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4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84893132319812"/>
          <c:y val="0.17077103958823348"/>
          <c:w val="0.80147026710228053"/>
          <c:h val="0.65880101925042378"/>
        </c:manualLayout>
      </c:layout>
      <c:scatterChart>
        <c:scatterStyle val="lineMarker"/>
        <c:varyColors val="0"/>
        <c:ser>
          <c:idx val="0"/>
          <c:order val="0"/>
          <c:tx>
            <c:strRef>
              <c:f>TPCalibEq300!$U$23</c:f>
              <c:strCache>
                <c:ptCount val="1"/>
                <c:pt idx="0">
                  <c:v>2/4/2025</c:v>
                </c:pt>
              </c:strCache>
            </c:strRef>
          </c:tx>
          <c:spPr>
            <a:ln w="19050">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0"/>
          </c:trendline>
          <c:trendline>
            <c:spPr>
              <a:ln>
                <a:solidFill>
                  <a:schemeClr val="accent1"/>
                </a:solidFill>
                <a:prstDash val="sysDash"/>
              </a:ln>
            </c:spPr>
            <c:trendlineType val="linear"/>
            <c:dispRSqr val="1"/>
            <c:dispEq val="1"/>
            <c:trendlineLbl>
              <c:layout>
                <c:manualLayout>
                  <c:x val="-0.27697125708936732"/>
                  <c:y val="6.4523184601924757E-2"/>
                </c:manualLayout>
              </c:layout>
              <c:numFmt formatCode="General" sourceLinked="0"/>
              <c:txPr>
                <a:bodyPr/>
                <a:lstStyle/>
                <a:p>
                  <a:pPr>
                    <a:defRPr>
                      <a:solidFill>
                        <a:schemeClr val="tx1">
                          <a:lumMod val="65000"/>
                          <a:lumOff val="35000"/>
                        </a:schemeClr>
                      </a:solidFill>
                    </a:defRPr>
                  </a:pPr>
                  <a:endParaRPr lang="en-US"/>
                </a:p>
              </c:txPr>
            </c:trendlineLbl>
          </c:trendline>
          <c:trendline>
            <c:spPr>
              <a:ln>
                <a:solidFill>
                  <a:schemeClr val="accent1"/>
                </a:solidFill>
                <a:prstDash val="sysDash"/>
              </a:ln>
            </c:spPr>
            <c:trendlineType val="poly"/>
            <c:order val="2"/>
            <c:dispRSqr val="1"/>
            <c:dispEq val="1"/>
            <c:trendlineLbl>
              <c:layout>
                <c:manualLayout>
                  <c:x val="0.14373474243495185"/>
                  <c:y val="0.34152251598570588"/>
                </c:manualLayout>
              </c:layout>
              <c:numFmt formatCode="General" sourceLinked="0"/>
              <c:txPr>
                <a:bodyPr/>
                <a:lstStyle/>
                <a:p>
                  <a:pPr>
                    <a:defRPr>
                      <a:solidFill>
                        <a:schemeClr val="tx1">
                          <a:lumMod val="65000"/>
                          <a:lumOff val="35000"/>
                        </a:schemeClr>
                      </a:solidFill>
                    </a:defRPr>
                  </a:pPr>
                  <a:endParaRPr lang="en-US"/>
                </a:p>
              </c:txPr>
            </c:trendlineLbl>
          </c:trendline>
          <c:trendline>
            <c:spPr>
              <a:ln>
                <a:solidFill>
                  <a:schemeClr val="accent1"/>
                </a:solidFill>
                <a:prstDash val="sysDash"/>
              </a:ln>
            </c:spPr>
            <c:trendlineType val="linear"/>
            <c:dispRSqr val="0"/>
            <c:dispEq val="0"/>
          </c:trendline>
          <c:xVal>
            <c:numRef>
              <c:f>TPCalibEq300!$O$23:$O$29</c:f>
              <c:numCache>
                <c:formatCode>General</c:formatCode>
                <c:ptCount val="7"/>
                <c:pt idx="0">
                  <c:v>2.87E-2</c:v>
                </c:pt>
                <c:pt idx="1">
                  <c:v>4.6899999999999997E-2</c:v>
                </c:pt>
                <c:pt idx="2">
                  <c:v>6.9900000000000004E-2</c:v>
                </c:pt>
                <c:pt idx="3">
                  <c:v>8.5199999999999998E-2</c:v>
                </c:pt>
                <c:pt idx="4">
                  <c:v>0.29099999999999998</c:v>
                </c:pt>
                <c:pt idx="5">
                  <c:v>0.60799999999999998</c:v>
                </c:pt>
                <c:pt idx="6">
                  <c:v>1.37</c:v>
                </c:pt>
              </c:numCache>
            </c:numRef>
          </c:xVal>
          <c:yVal>
            <c:numRef>
              <c:f>TPCalibEq300!$S$23:$S$29</c:f>
              <c:numCache>
                <c:formatCode>0.0</c:formatCode>
                <c:ptCount val="7"/>
                <c:pt idx="0">
                  <c:v>0</c:v>
                </c:pt>
                <c:pt idx="1">
                  <c:v>5</c:v>
                </c:pt>
                <c:pt idx="2">
                  <c:v>15</c:v>
                </c:pt>
                <c:pt idx="3">
                  <c:v>20</c:v>
                </c:pt>
                <c:pt idx="4">
                  <c:v>75</c:v>
                </c:pt>
                <c:pt idx="5">
                  <c:v>150</c:v>
                </c:pt>
                <c:pt idx="6">
                  <c:v>300</c:v>
                </c:pt>
              </c:numCache>
            </c:numRef>
          </c:yVal>
          <c:smooth val="0"/>
          <c:extLst>
            <c:ext xmlns:c16="http://schemas.microsoft.com/office/drawing/2014/chart" uri="{C3380CC4-5D6E-409C-BE32-E72D297353CC}">
              <c16:uniqueId val="{00000004-2BB9-4611-A253-17B8EE6C3CE3}"/>
            </c:ext>
          </c:extLst>
        </c:ser>
        <c:dLbls>
          <c:showLegendKey val="0"/>
          <c:showVal val="0"/>
          <c:showCatName val="0"/>
          <c:showSerName val="0"/>
          <c:showPercent val="0"/>
          <c:showBubbleSize val="0"/>
        </c:dLbls>
        <c:axId val="310343936"/>
        <c:axId val="310358016"/>
      </c:scatterChart>
      <c:valAx>
        <c:axId val="31034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8016"/>
        <c:crosses val="autoZero"/>
        <c:crossBetween val="midCat"/>
      </c:valAx>
      <c:valAx>
        <c:axId val="3103580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4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84893132319812"/>
          <c:y val="0.17077103958823348"/>
          <c:w val="0.80147026710228053"/>
          <c:h val="0.65880101925042378"/>
        </c:manualLayout>
      </c:layout>
      <c:scatterChart>
        <c:scatterStyle val="lineMarker"/>
        <c:varyColors val="0"/>
        <c:ser>
          <c:idx val="0"/>
          <c:order val="0"/>
          <c:tx>
            <c:strRef>
              <c:f>TPCalibEq300!$U$30</c:f>
              <c:strCache>
                <c:ptCount val="1"/>
                <c:pt idx="0">
                  <c:v>2/11/2025</c:v>
                </c:pt>
              </c:strCache>
            </c:strRef>
          </c:tx>
          <c:spPr>
            <a:ln w="19050">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0"/>
          </c:trendline>
          <c:trendline>
            <c:spPr>
              <a:ln>
                <a:solidFill>
                  <a:schemeClr val="accent1"/>
                </a:solidFill>
                <a:prstDash val="sysDash"/>
              </a:ln>
            </c:spPr>
            <c:trendlineType val="linear"/>
            <c:dispRSqr val="1"/>
            <c:dispEq val="1"/>
            <c:trendlineLbl>
              <c:layout>
                <c:manualLayout>
                  <c:x val="-0.27697125708936732"/>
                  <c:y val="6.4523184601924757E-2"/>
                </c:manualLayout>
              </c:layout>
              <c:numFmt formatCode="General" sourceLinked="0"/>
              <c:txPr>
                <a:bodyPr/>
                <a:lstStyle/>
                <a:p>
                  <a:pPr>
                    <a:defRPr>
                      <a:solidFill>
                        <a:schemeClr val="tx1">
                          <a:lumMod val="65000"/>
                          <a:lumOff val="35000"/>
                        </a:schemeClr>
                      </a:solidFill>
                    </a:defRPr>
                  </a:pPr>
                  <a:endParaRPr lang="en-US"/>
                </a:p>
              </c:txPr>
            </c:trendlineLbl>
          </c:trendline>
          <c:trendline>
            <c:spPr>
              <a:ln>
                <a:solidFill>
                  <a:schemeClr val="accent1"/>
                </a:solidFill>
                <a:prstDash val="sysDash"/>
              </a:ln>
            </c:spPr>
            <c:trendlineType val="poly"/>
            <c:order val="2"/>
            <c:dispRSqr val="1"/>
            <c:dispEq val="1"/>
            <c:trendlineLbl>
              <c:layout>
                <c:manualLayout>
                  <c:x val="0.14373474243495185"/>
                  <c:y val="0.34152251598570588"/>
                </c:manualLayout>
              </c:layout>
              <c:numFmt formatCode="General" sourceLinked="0"/>
              <c:txPr>
                <a:bodyPr/>
                <a:lstStyle/>
                <a:p>
                  <a:pPr>
                    <a:defRPr>
                      <a:solidFill>
                        <a:schemeClr val="tx1">
                          <a:lumMod val="65000"/>
                          <a:lumOff val="35000"/>
                        </a:schemeClr>
                      </a:solidFill>
                    </a:defRPr>
                  </a:pPr>
                  <a:endParaRPr lang="en-US"/>
                </a:p>
              </c:txPr>
            </c:trendlineLbl>
          </c:trendline>
          <c:trendline>
            <c:spPr>
              <a:ln>
                <a:solidFill>
                  <a:schemeClr val="accent1"/>
                </a:solidFill>
                <a:prstDash val="sysDash"/>
              </a:ln>
            </c:spPr>
            <c:trendlineType val="linear"/>
            <c:dispRSqr val="0"/>
            <c:dispEq val="0"/>
          </c:trendline>
          <c:xVal>
            <c:numRef>
              <c:f>TPCalibEq300!$O$30:$O$36</c:f>
              <c:numCache>
                <c:formatCode>General</c:formatCode>
                <c:ptCount val="7"/>
                <c:pt idx="0">
                  <c:v>4.9599999999999998E-2</c:v>
                </c:pt>
                <c:pt idx="1">
                  <c:v>7.0099999999999996E-2</c:v>
                </c:pt>
                <c:pt idx="2">
                  <c:v>7.4999999999999997E-2</c:v>
                </c:pt>
                <c:pt idx="3">
                  <c:v>8.48E-2</c:v>
                </c:pt>
                <c:pt idx="4">
                  <c:v>0.29099999999999998</c:v>
                </c:pt>
                <c:pt idx="5">
                  <c:v>0.57899999999999996</c:v>
                </c:pt>
                <c:pt idx="6">
                  <c:v>1.22</c:v>
                </c:pt>
              </c:numCache>
            </c:numRef>
          </c:xVal>
          <c:yVal>
            <c:numRef>
              <c:f>TPCalibEq300!$S$30:$S$36</c:f>
              <c:numCache>
                <c:formatCode>0.0</c:formatCode>
                <c:ptCount val="7"/>
                <c:pt idx="0">
                  <c:v>0</c:v>
                </c:pt>
                <c:pt idx="1">
                  <c:v>5</c:v>
                </c:pt>
                <c:pt idx="2">
                  <c:v>15</c:v>
                </c:pt>
                <c:pt idx="3">
                  <c:v>20</c:v>
                </c:pt>
                <c:pt idx="4">
                  <c:v>75</c:v>
                </c:pt>
                <c:pt idx="5">
                  <c:v>150</c:v>
                </c:pt>
                <c:pt idx="6">
                  <c:v>300</c:v>
                </c:pt>
              </c:numCache>
            </c:numRef>
          </c:yVal>
          <c:smooth val="0"/>
          <c:extLst>
            <c:ext xmlns:c16="http://schemas.microsoft.com/office/drawing/2014/chart" uri="{C3380CC4-5D6E-409C-BE32-E72D297353CC}">
              <c16:uniqueId val="{00000004-277C-4C77-B629-1B318022E21D}"/>
            </c:ext>
          </c:extLst>
        </c:ser>
        <c:dLbls>
          <c:showLegendKey val="0"/>
          <c:showVal val="0"/>
          <c:showCatName val="0"/>
          <c:showSerName val="0"/>
          <c:showPercent val="0"/>
          <c:showBubbleSize val="0"/>
        </c:dLbls>
        <c:axId val="310343936"/>
        <c:axId val="310358016"/>
      </c:scatterChart>
      <c:valAx>
        <c:axId val="31034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8016"/>
        <c:crosses val="autoZero"/>
        <c:crossBetween val="midCat"/>
      </c:valAx>
      <c:valAx>
        <c:axId val="3103580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4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31923563401663"/>
          <c:y val="0.18476894226950968"/>
          <c:w val="0.80147026710228053"/>
          <c:h val="0.65880101925042378"/>
        </c:manualLayout>
      </c:layout>
      <c:scatterChart>
        <c:scatterStyle val="lineMarker"/>
        <c:varyColors val="0"/>
        <c:ser>
          <c:idx val="0"/>
          <c:order val="0"/>
          <c:tx>
            <c:strRef>
              <c:f>TPCalibEq500!$U$2</c:f>
              <c:strCache>
                <c:ptCount val="1"/>
                <c:pt idx="0">
                  <c:v>1/22/2025</c:v>
                </c:pt>
              </c:strCache>
            </c:strRef>
          </c:tx>
          <c:spPr>
            <a:ln w="19050">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7.2020339832104943E-2"/>
                  <c:y val="-2.078309730000327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TPCalibEq500!$O$2:$O$14</c:f>
              <c:numCache>
                <c:formatCode>General</c:formatCode>
                <c:ptCount val="13"/>
                <c:pt idx="0">
                  <c:v>1.8599999999999998E-2</c:v>
                </c:pt>
                <c:pt idx="1">
                  <c:v>5.33E-2</c:v>
                </c:pt>
                <c:pt idx="2">
                  <c:v>0.19900000000000001</c:v>
                </c:pt>
                <c:pt idx="3">
                  <c:v>0.91900000000000004</c:v>
                </c:pt>
                <c:pt idx="4">
                  <c:v>2.35</c:v>
                </c:pt>
                <c:pt idx="5">
                  <c:v>2.92E-2</c:v>
                </c:pt>
                <c:pt idx="6">
                  <c:v>4.6399999999999997E-2</c:v>
                </c:pt>
                <c:pt idx="7">
                  <c:v>6.4000000000000001E-2</c:v>
                </c:pt>
                <c:pt idx="8">
                  <c:v>7.85E-2</c:v>
                </c:pt>
                <c:pt idx="9">
                  <c:v>0.28899999999999998</c:v>
                </c:pt>
                <c:pt idx="10">
                  <c:v>0.627</c:v>
                </c:pt>
                <c:pt idx="11">
                  <c:v>1.31</c:v>
                </c:pt>
                <c:pt idx="12">
                  <c:v>2.41</c:v>
                </c:pt>
              </c:numCache>
            </c:numRef>
          </c:xVal>
          <c:yVal>
            <c:numRef>
              <c:f>TPCalibEq500!$S$2:$S$14</c:f>
              <c:numCache>
                <c:formatCode>0.0</c:formatCode>
                <c:ptCount val="13"/>
                <c:pt idx="0">
                  <c:v>0</c:v>
                </c:pt>
                <c:pt idx="1">
                  <c:v>12</c:v>
                </c:pt>
                <c:pt idx="2">
                  <c:v>50</c:v>
                </c:pt>
                <c:pt idx="3">
                  <c:v>200</c:v>
                </c:pt>
                <c:pt idx="4">
                  <c:v>500</c:v>
                </c:pt>
                <c:pt idx="5">
                  <c:v>0</c:v>
                </c:pt>
                <c:pt idx="6">
                  <c:v>5</c:v>
                </c:pt>
                <c:pt idx="7">
                  <c:v>15</c:v>
                </c:pt>
                <c:pt idx="8">
                  <c:v>20</c:v>
                </c:pt>
                <c:pt idx="9">
                  <c:v>75</c:v>
                </c:pt>
                <c:pt idx="10">
                  <c:v>150</c:v>
                </c:pt>
                <c:pt idx="11">
                  <c:v>300</c:v>
                </c:pt>
                <c:pt idx="12">
                  <c:v>500</c:v>
                </c:pt>
              </c:numCache>
            </c:numRef>
          </c:yVal>
          <c:smooth val="0"/>
          <c:extLst>
            <c:ext xmlns:c16="http://schemas.microsoft.com/office/drawing/2014/chart" uri="{C3380CC4-5D6E-409C-BE32-E72D297353CC}">
              <c16:uniqueId val="{00000001-39E8-485F-98B4-75EB9FAFD5E2}"/>
            </c:ext>
          </c:extLst>
        </c:ser>
        <c:dLbls>
          <c:showLegendKey val="0"/>
          <c:showVal val="0"/>
          <c:showCatName val="0"/>
          <c:showSerName val="0"/>
          <c:showPercent val="0"/>
          <c:showBubbleSize val="0"/>
        </c:dLbls>
        <c:axId val="310343936"/>
        <c:axId val="310358016"/>
      </c:scatterChart>
      <c:valAx>
        <c:axId val="31034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8016"/>
        <c:crosses val="autoZero"/>
        <c:crossBetween val="midCat"/>
      </c:valAx>
      <c:valAx>
        <c:axId val="31035801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4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31923563401663"/>
          <c:y val="0.18476894226950968"/>
          <c:w val="0.80147026710228053"/>
          <c:h val="0.65880101925042378"/>
        </c:manualLayout>
      </c:layout>
      <c:scatterChart>
        <c:scatterStyle val="lineMarker"/>
        <c:varyColors val="0"/>
        <c:ser>
          <c:idx val="0"/>
          <c:order val="0"/>
          <c:tx>
            <c:strRef>
              <c:f>TPCalibEq500!$U$15</c:f>
              <c:strCache>
                <c:ptCount val="1"/>
                <c:pt idx="0">
                  <c:v>1/24/2025</c:v>
                </c:pt>
              </c:strCache>
            </c:strRef>
          </c:tx>
          <c:spPr>
            <a:ln w="19050">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7.2020339832104943E-2"/>
                  <c:y val="-2.078309730000327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TPCalibEq500!$O$15:$O$27</c:f>
              <c:numCache>
                <c:formatCode>General</c:formatCode>
                <c:ptCount val="13"/>
                <c:pt idx="0">
                  <c:v>-8.0000000000000002E-3</c:v>
                </c:pt>
                <c:pt idx="1">
                  <c:v>4.3499999999999997E-2</c:v>
                </c:pt>
                <c:pt idx="2">
                  <c:v>0.19800000000000001</c:v>
                </c:pt>
                <c:pt idx="3">
                  <c:v>0.91200000000000003</c:v>
                </c:pt>
                <c:pt idx="4">
                  <c:v>2.2999999999999998</c:v>
                </c:pt>
                <c:pt idx="5">
                  <c:v>2.4E-2</c:v>
                </c:pt>
                <c:pt idx="6">
                  <c:v>4.4999999999999998E-2</c:v>
                </c:pt>
                <c:pt idx="7">
                  <c:v>8.3299999999999999E-2</c:v>
                </c:pt>
                <c:pt idx="8">
                  <c:v>7.9899999999999999E-2</c:v>
                </c:pt>
                <c:pt idx="9">
                  <c:v>0.30199999999999999</c:v>
                </c:pt>
                <c:pt idx="10">
                  <c:v>0.64800000000000002</c:v>
                </c:pt>
                <c:pt idx="11">
                  <c:v>1.39</c:v>
                </c:pt>
                <c:pt idx="12">
                  <c:v>2.4</c:v>
                </c:pt>
              </c:numCache>
            </c:numRef>
          </c:xVal>
          <c:yVal>
            <c:numRef>
              <c:f>TPCalibEq500!$S$15:$S$27</c:f>
              <c:numCache>
                <c:formatCode>0.0</c:formatCode>
                <c:ptCount val="13"/>
                <c:pt idx="0">
                  <c:v>0</c:v>
                </c:pt>
                <c:pt idx="1">
                  <c:v>12</c:v>
                </c:pt>
                <c:pt idx="2">
                  <c:v>50</c:v>
                </c:pt>
                <c:pt idx="3">
                  <c:v>200</c:v>
                </c:pt>
                <c:pt idx="4">
                  <c:v>500</c:v>
                </c:pt>
                <c:pt idx="5">
                  <c:v>0</c:v>
                </c:pt>
                <c:pt idx="6">
                  <c:v>5</c:v>
                </c:pt>
                <c:pt idx="7">
                  <c:v>15</c:v>
                </c:pt>
                <c:pt idx="8">
                  <c:v>20</c:v>
                </c:pt>
                <c:pt idx="9">
                  <c:v>75</c:v>
                </c:pt>
                <c:pt idx="10">
                  <c:v>150</c:v>
                </c:pt>
                <c:pt idx="11">
                  <c:v>300</c:v>
                </c:pt>
                <c:pt idx="12">
                  <c:v>500</c:v>
                </c:pt>
              </c:numCache>
            </c:numRef>
          </c:yVal>
          <c:smooth val="0"/>
          <c:extLst>
            <c:ext xmlns:c16="http://schemas.microsoft.com/office/drawing/2014/chart" uri="{C3380CC4-5D6E-409C-BE32-E72D297353CC}">
              <c16:uniqueId val="{00000001-E22B-4B53-9C96-A44E5CA7EEE6}"/>
            </c:ext>
          </c:extLst>
        </c:ser>
        <c:dLbls>
          <c:showLegendKey val="0"/>
          <c:showVal val="0"/>
          <c:showCatName val="0"/>
          <c:showSerName val="0"/>
          <c:showPercent val="0"/>
          <c:showBubbleSize val="0"/>
        </c:dLbls>
        <c:axId val="310343936"/>
        <c:axId val="310358016"/>
      </c:scatterChart>
      <c:valAx>
        <c:axId val="31034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8016"/>
        <c:crosses val="autoZero"/>
        <c:crossBetween val="midCat"/>
      </c:valAx>
      <c:valAx>
        <c:axId val="31035801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4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31923563401663"/>
          <c:y val="0.18476894226950968"/>
          <c:w val="0.80147026710228053"/>
          <c:h val="0.65880101925042378"/>
        </c:manualLayout>
      </c:layout>
      <c:scatterChart>
        <c:scatterStyle val="lineMarker"/>
        <c:varyColors val="0"/>
        <c:ser>
          <c:idx val="0"/>
          <c:order val="0"/>
          <c:tx>
            <c:strRef>
              <c:f>TPCalibEq500!$U$28</c:f>
              <c:strCache>
                <c:ptCount val="1"/>
                <c:pt idx="0">
                  <c:v>1/29/2025</c:v>
                </c:pt>
              </c:strCache>
            </c:strRef>
          </c:tx>
          <c:spPr>
            <a:ln w="19050">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7.2020339832104943E-2"/>
                  <c:y val="-2.078309730000327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TPCalibEq500!$O$28:$O$40</c:f>
              <c:numCache>
                <c:formatCode>General</c:formatCode>
                <c:ptCount val="13"/>
                <c:pt idx="0">
                  <c:v>7.5100000000000002E-3</c:v>
                </c:pt>
                <c:pt idx="1">
                  <c:v>3.8600000000000002E-2</c:v>
                </c:pt>
                <c:pt idx="2">
                  <c:v>0.13700000000000001</c:v>
                </c:pt>
                <c:pt idx="3">
                  <c:v>0.73099999999999998</c:v>
                </c:pt>
                <c:pt idx="4">
                  <c:v>1.93</c:v>
                </c:pt>
                <c:pt idx="5">
                  <c:v>2.23E-2</c:v>
                </c:pt>
                <c:pt idx="6">
                  <c:v>3.7900000000000003E-2</c:v>
                </c:pt>
                <c:pt idx="7">
                  <c:v>5.62E-2</c:v>
                </c:pt>
                <c:pt idx="8">
                  <c:v>6.4100000000000004E-2</c:v>
                </c:pt>
                <c:pt idx="9">
                  <c:v>0.23100000000000001</c:v>
                </c:pt>
                <c:pt idx="10">
                  <c:v>0.52100000000000002</c:v>
                </c:pt>
                <c:pt idx="11">
                  <c:v>1.1399999999999999</c:v>
                </c:pt>
                <c:pt idx="12">
                  <c:v>1.98</c:v>
                </c:pt>
              </c:numCache>
            </c:numRef>
          </c:xVal>
          <c:yVal>
            <c:numRef>
              <c:f>TPCalibEq500!$S$28:$S$40</c:f>
              <c:numCache>
                <c:formatCode>0.0</c:formatCode>
                <c:ptCount val="13"/>
                <c:pt idx="0">
                  <c:v>0</c:v>
                </c:pt>
                <c:pt idx="1">
                  <c:v>12</c:v>
                </c:pt>
                <c:pt idx="2">
                  <c:v>50</c:v>
                </c:pt>
                <c:pt idx="3">
                  <c:v>200</c:v>
                </c:pt>
                <c:pt idx="4">
                  <c:v>500</c:v>
                </c:pt>
                <c:pt idx="5">
                  <c:v>0</c:v>
                </c:pt>
                <c:pt idx="6">
                  <c:v>5</c:v>
                </c:pt>
                <c:pt idx="7">
                  <c:v>15</c:v>
                </c:pt>
                <c:pt idx="8">
                  <c:v>20</c:v>
                </c:pt>
                <c:pt idx="9">
                  <c:v>75</c:v>
                </c:pt>
                <c:pt idx="10">
                  <c:v>150</c:v>
                </c:pt>
                <c:pt idx="11">
                  <c:v>300</c:v>
                </c:pt>
                <c:pt idx="12">
                  <c:v>500</c:v>
                </c:pt>
              </c:numCache>
            </c:numRef>
          </c:yVal>
          <c:smooth val="0"/>
          <c:extLst>
            <c:ext xmlns:c16="http://schemas.microsoft.com/office/drawing/2014/chart" uri="{C3380CC4-5D6E-409C-BE32-E72D297353CC}">
              <c16:uniqueId val="{00000001-68A3-4E73-80C1-59491986A1B6}"/>
            </c:ext>
          </c:extLst>
        </c:ser>
        <c:dLbls>
          <c:showLegendKey val="0"/>
          <c:showVal val="0"/>
          <c:showCatName val="0"/>
          <c:showSerName val="0"/>
          <c:showPercent val="0"/>
          <c:showBubbleSize val="0"/>
        </c:dLbls>
        <c:axId val="310343936"/>
        <c:axId val="310358016"/>
      </c:scatterChart>
      <c:valAx>
        <c:axId val="31034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8016"/>
        <c:crosses val="autoZero"/>
        <c:crossBetween val="midCat"/>
      </c:valAx>
      <c:valAx>
        <c:axId val="31035801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4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31923563401663"/>
          <c:y val="0.18476894226950968"/>
          <c:w val="0.80147026710228053"/>
          <c:h val="0.65880101925042378"/>
        </c:manualLayout>
      </c:layout>
      <c:scatterChart>
        <c:scatterStyle val="lineMarker"/>
        <c:varyColors val="0"/>
        <c:ser>
          <c:idx val="0"/>
          <c:order val="0"/>
          <c:tx>
            <c:strRef>
              <c:f>TPCalibEq500!$U$41</c:f>
              <c:strCache>
                <c:ptCount val="1"/>
                <c:pt idx="0">
                  <c:v>2/4/2025</c:v>
                </c:pt>
              </c:strCache>
            </c:strRef>
          </c:tx>
          <c:spPr>
            <a:ln w="19050">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7.2020339832104943E-2"/>
                  <c:y val="-2.078309730000327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TPCalibEq500!$O$41:$O$53</c:f>
              <c:numCache>
                <c:formatCode>General</c:formatCode>
                <c:ptCount val="13"/>
                <c:pt idx="0">
                  <c:v>1.7399999999999999E-2</c:v>
                </c:pt>
                <c:pt idx="1">
                  <c:v>4.4600000000000001E-2</c:v>
                </c:pt>
                <c:pt idx="2">
                  <c:v>0.16200000000000001</c:v>
                </c:pt>
                <c:pt idx="3">
                  <c:v>0.80900000000000005</c:v>
                </c:pt>
                <c:pt idx="4">
                  <c:v>2.29</c:v>
                </c:pt>
                <c:pt idx="5">
                  <c:v>2.87E-2</c:v>
                </c:pt>
                <c:pt idx="6">
                  <c:v>4.6899999999999997E-2</c:v>
                </c:pt>
                <c:pt idx="7">
                  <c:v>6.9900000000000004E-2</c:v>
                </c:pt>
                <c:pt idx="8">
                  <c:v>8.5199999999999998E-2</c:v>
                </c:pt>
                <c:pt idx="9">
                  <c:v>0.29099999999999998</c:v>
                </c:pt>
                <c:pt idx="10">
                  <c:v>0.60799999999999998</c:v>
                </c:pt>
                <c:pt idx="11">
                  <c:v>1.37</c:v>
                </c:pt>
                <c:pt idx="12">
                  <c:v>2.37</c:v>
                </c:pt>
              </c:numCache>
            </c:numRef>
          </c:xVal>
          <c:yVal>
            <c:numRef>
              <c:f>TPCalibEq500!$S$41:$S$53</c:f>
              <c:numCache>
                <c:formatCode>0.0</c:formatCode>
                <c:ptCount val="13"/>
                <c:pt idx="0">
                  <c:v>0</c:v>
                </c:pt>
                <c:pt idx="1">
                  <c:v>12</c:v>
                </c:pt>
                <c:pt idx="2">
                  <c:v>50</c:v>
                </c:pt>
                <c:pt idx="3">
                  <c:v>200</c:v>
                </c:pt>
                <c:pt idx="4">
                  <c:v>500</c:v>
                </c:pt>
                <c:pt idx="5">
                  <c:v>0</c:v>
                </c:pt>
                <c:pt idx="6">
                  <c:v>5</c:v>
                </c:pt>
                <c:pt idx="7">
                  <c:v>15</c:v>
                </c:pt>
                <c:pt idx="8">
                  <c:v>20</c:v>
                </c:pt>
                <c:pt idx="9">
                  <c:v>75</c:v>
                </c:pt>
                <c:pt idx="10">
                  <c:v>150</c:v>
                </c:pt>
                <c:pt idx="11">
                  <c:v>300</c:v>
                </c:pt>
                <c:pt idx="12">
                  <c:v>500</c:v>
                </c:pt>
              </c:numCache>
            </c:numRef>
          </c:yVal>
          <c:smooth val="0"/>
          <c:extLst>
            <c:ext xmlns:c16="http://schemas.microsoft.com/office/drawing/2014/chart" uri="{C3380CC4-5D6E-409C-BE32-E72D297353CC}">
              <c16:uniqueId val="{00000001-59CB-424E-95C9-0B18E60CA87B}"/>
            </c:ext>
          </c:extLst>
        </c:ser>
        <c:dLbls>
          <c:showLegendKey val="0"/>
          <c:showVal val="0"/>
          <c:showCatName val="0"/>
          <c:showSerName val="0"/>
          <c:showPercent val="0"/>
          <c:showBubbleSize val="0"/>
        </c:dLbls>
        <c:axId val="310343936"/>
        <c:axId val="310358016"/>
      </c:scatterChart>
      <c:valAx>
        <c:axId val="31034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8016"/>
        <c:crosses val="autoZero"/>
        <c:crossBetween val="midCat"/>
      </c:valAx>
      <c:valAx>
        <c:axId val="31035801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4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31923563401663"/>
          <c:y val="0.18476894226950968"/>
          <c:w val="0.80147026710228053"/>
          <c:h val="0.65880101925042378"/>
        </c:manualLayout>
      </c:layout>
      <c:scatterChart>
        <c:scatterStyle val="lineMarker"/>
        <c:varyColors val="0"/>
        <c:ser>
          <c:idx val="0"/>
          <c:order val="0"/>
          <c:tx>
            <c:strRef>
              <c:f>TPCalibEq500!$U$54</c:f>
              <c:strCache>
                <c:ptCount val="1"/>
                <c:pt idx="0">
                  <c:v>2/11/2025</c:v>
                </c:pt>
              </c:strCache>
            </c:strRef>
          </c:tx>
          <c:spPr>
            <a:ln w="19050">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7.2020339832104943E-2"/>
                  <c:y val="-2.078309730000327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TPCalibEq500!$O$54:$O$66</c:f>
              <c:numCache>
                <c:formatCode>General</c:formatCode>
                <c:ptCount val="13"/>
                <c:pt idx="0">
                  <c:v>5.1299999999999998E-2</c:v>
                </c:pt>
                <c:pt idx="1">
                  <c:v>6.08E-2</c:v>
                </c:pt>
                <c:pt idx="2">
                  <c:v>0.19800000000000001</c:v>
                </c:pt>
                <c:pt idx="3">
                  <c:v>0.79</c:v>
                </c:pt>
                <c:pt idx="4">
                  <c:v>2.0699999999999998</c:v>
                </c:pt>
                <c:pt idx="5">
                  <c:v>4.9599999999999998E-2</c:v>
                </c:pt>
                <c:pt idx="6">
                  <c:v>7.0099999999999996E-2</c:v>
                </c:pt>
                <c:pt idx="7">
                  <c:v>7.4999999999999997E-2</c:v>
                </c:pt>
                <c:pt idx="8">
                  <c:v>8.48E-2</c:v>
                </c:pt>
                <c:pt idx="9">
                  <c:v>0.29099999999999998</c:v>
                </c:pt>
                <c:pt idx="10">
                  <c:v>0.57899999999999996</c:v>
                </c:pt>
                <c:pt idx="11">
                  <c:v>1.22</c:v>
                </c:pt>
                <c:pt idx="12">
                  <c:v>2.08</c:v>
                </c:pt>
              </c:numCache>
            </c:numRef>
          </c:xVal>
          <c:yVal>
            <c:numRef>
              <c:f>TPCalibEq500!$S$54:$S$66</c:f>
              <c:numCache>
                <c:formatCode>0.0</c:formatCode>
                <c:ptCount val="13"/>
                <c:pt idx="0">
                  <c:v>0</c:v>
                </c:pt>
                <c:pt idx="1">
                  <c:v>12</c:v>
                </c:pt>
                <c:pt idx="2">
                  <c:v>50</c:v>
                </c:pt>
                <c:pt idx="3">
                  <c:v>200</c:v>
                </c:pt>
                <c:pt idx="4">
                  <c:v>500</c:v>
                </c:pt>
                <c:pt idx="5">
                  <c:v>0</c:v>
                </c:pt>
                <c:pt idx="6">
                  <c:v>5</c:v>
                </c:pt>
                <c:pt idx="7">
                  <c:v>15</c:v>
                </c:pt>
                <c:pt idx="8">
                  <c:v>20</c:v>
                </c:pt>
                <c:pt idx="9">
                  <c:v>75</c:v>
                </c:pt>
                <c:pt idx="10">
                  <c:v>150</c:v>
                </c:pt>
                <c:pt idx="11">
                  <c:v>300</c:v>
                </c:pt>
                <c:pt idx="12">
                  <c:v>500</c:v>
                </c:pt>
              </c:numCache>
            </c:numRef>
          </c:yVal>
          <c:smooth val="0"/>
          <c:extLst>
            <c:ext xmlns:c16="http://schemas.microsoft.com/office/drawing/2014/chart" uri="{C3380CC4-5D6E-409C-BE32-E72D297353CC}">
              <c16:uniqueId val="{00000001-6569-4EEB-9B27-4969E000002C}"/>
            </c:ext>
          </c:extLst>
        </c:ser>
        <c:dLbls>
          <c:showLegendKey val="0"/>
          <c:showVal val="0"/>
          <c:showCatName val="0"/>
          <c:showSerName val="0"/>
          <c:showPercent val="0"/>
          <c:showBubbleSize val="0"/>
        </c:dLbls>
        <c:axId val="310343936"/>
        <c:axId val="310358016"/>
      </c:scatterChart>
      <c:valAx>
        <c:axId val="31034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8016"/>
        <c:crosses val="autoZero"/>
        <c:crossBetween val="midCat"/>
      </c:valAx>
      <c:valAx>
        <c:axId val="31035801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4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31923563401663"/>
          <c:y val="0.18476894226950968"/>
          <c:w val="0.80147026710228053"/>
          <c:h val="0.65880101925042378"/>
        </c:manualLayout>
      </c:layout>
      <c:scatterChart>
        <c:scatterStyle val="lineMarker"/>
        <c:varyColors val="0"/>
        <c:ser>
          <c:idx val="0"/>
          <c:order val="0"/>
          <c:tx>
            <c:strRef>
              <c:f>TPCalibEq500!$U$67</c:f>
              <c:strCache>
                <c:ptCount val="1"/>
                <c:pt idx="0">
                  <c:v>2/20/2025</c:v>
                </c:pt>
              </c:strCache>
            </c:strRef>
          </c:tx>
          <c:spPr>
            <a:ln w="19050">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14126786289349832"/>
                  <c:y val="-1.966778063929028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TPCalibEq500!$O$67:$O$78</c:f>
              <c:numCache>
                <c:formatCode>General</c:formatCode>
                <c:ptCount val="12"/>
                <c:pt idx="0">
                  <c:v>2.7199999999999998E-2</c:v>
                </c:pt>
                <c:pt idx="1">
                  <c:v>5.5599999999999997E-2</c:v>
                </c:pt>
                <c:pt idx="2">
                  <c:v>0.25800000000000001</c:v>
                </c:pt>
                <c:pt idx="3">
                  <c:v>0.93200000000000005</c:v>
                </c:pt>
                <c:pt idx="4">
                  <c:v>2.23</c:v>
                </c:pt>
                <c:pt idx="5">
                  <c:v>3.0599999999999999E-2</c:v>
                </c:pt>
                <c:pt idx="6">
                  <c:v>3.2899999999999999E-2</c:v>
                </c:pt>
                <c:pt idx="7">
                  <c:v>6.6600000000000006E-2</c:v>
                </c:pt>
                <c:pt idx="8">
                  <c:v>9.0800000000000006E-2</c:v>
                </c:pt>
                <c:pt idx="9">
                  <c:v>0.28199999999999997</c:v>
                </c:pt>
                <c:pt idx="10">
                  <c:v>0.58899999999999997</c:v>
                </c:pt>
                <c:pt idx="11">
                  <c:v>3.4</c:v>
                </c:pt>
              </c:numCache>
            </c:numRef>
          </c:xVal>
          <c:yVal>
            <c:numRef>
              <c:f>TPCalibEq500!$S$67:$S$78</c:f>
              <c:numCache>
                <c:formatCode>0.0</c:formatCode>
                <c:ptCount val="12"/>
                <c:pt idx="0">
                  <c:v>0</c:v>
                </c:pt>
                <c:pt idx="1">
                  <c:v>12</c:v>
                </c:pt>
                <c:pt idx="2">
                  <c:v>50</c:v>
                </c:pt>
                <c:pt idx="3">
                  <c:v>200</c:v>
                </c:pt>
                <c:pt idx="4">
                  <c:v>500</c:v>
                </c:pt>
                <c:pt idx="5">
                  <c:v>0</c:v>
                </c:pt>
                <c:pt idx="6">
                  <c:v>5</c:v>
                </c:pt>
                <c:pt idx="7">
                  <c:v>15</c:v>
                </c:pt>
                <c:pt idx="8">
                  <c:v>20</c:v>
                </c:pt>
                <c:pt idx="9">
                  <c:v>75</c:v>
                </c:pt>
                <c:pt idx="10">
                  <c:v>150</c:v>
                </c:pt>
                <c:pt idx="11">
                  <c:v>500</c:v>
                </c:pt>
              </c:numCache>
            </c:numRef>
          </c:yVal>
          <c:smooth val="0"/>
          <c:extLst>
            <c:ext xmlns:c16="http://schemas.microsoft.com/office/drawing/2014/chart" uri="{C3380CC4-5D6E-409C-BE32-E72D297353CC}">
              <c16:uniqueId val="{00000001-7FAF-4F05-ACFB-3A56CF9EE1DB}"/>
            </c:ext>
          </c:extLst>
        </c:ser>
        <c:dLbls>
          <c:showLegendKey val="0"/>
          <c:showVal val="0"/>
          <c:showCatName val="0"/>
          <c:showSerName val="0"/>
          <c:showPercent val="0"/>
          <c:showBubbleSize val="0"/>
        </c:dLbls>
        <c:axId val="310343936"/>
        <c:axId val="310358016"/>
      </c:scatterChart>
      <c:valAx>
        <c:axId val="31034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8016"/>
        <c:crosses val="autoZero"/>
        <c:crossBetween val="midCat"/>
      </c:valAx>
      <c:valAx>
        <c:axId val="31035801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4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31923563401663"/>
          <c:y val="0.18476894226950968"/>
          <c:w val="0.80147026710228053"/>
          <c:h val="0.65880101925042378"/>
        </c:manualLayout>
      </c:layout>
      <c:scatterChart>
        <c:scatterStyle val="lineMarker"/>
        <c:varyColors val="0"/>
        <c:ser>
          <c:idx val="0"/>
          <c:order val="0"/>
          <c:tx>
            <c:strRef>
              <c:f>TPCalibEqFull!$U$2</c:f>
              <c:strCache>
                <c:ptCount val="1"/>
                <c:pt idx="0">
                  <c:v>1/22/2025</c:v>
                </c:pt>
              </c:strCache>
            </c:strRef>
          </c:tx>
          <c:spPr>
            <a:ln w="19050">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7.2020339832104943E-2"/>
                  <c:y val="-2.078309730000327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TPCalibEqFull!$O$2:$O$17</c:f>
              <c:numCache>
                <c:formatCode>General</c:formatCode>
                <c:ptCount val="16"/>
                <c:pt idx="0">
                  <c:v>1.8599999999999998E-2</c:v>
                </c:pt>
                <c:pt idx="1">
                  <c:v>5.33E-2</c:v>
                </c:pt>
                <c:pt idx="2">
                  <c:v>0.19900000000000001</c:v>
                </c:pt>
                <c:pt idx="3">
                  <c:v>0.91900000000000004</c:v>
                </c:pt>
                <c:pt idx="4">
                  <c:v>2.35</c:v>
                </c:pt>
                <c:pt idx="5">
                  <c:v>4.88</c:v>
                </c:pt>
                <c:pt idx="6">
                  <c:v>7.31</c:v>
                </c:pt>
                <c:pt idx="7">
                  <c:v>9.6199999999999992</c:v>
                </c:pt>
                <c:pt idx="8">
                  <c:v>2.92E-2</c:v>
                </c:pt>
                <c:pt idx="9">
                  <c:v>4.6399999999999997E-2</c:v>
                </c:pt>
                <c:pt idx="10">
                  <c:v>6.4000000000000001E-2</c:v>
                </c:pt>
                <c:pt idx="11">
                  <c:v>7.85E-2</c:v>
                </c:pt>
                <c:pt idx="12">
                  <c:v>0.28899999999999998</c:v>
                </c:pt>
                <c:pt idx="13">
                  <c:v>0.627</c:v>
                </c:pt>
                <c:pt idx="14">
                  <c:v>1.31</c:v>
                </c:pt>
                <c:pt idx="15">
                  <c:v>2.41</c:v>
                </c:pt>
              </c:numCache>
            </c:numRef>
          </c:xVal>
          <c:yVal>
            <c:numRef>
              <c:f>TPCalibEqFull!$S$2:$S$17</c:f>
              <c:numCache>
                <c:formatCode>0.0</c:formatCode>
                <c:ptCount val="16"/>
                <c:pt idx="0">
                  <c:v>0</c:v>
                </c:pt>
                <c:pt idx="1">
                  <c:v>12</c:v>
                </c:pt>
                <c:pt idx="2">
                  <c:v>50</c:v>
                </c:pt>
                <c:pt idx="3">
                  <c:v>200</c:v>
                </c:pt>
                <c:pt idx="4">
                  <c:v>500</c:v>
                </c:pt>
                <c:pt idx="5">
                  <c:v>1000</c:v>
                </c:pt>
                <c:pt idx="6">
                  <c:v>1500</c:v>
                </c:pt>
                <c:pt idx="7">
                  <c:v>2000</c:v>
                </c:pt>
                <c:pt idx="8">
                  <c:v>0</c:v>
                </c:pt>
                <c:pt idx="9">
                  <c:v>5</c:v>
                </c:pt>
                <c:pt idx="10">
                  <c:v>15</c:v>
                </c:pt>
                <c:pt idx="11">
                  <c:v>20</c:v>
                </c:pt>
                <c:pt idx="12">
                  <c:v>75</c:v>
                </c:pt>
                <c:pt idx="13">
                  <c:v>150</c:v>
                </c:pt>
                <c:pt idx="14">
                  <c:v>300</c:v>
                </c:pt>
                <c:pt idx="15">
                  <c:v>500</c:v>
                </c:pt>
              </c:numCache>
            </c:numRef>
          </c:yVal>
          <c:smooth val="0"/>
          <c:extLst>
            <c:ext xmlns:c16="http://schemas.microsoft.com/office/drawing/2014/chart" uri="{C3380CC4-5D6E-409C-BE32-E72D297353CC}">
              <c16:uniqueId val="{00000001-68DC-486B-B5AA-2724D9DFE890}"/>
            </c:ext>
          </c:extLst>
        </c:ser>
        <c:dLbls>
          <c:showLegendKey val="0"/>
          <c:showVal val="0"/>
          <c:showCatName val="0"/>
          <c:showSerName val="0"/>
          <c:showPercent val="0"/>
          <c:showBubbleSize val="0"/>
        </c:dLbls>
        <c:axId val="310343936"/>
        <c:axId val="310358016"/>
      </c:scatterChart>
      <c:valAx>
        <c:axId val="31034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8016"/>
        <c:crosses val="autoZero"/>
        <c:crossBetween val="midCat"/>
      </c:valAx>
      <c:valAx>
        <c:axId val="31035801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4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31923563401663"/>
          <c:y val="0.18476894226950968"/>
          <c:w val="0.80147026710228053"/>
          <c:h val="0.65880101925042378"/>
        </c:manualLayout>
      </c:layout>
      <c:scatterChart>
        <c:scatterStyle val="lineMarker"/>
        <c:varyColors val="0"/>
        <c:ser>
          <c:idx val="0"/>
          <c:order val="0"/>
          <c:tx>
            <c:strRef>
              <c:f>TPCalibEqFull!$U$18</c:f>
              <c:strCache>
                <c:ptCount val="1"/>
                <c:pt idx="0">
                  <c:v>1/24/2025</c:v>
                </c:pt>
              </c:strCache>
            </c:strRef>
          </c:tx>
          <c:spPr>
            <a:ln w="19050">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7.2020339832104943E-2"/>
                  <c:y val="-2.078309730000327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TPCalibEqFull!$O$18:$O$33</c:f>
              <c:numCache>
                <c:formatCode>General</c:formatCode>
                <c:ptCount val="16"/>
                <c:pt idx="0">
                  <c:v>-8.0000000000000002E-3</c:v>
                </c:pt>
                <c:pt idx="1">
                  <c:v>4.3499999999999997E-2</c:v>
                </c:pt>
                <c:pt idx="2">
                  <c:v>0.19800000000000001</c:v>
                </c:pt>
                <c:pt idx="3">
                  <c:v>0.91200000000000003</c:v>
                </c:pt>
                <c:pt idx="4">
                  <c:v>2.2999999999999998</c:v>
                </c:pt>
                <c:pt idx="5">
                  <c:v>4.8600000000000003</c:v>
                </c:pt>
                <c:pt idx="6">
                  <c:v>7.43</c:v>
                </c:pt>
                <c:pt idx="7">
                  <c:v>9.99</c:v>
                </c:pt>
                <c:pt idx="8">
                  <c:v>2.4E-2</c:v>
                </c:pt>
                <c:pt idx="9">
                  <c:v>4.4999999999999998E-2</c:v>
                </c:pt>
                <c:pt idx="10">
                  <c:v>8.3299999999999999E-2</c:v>
                </c:pt>
                <c:pt idx="11">
                  <c:v>7.9899999999999999E-2</c:v>
                </c:pt>
                <c:pt idx="12">
                  <c:v>0.30199999999999999</c:v>
                </c:pt>
                <c:pt idx="13">
                  <c:v>0.64800000000000002</c:v>
                </c:pt>
                <c:pt idx="14">
                  <c:v>1.39</c:v>
                </c:pt>
                <c:pt idx="15">
                  <c:v>2.4</c:v>
                </c:pt>
              </c:numCache>
            </c:numRef>
          </c:xVal>
          <c:yVal>
            <c:numRef>
              <c:f>TPCalibEqFull!$S$18:$S$33</c:f>
              <c:numCache>
                <c:formatCode>0.0</c:formatCode>
                <c:ptCount val="16"/>
                <c:pt idx="0">
                  <c:v>0</c:v>
                </c:pt>
                <c:pt idx="1">
                  <c:v>12</c:v>
                </c:pt>
                <c:pt idx="2">
                  <c:v>50</c:v>
                </c:pt>
                <c:pt idx="3">
                  <c:v>200</c:v>
                </c:pt>
                <c:pt idx="4">
                  <c:v>500</c:v>
                </c:pt>
                <c:pt idx="5">
                  <c:v>1000</c:v>
                </c:pt>
                <c:pt idx="6">
                  <c:v>1500</c:v>
                </c:pt>
                <c:pt idx="7">
                  <c:v>2000</c:v>
                </c:pt>
                <c:pt idx="8">
                  <c:v>0</c:v>
                </c:pt>
                <c:pt idx="9">
                  <c:v>5</c:v>
                </c:pt>
                <c:pt idx="10">
                  <c:v>15</c:v>
                </c:pt>
                <c:pt idx="11">
                  <c:v>20</c:v>
                </c:pt>
                <c:pt idx="12">
                  <c:v>75</c:v>
                </c:pt>
                <c:pt idx="13">
                  <c:v>150</c:v>
                </c:pt>
                <c:pt idx="14">
                  <c:v>300</c:v>
                </c:pt>
                <c:pt idx="15">
                  <c:v>500</c:v>
                </c:pt>
              </c:numCache>
            </c:numRef>
          </c:yVal>
          <c:smooth val="0"/>
          <c:extLst>
            <c:ext xmlns:c16="http://schemas.microsoft.com/office/drawing/2014/chart" uri="{C3380CC4-5D6E-409C-BE32-E72D297353CC}">
              <c16:uniqueId val="{00000001-8734-4B54-930E-225C30F05AD3}"/>
            </c:ext>
          </c:extLst>
        </c:ser>
        <c:dLbls>
          <c:showLegendKey val="0"/>
          <c:showVal val="0"/>
          <c:showCatName val="0"/>
          <c:showSerName val="0"/>
          <c:showPercent val="0"/>
          <c:showBubbleSize val="0"/>
        </c:dLbls>
        <c:axId val="310343936"/>
        <c:axId val="310358016"/>
      </c:scatterChart>
      <c:valAx>
        <c:axId val="31034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8016"/>
        <c:crosses val="autoZero"/>
        <c:crossBetween val="midCat"/>
      </c:valAx>
      <c:valAx>
        <c:axId val="31035801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4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31923563401663"/>
          <c:y val="0.18476894226950968"/>
          <c:w val="0.80147026710228053"/>
          <c:h val="0.65880101925042378"/>
        </c:manualLayout>
      </c:layout>
      <c:scatterChart>
        <c:scatterStyle val="lineMarker"/>
        <c:varyColors val="0"/>
        <c:ser>
          <c:idx val="0"/>
          <c:order val="0"/>
          <c:tx>
            <c:strRef>
              <c:f>TPCalibEqFull!$U$34</c:f>
              <c:strCache>
                <c:ptCount val="1"/>
                <c:pt idx="0">
                  <c:v>1/29/2025</c:v>
                </c:pt>
              </c:strCache>
            </c:strRef>
          </c:tx>
          <c:spPr>
            <a:ln w="19050">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7.2020339832104943E-2"/>
                  <c:y val="-2.078309730000327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TPCalibEqFull!$O$34:$O$49</c:f>
              <c:numCache>
                <c:formatCode>General</c:formatCode>
                <c:ptCount val="16"/>
                <c:pt idx="0">
                  <c:v>7.5100000000000002E-3</c:v>
                </c:pt>
                <c:pt idx="1">
                  <c:v>3.8600000000000002E-2</c:v>
                </c:pt>
                <c:pt idx="2">
                  <c:v>0.13700000000000001</c:v>
                </c:pt>
                <c:pt idx="3">
                  <c:v>0.73099999999999998</c:v>
                </c:pt>
                <c:pt idx="4">
                  <c:v>1.93</c:v>
                </c:pt>
                <c:pt idx="5">
                  <c:v>3.99</c:v>
                </c:pt>
                <c:pt idx="6">
                  <c:v>6.15</c:v>
                </c:pt>
                <c:pt idx="7">
                  <c:v>8.1</c:v>
                </c:pt>
                <c:pt idx="8">
                  <c:v>2.23E-2</c:v>
                </c:pt>
                <c:pt idx="9">
                  <c:v>3.7900000000000003E-2</c:v>
                </c:pt>
                <c:pt idx="10">
                  <c:v>5.62E-2</c:v>
                </c:pt>
                <c:pt idx="11">
                  <c:v>6.4100000000000004E-2</c:v>
                </c:pt>
                <c:pt idx="12">
                  <c:v>0.23100000000000001</c:v>
                </c:pt>
                <c:pt idx="13">
                  <c:v>0.52100000000000002</c:v>
                </c:pt>
                <c:pt idx="14">
                  <c:v>1.1399999999999999</c:v>
                </c:pt>
                <c:pt idx="15">
                  <c:v>1.98</c:v>
                </c:pt>
              </c:numCache>
            </c:numRef>
          </c:xVal>
          <c:yVal>
            <c:numRef>
              <c:f>TPCalibEqFull!$S$34:$S$49</c:f>
              <c:numCache>
                <c:formatCode>0.0</c:formatCode>
                <c:ptCount val="16"/>
                <c:pt idx="0">
                  <c:v>0</c:v>
                </c:pt>
                <c:pt idx="1">
                  <c:v>12</c:v>
                </c:pt>
                <c:pt idx="2">
                  <c:v>50</c:v>
                </c:pt>
                <c:pt idx="3">
                  <c:v>200</c:v>
                </c:pt>
                <c:pt idx="4">
                  <c:v>500</c:v>
                </c:pt>
                <c:pt idx="5">
                  <c:v>1000</c:v>
                </c:pt>
                <c:pt idx="6">
                  <c:v>1500</c:v>
                </c:pt>
                <c:pt idx="7">
                  <c:v>2000</c:v>
                </c:pt>
                <c:pt idx="8">
                  <c:v>0</c:v>
                </c:pt>
                <c:pt idx="9">
                  <c:v>5</c:v>
                </c:pt>
                <c:pt idx="10">
                  <c:v>15</c:v>
                </c:pt>
                <c:pt idx="11">
                  <c:v>20</c:v>
                </c:pt>
                <c:pt idx="12">
                  <c:v>75</c:v>
                </c:pt>
                <c:pt idx="13">
                  <c:v>150</c:v>
                </c:pt>
                <c:pt idx="14">
                  <c:v>300</c:v>
                </c:pt>
                <c:pt idx="15">
                  <c:v>500</c:v>
                </c:pt>
              </c:numCache>
            </c:numRef>
          </c:yVal>
          <c:smooth val="0"/>
          <c:extLst>
            <c:ext xmlns:c16="http://schemas.microsoft.com/office/drawing/2014/chart" uri="{C3380CC4-5D6E-409C-BE32-E72D297353CC}">
              <c16:uniqueId val="{00000001-922C-4FBD-BFBD-EFA443AE3010}"/>
            </c:ext>
          </c:extLst>
        </c:ser>
        <c:dLbls>
          <c:showLegendKey val="0"/>
          <c:showVal val="0"/>
          <c:showCatName val="0"/>
          <c:showSerName val="0"/>
          <c:showPercent val="0"/>
          <c:showBubbleSize val="0"/>
        </c:dLbls>
        <c:axId val="310343936"/>
        <c:axId val="310358016"/>
      </c:scatterChart>
      <c:valAx>
        <c:axId val="31034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8016"/>
        <c:crosses val="autoZero"/>
        <c:crossBetween val="midCat"/>
      </c:valAx>
      <c:valAx>
        <c:axId val="31035801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4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31923563401663"/>
          <c:y val="0.18476894226950968"/>
          <c:w val="0.80147026710228053"/>
          <c:h val="0.65880101925042378"/>
        </c:manualLayout>
      </c:layout>
      <c:scatterChart>
        <c:scatterStyle val="lineMarker"/>
        <c:varyColors val="0"/>
        <c:ser>
          <c:idx val="0"/>
          <c:order val="0"/>
          <c:tx>
            <c:strRef>
              <c:f>TPCalibEqFull!$U$50</c:f>
              <c:strCache>
                <c:ptCount val="1"/>
                <c:pt idx="0">
                  <c:v>2/4/2025</c:v>
                </c:pt>
              </c:strCache>
            </c:strRef>
          </c:tx>
          <c:spPr>
            <a:ln w="19050">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7.2020339832104943E-2"/>
                  <c:y val="-2.078309730000327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TPCalibEqFull!$O$50:$O$65</c:f>
              <c:numCache>
                <c:formatCode>General</c:formatCode>
                <c:ptCount val="16"/>
                <c:pt idx="0">
                  <c:v>1.7399999999999999E-2</c:v>
                </c:pt>
                <c:pt idx="1">
                  <c:v>4.4600000000000001E-2</c:v>
                </c:pt>
                <c:pt idx="2">
                  <c:v>0.16200000000000001</c:v>
                </c:pt>
                <c:pt idx="3">
                  <c:v>0.80900000000000005</c:v>
                </c:pt>
                <c:pt idx="4">
                  <c:v>2.29</c:v>
                </c:pt>
                <c:pt idx="5">
                  <c:v>4.75</c:v>
                </c:pt>
                <c:pt idx="6">
                  <c:v>7.19</c:v>
                </c:pt>
                <c:pt idx="7">
                  <c:v>9.73</c:v>
                </c:pt>
                <c:pt idx="8">
                  <c:v>2.87E-2</c:v>
                </c:pt>
                <c:pt idx="9">
                  <c:v>4.6899999999999997E-2</c:v>
                </c:pt>
                <c:pt idx="10">
                  <c:v>6.9900000000000004E-2</c:v>
                </c:pt>
                <c:pt idx="11">
                  <c:v>8.5199999999999998E-2</c:v>
                </c:pt>
                <c:pt idx="12">
                  <c:v>0.29099999999999998</c:v>
                </c:pt>
                <c:pt idx="13">
                  <c:v>0.60799999999999998</c:v>
                </c:pt>
                <c:pt idx="14">
                  <c:v>1.37</c:v>
                </c:pt>
                <c:pt idx="15">
                  <c:v>2.37</c:v>
                </c:pt>
              </c:numCache>
            </c:numRef>
          </c:xVal>
          <c:yVal>
            <c:numRef>
              <c:f>TPCalibEqFull!$S$50:$S$65</c:f>
              <c:numCache>
                <c:formatCode>0.0</c:formatCode>
                <c:ptCount val="16"/>
                <c:pt idx="0">
                  <c:v>0</c:v>
                </c:pt>
                <c:pt idx="1">
                  <c:v>12</c:v>
                </c:pt>
                <c:pt idx="2">
                  <c:v>50</c:v>
                </c:pt>
                <c:pt idx="3">
                  <c:v>200</c:v>
                </c:pt>
                <c:pt idx="4">
                  <c:v>500</c:v>
                </c:pt>
                <c:pt idx="5">
                  <c:v>1000</c:v>
                </c:pt>
                <c:pt idx="6">
                  <c:v>1500</c:v>
                </c:pt>
                <c:pt idx="7">
                  <c:v>2000</c:v>
                </c:pt>
                <c:pt idx="8">
                  <c:v>0</c:v>
                </c:pt>
                <c:pt idx="9">
                  <c:v>5</c:v>
                </c:pt>
                <c:pt idx="10">
                  <c:v>15</c:v>
                </c:pt>
                <c:pt idx="11">
                  <c:v>20</c:v>
                </c:pt>
                <c:pt idx="12">
                  <c:v>75</c:v>
                </c:pt>
                <c:pt idx="13">
                  <c:v>150</c:v>
                </c:pt>
                <c:pt idx="14">
                  <c:v>300</c:v>
                </c:pt>
                <c:pt idx="15">
                  <c:v>500</c:v>
                </c:pt>
              </c:numCache>
            </c:numRef>
          </c:yVal>
          <c:smooth val="0"/>
          <c:extLst>
            <c:ext xmlns:c16="http://schemas.microsoft.com/office/drawing/2014/chart" uri="{C3380CC4-5D6E-409C-BE32-E72D297353CC}">
              <c16:uniqueId val="{00000001-8BCA-4A7F-989B-92A4E5C29848}"/>
            </c:ext>
          </c:extLst>
        </c:ser>
        <c:dLbls>
          <c:showLegendKey val="0"/>
          <c:showVal val="0"/>
          <c:showCatName val="0"/>
          <c:showSerName val="0"/>
          <c:showPercent val="0"/>
          <c:showBubbleSize val="0"/>
        </c:dLbls>
        <c:axId val="310343936"/>
        <c:axId val="310358016"/>
      </c:scatterChart>
      <c:valAx>
        <c:axId val="31034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8016"/>
        <c:crosses val="autoZero"/>
        <c:crossBetween val="midCat"/>
      </c:valAx>
      <c:valAx>
        <c:axId val="31035801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4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31923563401663"/>
          <c:y val="0.18476894226950968"/>
          <c:w val="0.80147026710228053"/>
          <c:h val="0.65880101925042378"/>
        </c:manualLayout>
      </c:layout>
      <c:scatterChart>
        <c:scatterStyle val="lineMarker"/>
        <c:varyColors val="0"/>
        <c:ser>
          <c:idx val="0"/>
          <c:order val="0"/>
          <c:tx>
            <c:strRef>
              <c:f>TPCalibEqFull!$U$66</c:f>
              <c:strCache>
                <c:ptCount val="1"/>
                <c:pt idx="0">
                  <c:v>2/11/2025</c:v>
                </c:pt>
              </c:strCache>
            </c:strRef>
          </c:tx>
          <c:spPr>
            <a:ln w="19050">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7.2020339832104943E-2"/>
                  <c:y val="-2.078309730000327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TPCalibEqFull!$O$66:$O$81</c:f>
              <c:numCache>
                <c:formatCode>General</c:formatCode>
                <c:ptCount val="16"/>
                <c:pt idx="0">
                  <c:v>5.1299999999999998E-2</c:v>
                </c:pt>
                <c:pt idx="1">
                  <c:v>6.08E-2</c:v>
                </c:pt>
                <c:pt idx="2">
                  <c:v>0.19800000000000001</c:v>
                </c:pt>
                <c:pt idx="3">
                  <c:v>0.79</c:v>
                </c:pt>
                <c:pt idx="4">
                  <c:v>2.0699999999999998</c:v>
                </c:pt>
                <c:pt idx="5">
                  <c:v>4.1100000000000003</c:v>
                </c:pt>
                <c:pt idx="6">
                  <c:v>6.31</c:v>
                </c:pt>
                <c:pt idx="7">
                  <c:v>8.2100000000000009</c:v>
                </c:pt>
                <c:pt idx="8">
                  <c:v>4.9599999999999998E-2</c:v>
                </c:pt>
                <c:pt idx="9">
                  <c:v>7.0099999999999996E-2</c:v>
                </c:pt>
                <c:pt idx="10">
                  <c:v>7.4999999999999997E-2</c:v>
                </c:pt>
                <c:pt idx="11">
                  <c:v>8.48E-2</c:v>
                </c:pt>
                <c:pt idx="12">
                  <c:v>0.29099999999999998</c:v>
                </c:pt>
                <c:pt idx="13">
                  <c:v>0.57899999999999996</c:v>
                </c:pt>
                <c:pt idx="14">
                  <c:v>1.22</c:v>
                </c:pt>
                <c:pt idx="15">
                  <c:v>2.08</c:v>
                </c:pt>
              </c:numCache>
            </c:numRef>
          </c:xVal>
          <c:yVal>
            <c:numRef>
              <c:f>TPCalibEqFull!$S$66:$S$81</c:f>
              <c:numCache>
                <c:formatCode>0.0</c:formatCode>
                <c:ptCount val="16"/>
                <c:pt idx="0">
                  <c:v>0</c:v>
                </c:pt>
                <c:pt idx="1">
                  <c:v>12</c:v>
                </c:pt>
                <c:pt idx="2">
                  <c:v>50</c:v>
                </c:pt>
                <c:pt idx="3">
                  <c:v>200</c:v>
                </c:pt>
                <c:pt idx="4">
                  <c:v>500</c:v>
                </c:pt>
                <c:pt idx="5">
                  <c:v>1000</c:v>
                </c:pt>
                <c:pt idx="6">
                  <c:v>1500</c:v>
                </c:pt>
                <c:pt idx="7">
                  <c:v>2000</c:v>
                </c:pt>
                <c:pt idx="8">
                  <c:v>0</c:v>
                </c:pt>
                <c:pt idx="9">
                  <c:v>5</c:v>
                </c:pt>
                <c:pt idx="10">
                  <c:v>15</c:v>
                </c:pt>
                <c:pt idx="11">
                  <c:v>20</c:v>
                </c:pt>
                <c:pt idx="12">
                  <c:v>75</c:v>
                </c:pt>
                <c:pt idx="13">
                  <c:v>150</c:v>
                </c:pt>
                <c:pt idx="14">
                  <c:v>300</c:v>
                </c:pt>
                <c:pt idx="15">
                  <c:v>500</c:v>
                </c:pt>
              </c:numCache>
            </c:numRef>
          </c:yVal>
          <c:smooth val="0"/>
          <c:extLst>
            <c:ext xmlns:c16="http://schemas.microsoft.com/office/drawing/2014/chart" uri="{C3380CC4-5D6E-409C-BE32-E72D297353CC}">
              <c16:uniqueId val="{00000001-F6F9-4D2F-8CB3-DA521EC543BD}"/>
            </c:ext>
          </c:extLst>
        </c:ser>
        <c:dLbls>
          <c:showLegendKey val="0"/>
          <c:showVal val="0"/>
          <c:showCatName val="0"/>
          <c:showSerName val="0"/>
          <c:showPercent val="0"/>
          <c:showBubbleSize val="0"/>
        </c:dLbls>
        <c:axId val="310343936"/>
        <c:axId val="310358016"/>
      </c:scatterChart>
      <c:valAx>
        <c:axId val="31034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8016"/>
        <c:crosses val="autoZero"/>
        <c:crossBetween val="midCat"/>
      </c:valAx>
      <c:valAx>
        <c:axId val="31035801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4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31923563401663"/>
          <c:y val="0.18476894226950968"/>
          <c:w val="0.80147026710228053"/>
          <c:h val="0.65880101925042378"/>
        </c:manualLayout>
      </c:layout>
      <c:scatterChart>
        <c:scatterStyle val="lineMarker"/>
        <c:varyColors val="0"/>
        <c:ser>
          <c:idx val="0"/>
          <c:order val="0"/>
          <c:tx>
            <c:strRef>
              <c:f>TPCalibEqFull!$U$82</c:f>
              <c:strCache>
                <c:ptCount val="1"/>
                <c:pt idx="0">
                  <c:v>2/20/2025</c:v>
                </c:pt>
              </c:strCache>
            </c:strRef>
          </c:tx>
          <c:spPr>
            <a:ln w="19050">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7.2020339832104943E-2"/>
                  <c:y val="-2.078309730000327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TPCalibEqFull!$O$82:$O$96</c:f>
              <c:numCache>
                <c:formatCode>General</c:formatCode>
                <c:ptCount val="15"/>
                <c:pt idx="0">
                  <c:v>2.7199999999999998E-2</c:v>
                </c:pt>
                <c:pt idx="1">
                  <c:v>5.5599999999999997E-2</c:v>
                </c:pt>
                <c:pt idx="2">
                  <c:v>0.25800000000000001</c:v>
                </c:pt>
                <c:pt idx="3">
                  <c:v>0.93200000000000005</c:v>
                </c:pt>
                <c:pt idx="4">
                  <c:v>2.23</c:v>
                </c:pt>
                <c:pt idx="5">
                  <c:v>4.5999999999999996</c:v>
                </c:pt>
                <c:pt idx="6">
                  <c:v>6.78</c:v>
                </c:pt>
                <c:pt idx="7">
                  <c:v>9.3800000000000008</c:v>
                </c:pt>
                <c:pt idx="8">
                  <c:v>3.0599999999999999E-2</c:v>
                </c:pt>
                <c:pt idx="9">
                  <c:v>3.2899999999999999E-2</c:v>
                </c:pt>
                <c:pt idx="10">
                  <c:v>6.6600000000000006E-2</c:v>
                </c:pt>
                <c:pt idx="11">
                  <c:v>9.0800000000000006E-2</c:v>
                </c:pt>
                <c:pt idx="12">
                  <c:v>0.28199999999999997</c:v>
                </c:pt>
                <c:pt idx="13">
                  <c:v>0.58899999999999997</c:v>
                </c:pt>
                <c:pt idx="14">
                  <c:v>3.4</c:v>
                </c:pt>
              </c:numCache>
            </c:numRef>
          </c:xVal>
          <c:yVal>
            <c:numRef>
              <c:f>TPCalibEqFull!$S$82:$S$96</c:f>
              <c:numCache>
                <c:formatCode>0.0</c:formatCode>
                <c:ptCount val="15"/>
                <c:pt idx="0">
                  <c:v>0</c:v>
                </c:pt>
                <c:pt idx="1">
                  <c:v>12</c:v>
                </c:pt>
                <c:pt idx="2">
                  <c:v>50</c:v>
                </c:pt>
                <c:pt idx="3">
                  <c:v>200</c:v>
                </c:pt>
                <c:pt idx="4">
                  <c:v>500</c:v>
                </c:pt>
                <c:pt idx="5">
                  <c:v>1000</c:v>
                </c:pt>
                <c:pt idx="6">
                  <c:v>1500</c:v>
                </c:pt>
                <c:pt idx="7">
                  <c:v>2000</c:v>
                </c:pt>
                <c:pt idx="8">
                  <c:v>0</c:v>
                </c:pt>
                <c:pt idx="9">
                  <c:v>5</c:v>
                </c:pt>
                <c:pt idx="10">
                  <c:v>15</c:v>
                </c:pt>
                <c:pt idx="11">
                  <c:v>20</c:v>
                </c:pt>
                <c:pt idx="12">
                  <c:v>75</c:v>
                </c:pt>
                <c:pt idx="13">
                  <c:v>150</c:v>
                </c:pt>
                <c:pt idx="14">
                  <c:v>500</c:v>
                </c:pt>
              </c:numCache>
            </c:numRef>
          </c:yVal>
          <c:smooth val="0"/>
          <c:extLst>
            <c:ext xmlns:c16="http://schemas.microsoft.com/office/drawing/2014/chart" uri="{C3380CC4-5D6E-409C-BE32-E72D297353CC}">
              <c16:uniqueId val="{00000001-C686-4853-AAEB-30231BCDC3B8}"/>
            </c:ext>
          </c:extLst>
        </c:ser>
        <c:dLbls>
          <c:showLegendKey val="0"/>
          <c:showVal val="0"/>
          <c:showCatName val="0"/>
          <c:showSerName val="0"/>
          <c:showPercent val="0"/>
          <c:showBubbleSize val="0"/>
        </c:dLbls>
        <c:axId val="310343936"/>
        <c:axId val="310358016"/>
      </c:scatterChart>
      <c:valAx>
        <c:axId val="31034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8016"/>
        <c:crosses val="autoZero"/>
        <c:crossBetween val="midCat"/>
      </c:valAx>
      <c:valAx>
        <c:axId val="31035801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4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864325540286043"/>
          <c:y val="0.43720933147806901"/>
          <c:w val="0.80147026710228053"/>
          <c:h val="0.65880101925042378"/>
        </c:manualLayout>
      </c:layout>
      <c:scatterChart>
        <c:scatterStyle val="lineMarker"/>
        <c:varyColors val="0"/>
        <c:ser>
          <c:idx val="0"/>
          <c:order val="0"/>
          <c:tx>
            <c:strRef>
              <c:f>TNCalibEq2500!$U$2</c:f>
              <c:strCache>
                <c:ptCount val="1"/>
                <c:pt idx="0">
                  <c:v>1/22/2025</c:v>
                </c:pt>
              </c:strCache>
            </c:strRef>
          </c:tx>
          <c:spPr>
            <a:ln w="19050">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7.2020339832104943E-2"/>
                  <c:y val="-2.078309730000327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TNCalibEq2500!$O$2:$O$7</c:f>
              <c:numCache>
                <c:formatCode>General</c:formatCode>
                <c:ptCount val="6"/>
                <c:pt idx="0">
                  <c:v>0.47</c:v>
                </c:pt>
                <c:pt idx="1">
                  <c:v>0.78600000000000003</c:v>
                </c:pt>
                <c:pt idx="2">
                  <c:v>1.1299999999999999</c:v>
                </c:pt>
                <c:pt idx="3">
                  <c:v>3.59</c:v>
                </c:pt>
                <c:pt idx="4">
                  <c:v>7.66</c:v>
                </c:pt>
                <c:pt idx="5">
                  <c:v>14.5</c:v>
                </c:pt>
              </c:numCache>
            </c:numRef>
          </c:xVal>
          <c:yVal>
            <c:numRef>
              <c:f>TNCalibEq2500!$S$2:$S$7</c:f>
              <c:numCache>
                <c:formatCode>0.0</c:formatCode>
                <c:ptCount val="6"/>
                <c:pt idx="0">
                  <c:v>0</c:v>
                </c:pt>
                <c:pt idx="1">
                  <c:v>30</c:v>
                </c:pt>
                <c:pt idx="2">
                  <c:v>125</c:v>
                </c:pt>
                <c:pt idx="3">
                  <c:v>500</c:v>
                </c:pt>
                <c:pt idx="4">
                  <c:v>1250</c:v>
                </c:pt>
                <c:pt idx="5">
                  <c:v>2500</c:v>
                </c:pt>
              </c:numCache>
            </c:numRef>
          </c:yVal>
          <c:smooth val="0"/>
          <c:extLst>
            <c:ext xmlns:c16="http://schemas.microsoft.com/office/drawing/2014/chart" uri="{C3380CC4-5D6E-409C-BE32-E72D297353CC}">
              <c16:uniqueId val="{00000001-A29C-48CB-AEAB-75CA94D53FAE}"/>
            </c:ext>
          </c:extLst>
        </c:ser>
        <c:dLbls>
          <c:showLegendKey val="0"/>
          <c:showVal val="0"/>
          <c:showCatName val="0"/>
          <c:showSerName val="0"/>
          <c:showPercent val="0"/>
          <c:showBubbleSize val="0"/>
        </c:dLbls>
        <c:axId val="310343936"/>
        <c:axId val="310358016"/>
      </c:scatterChart>
      <c:valAx>
        <c:axId val="31034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8016"/>
        <c:crosses val="autoZero"/>
        <c:crossBetween val="midCat"/>
      </c:valAx>
      <c:valAx>
        <c:axId val="31035801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4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864325540286043"/>
          <c:y val="0.43720933147806901"/>
          <c:w val="0.80147026710228053"/>
          <c:h val="0.65880101925042378"/>
        </c:manualLayout>
      </c:layout>
      <c:scatterChart>
        <c:scatterStyle val="lineMarker"/>
        <c:varyColors val="0"/>
        <c:ser>
          <c:idx val="0"/>
          <c:order val="0"/>
          <c:tx>
            <c:strRef>
              <c:f>TNCalibEq2500!$U$8</c:f>
              <c:strCache>
                <c:ptCount val="1"/>
                <c:pt idx="0">
                  <c:v>1/24/2025</c:v>
                </c:pt>
              </c:strCache>
            </c:strRef>
          </c:tx>
          <c:spPr>
            <a:ln w="19050">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7.2020339832104943E-2"/>
                  <c:y val="-2.078309730000327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TNCalibEq2500!$O$8:$O$13</c:f>
              <c:numCache>
                <c:formatCode>General</c:formatCode>
                <c:ptCount val="6"/>
                <c:pt idx="0">
                  <c:v>0.39500000000000002</c:v>
                </c:pt>
                <c:pt idx="1">
                  <c:v>0.51900000000000002</c:v>
                </c:pt>
                <c:pt idx="2">
                  <c:v>0.97799999999999998</c:v>
                </c:pt>
                <c:pt idx="3">
                  <c:v>2.78</c:v>
                </c:pt>
                <c:pt idx="4">
                  <c:v>6.11</c:v>
                </c:pt>
                <c:pt idx="5">
                  <c:v>11.2</c:v>
                </c:pt>
              </c:numCache>
            </c:numRef>
          </c:xVal>
          <c:yVal>
            <c:numRef>
              <c:f>TNCalibEq2500!$S$8:$S$13</c:f>
              <c:numCache>
                <c:formatCode>0.0</c:formatCode>
                <c:ptCount val="6"/>
                <c:pt idx="0">
                  <c:v>0</c:v>
                </c:pt>
                <c:pt idx="1">
                  <c:v>30</c:v>
                </c:pt>
                <c:pt idx="2">
                  <c:v>125</c:v>
                </c:pt>
                <c:pt idx="3">
                  <c:v>500</c:v>
                </c:pt>
                <c:pt idx="4">
                  <c:v>1250</c:v>
                </c:pt>
                <c:pt idx="5">
                  <c:v>2500</c:v>
                </c:pt>
              </c:numCache>
            </c:numRef>
          </c:yVal>
          <c:smooth val="0"/>
          <c:extLst>
            <c:ext xmlns:c16="http://schemas.microsoft.com/office/drawing/2014/chart" uri="{C3380CC4-5D6E-409C-BE32-E72D297353CC}">
              <c16:uniqueId val="{00000001-1F55-45CF-B069-5F86A71AA6A5}"/>
            </c:ext>
          </c:extLst>
        </c:ser>
        <c:dLbls>
          <c:showLegendKey val="0"/>
          <c:showVal val="0"/>
          <c:showCatName val="0"/>
          <c:showSerName val="0"/>
          <c:showPercent val="0"/>
          <c:showBubbleSize val="0"/>
        </c:dLbls>
        <c:axId val="310343936"/>
        <c:axId val="310358016"/>
      </c:scatterChart>
      <c:valAx>
        <c:axId val="31034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8016"/>
        <c:crosses val="autoZero"/>
        <c:crossBetween val="midCat"/>
      </c:valAx>
      <c:valAx>
        <c:axId val="31035801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4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864325540286043"/>
          <c:y val="0.43720933147806901"/>
          <c:w val="0.80147026710228053"/>
          <c:h val="0.65880101925042378"/>
        </c:manualLayout>
      </c:layout>
      <c:scatterChart>
        <c:scatterStyle val="lineMarker"/>
        <c:varyColors val="0"/>
        <c:ser>
          <c:idx val="0"/>
          <c:order val="0"/>
          <c:tx>
            <c:strRef>
              <c:f>TNCalibEq2500!$U$14</c:f>
              <c:strCache>
                <c:ptCount val="1"/>
                <c:pt idx="0">
                  <c:v>1/29/2025</c:v>
                </c:pt>
              </c:strCache>
            </c:strRef>
          </c:tx>
          <c:spPr>
            <a:ln w="19050">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7.2020339832104943E-2"/>
                  <c:y val="-2.078309730000327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TNCalibEq2500!$O$14:$O$19</c:f>
              <c:numCache>
                <c:formatCode>General</c:formatCode>
                <c:ptCount val="6"/>
                <c:pt idx="0">
                  <c:v>0.42899999999999999</c:v>
                </c:pt>
                <c:pt idx="1">
                  <c:v>0.49399999999999999</c:v>
                </c:pt>
                <c:pt idx="2">
                  <c:v>0.94599999999999995</c:v>
                </c:pt>
                <c:pt idx="3">
                  <c:v>2.5499999999999998</c:v>
                </c:pt>
                <c:pt idx="4">
                  <c:v>5.42</c:v>
                </c:pt>
                <c:pt idx="5">
                  <c:v>10.6</c:v>
                </c:pt>
              </c:numCache>
            </c:numRef>
          </c:xVal>
          <c:yVal>
            <c:numRef>
              <c:f>TNCalibEq2500!$S$14:$S$19</c:f>
              <c:numCache>
                <c:formatCode>0.0</c:formatCode>
                <c:ptCount val="6"/>
                <c:pt idx="0">
                  <c:v>0</c:v>
                </c:pt>
                <c:pt idx="1">
                  <c:v>30</c:v>
                </c:pt>
                <c:pt idx="2">
                  <c:v>125</c:v>
                </c:pt>
                <c:pt idx="3">
                  <c:v>500</c:v>
                </c:pt>
                <c:pt idx="4">
                  <c:v>1250</c:v>
                </c:pt>
                <c:pt idx="5">
                  <c:v>2500</c:v>
                </c:pt>
              </c:numCache>
            </c:numRef>
          </c:yVal>
          <c:smooth val="0"/>
          <c:extLst>
            <c:ext xmlns:c16="http://schemas.microsoft.com/office/drawing/2014/chart" uri="{C3380CC4-5D6E-409C-BE32-E72D297353CC}">
              <c16:uniqueId val="{00000001-C84F-4909-87FB-25CD33FDDD8F}"/>
            </c:ext>
          </c:extLst>
        </c:ser>
        <c:dLbls>
          <c:showLegendKey val="0"/>
          <c:showVal val="0"/>
          <c:showCatName val="0"/>
          <c:showSerName val="0"/>
          <c:showPercent val="0"/>
          <c:showBubbleSize val="0"/>
        </c:dLbls>
        <c:axId val="310343936"/>
        <c:axId val="310358016"/>
      </c:scatterChart>
      <c:valAx>
        <c:axId val="31034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8016"/>
        <c:crosses val="autoZero"/>
        <c:crossBetween val="midCat"/>
      </c:valAx>
      <c:valAx>
        <c:axId val="31035801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4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864325540286043"/>
          <c:y val="0.43720933147806901"/>
          <c:w val="0.80147026710228053"/>
          <c:h val="0.65880101925042378"/>
        </c:manualLayout>
      </c:layout>
      <c:scatterChart>
        <c:scatterStyle val="lineMarker"/>
        <c:varyColors val="0"/>
        <c:ser>
          <c:idx val="0"/>
          <c:order val="0"/>
          <c:tx>
            <c:strRef>
              <c:f>TNCalibEq2500!$U$20</c:f>
              <c:strCache>
                <c:ptCount val="1"/>
                <c:pt idx="0">
                  <c:v>2/5/2025</c:v>
                </c:pt>
              </c:strCache>
            </c:strRef>
          </c:tx>
          <c:spPr>
            <a:ln w="19050">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7.2020339832104943E-2"/>
                  <c:y val="-2.078309730000327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TNCalibEq2500!$O$20:$O$25</c:f>
              <c:numCache>
                <c:formatCode>General</c:formatCode>
                <c:ptCount val="6"/>
                <c:pt idx="0">
                  <c:v>0.65400000000000003</c:v>
                </c:pt>
                <c:pt idx="1">
                  <c:v>0.84199999999999997</c:v>
                </c:pt>
                <c:pt idx="2">
                  <c:v>1.27</c:v>
                </c:pt>
                <c:pt idx="3">
                  <c:v>3.69</c:v>
                </c:pt>
                <c:pt idx="4">
                  <c:v>7.59</c:v>
                </c:pt>
                <c:pt idx="5">
                  <c:v>14.7</c:v>
                </c:pt>
              </c:numCache>
            </c:numRef>
          </c:xVal>
          <c:yVal>
            <c:numRef>
              <c:f>TNCalibEq2500!$S$20:$S$25</c:f>
              <c:numCache>
                <c:formatCode>0.0</c:formatCode>
                <c:ptCount val="6"/>
                <c:pt idx="0">
                  <c:v>0</c:v>
                </c:pt>
                <c:pt idx="1">
                  <c:v>30</c:v>
                </c:pt>
                <c:pt idx="2">
                  <c:v>125</c:v>
                </c:pt>
                <c:pt idx="3">
                  <c:v>500</c:v>
                </c:pt>
                <c:pt idx="4">
                  <c:v>1250</c:v>
                </c:pt>
                <c:pt idx="5">
                  <c:v>2500</c:v>
                </c:pt>
              </c:numCache>
            </c:numRef>
          </c:yVal>
          <c:smooth val="0"/>
          <c:extLst>
            <c:ext xmlns:c16="http://schemas.microsoft.com/office/drawing/2014/chart" uri="{C3380CC4-5D6E-409C-BE32-E72D297353CC}">
              <c16:uniqueId val="{00000001-3314-44EE-9128-68828D5E058D}"/>
            </c:ext>
          </c:extLst>
        </c:ser>
        <c:dLbls>
          <c:showLegendKey val="0"/>
          <c:showVal val="0"/>
          <c:showCatName val="0"/>
          <c:showSerName val="0"/>
          <c:showPercent val="0"/>
          <c:showBubbleSize val="0"/>
        </c:dLbls>
        <c:axId val="310343936"/>
        <c:axId val="310358016"/>
      </c:scatterChart>
      <c:valAx>
        <c:axId val="31034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8016"/>
        <c:crosses val="autoZero"/>
        <c:crossBetween val="midCat"/>
      </c:valAx>
      <c:valAx>
        <c:axId val="31035801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4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864325540286043"/>
          <c:y val="0.43720933147806901"/>
          <c:w val="0.80147026710228053"/>
          <c:h val="0.65880101925042378"/>
        </c:manualLayout>
      </c:layout>
      <c:scatterChart>
        <c:scatterStyle val="lineMarker"/>
        <c:varyColors val="0"/>
        <c:ser>
          <c:idx val="0"/>
          <c:order val="0"/>
          <c:tx>
            <c:strRef>
              <c:f>TNCalibEq2500!$U$26</c:f>
              <c:strCache>
                <c:ptCount val="1"/>
                <c:pt idx="0">
                  <c:v>2/12/2025</c:v>
                </c:pt>
              </c:strCache>
            </c:strRef>
          </c:tx>
          <c:spPr>
            <a:ln w="19050">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7.2020339832104943E-2"/>
                  <c:y val="-2.078309730000327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TNCalibEq2500!$O$26:$O$31</c:f>
              <c:numCache>
                <c:formatCode>General</c:formatCode>
                <c:ptCount val="6"/>
                <c:pt idx="0">
                  <c:v>0.57699999999999996</c:v>
                </c:pt>
                <c:pt idx="1">
                  <c:v>0.63900000000000001</c:v>
                </c:pt>
                <c:pt idx="2">
                  <c:v>0.99199999999999999</c:v>
                </c:pt>
                <c:pt idx="3">
                  <c:v>2.72</c:v>
                </c:pt>
                <c:pt idx="4">
                  <c:v>5.7</c:v>
                </c:pt>
                <c:pt idx="5">
                  <c:v>10.9</c:v>
                </c:pt>
              </c:numCache>
            </c:numRef>
          </c:xVal>
          <c:yVal>
            <c:numRef>
              <c:f>TNCalibEq2500!$S$26:$S$31</c:f>
              <c:numCache>
                <c:formatCode>0.0</c:formatCode>
                <c:ptCount val="6"/>
                <c:pt idx="0">
                  <c:v>0</c:v>
                </c:pt>
                <c:pt idx="1">
                  <c:v>30</c:v>
                </c:pt>
                <c:pt idx="2">
                  <c:v>125</c:v>
                </c:pt>
                <c:pt idx="3">
                  <c:v>500</c:v>
                </c:pt>
                <c:pt idx="4">
                  <c:v>1250</c:v>
                </c:pt>
                <c:pt idx="5">
                  <c:v>2500</c:v>
                </c:pt>
              </c:numCache>
            </c:numRef>
          </c:yVal>
          <c:smooth val="0"/>
          <c:extLst>
            <c:ext xmlns:c16="http://schemas.microsoft.com/office/drawing/2014/chart" uri="{C3380CC4-5D6E-409C-BE32-E72D297353CC}">
              <c16:uniqueId val="{00000001-F288-4F1A-A30C-C4DB2B3D03D8}"/>
            </c:ext>
          </c:extLst>
        </c:ser>
        <c:dLbls>
          <c:showLegendKey val="0"/>
          <c:showVal val="0"/>
          <c:showCatName val="0"/>
          <c:showSerName val="0"/>
          <c:showPercent val="0"/>
          <c:showBubbleSize val="0"/>
        </c:dLbls>
        <c:axId val="310343936"/>
        <c:axId val="310358016"/>
      </c:scatterChart>
      <c:valAx>
        <c:axId val="31034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8016"/>
        <c:crosses val="autoZero"/>
        <c:crossBetween val="midCat"/>
      </c:valAx>
      <c:valAx>
        <c:axId val="31035801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4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manualLayout>
          <c:layoutTarget val="inner"/>
          <c:xMode val="edge"/>
          <c:yMode val="edge"/>
          <c:x val="0.13864325540286043"/>
          <c:y val="0.43720933147806901"/>
          <c:w val="0.80147026710228053"/>
          <c:h val="0.65880101925042378"/>
        </c:manualLayout>
      </c:layout>
      <c:scatterChart>
        <c:scatterStyle val="lineMarker"/>
        <c:varyColors val="0"/>
        <c:ser>
          <c:idx val="0"/>
          <c:order val="0"/>
          <c:tx>
            <c:strRef>
              <c:f>TNCalibEq2500!$U$32</c:f>
              <c:strCache>
                <c:ptCount val="1"/>
                <c:pt idx="0">
                  <c:v>3/3/2025</c:v>
                </c:pt>
              </c:strCache>
            </c:strRef>
          </c:tx>
          <c:spPr>
            <a:ln w="19050">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7.1394149249469005E-2"/>
                  <c:y val="0.1337266336608864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TNCalibEq2500!$O$32:$O$36</c:f>
              <c:numCache>
                <c:formatCode>General</c:formatCode>
                <c:ptCount val="5"/>
                <c:pt idx="0">
                  <c:v>0.78800000000000003</c:v>
                </c:pt>
                <c:pt idx="1">
                  <c:v>1.33</c:v>
                </c:pt>
                <c:pt idx="2">
                  <c:v>3.42</c:v>
                </c:pt>
                <c:pt idx="3">
                  <c:v>7.59</c:v>
                </c:pt>
                <c:pt idx="4">
                  <c:v>14.7</c:v>
                </c:pt>
              </c:numCache>
            </c:numRef>
          </c:xVal>
          <c:yVal>
            <c:numRef>
              <c:f>TNCalibEq2500!$S$32:$S$36</c:f>
              <c:numCache>
                <c:formatCode>0.0</c:formatCode>
                <c:ptCount val="5"/>
                <c:pt idx="0">
                  <c:v>30</c:v>
                </c:pt>
                <c:pt idx="1">
                  <c:v>125</c:v>
                </c:pt>
                <c:pt idx="2">
                  <c:v>500</c:v>
                </c:pt>
                <c:pt idx="3">
                  <c:v>1250</c:v>
                </c:pt>
                <c:pt idx="4">
                  <c:v>2500</c:v>
                </c:pt>
              </c:numCache>
            </c:numRef>
          </c:yVal>
          <c:smooth val="0"/>
          <c:extLst>
            <c:ext xmlns:c16="http://schemas.microsoft.com/office/drawing/2014/chart" uri="{C3380CC4-5D6E-409C-BE32-E72D297353CC}">
              <c16:uniqueId val="{00000001-728B-4C38-BE2A-14B45B71A617}"/>
            </c:ext>
          </c:extLst>
        </c:ser>
        <c:dLbls>
          <c:showLegendKey val="0"/>
          <c:showVal val="0"/>
          <c:showCatName val="0"/>
          <c:showSerName val="0"/>
          <c:showPercent val="0"/>
          <c:showBubbleSize val="0"/>
        </c:dLbls>
        <c:axId val="310343936"/>
        <c:axId val="310358016"/>
      </c:scatterChart>
      <c:valAx>
        <c:axId val="31034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8016"/>
        <c:crosses val="autoZero"/>
        <c:crossBetween val="midCat"/>
      </c:valAx>
      <c:valAx>
        <c:axId val="31035801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4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84893132319812"/>
          <c:y val="0.17077103958823348"/>
          <c:w val="0.80147026710228053"/>
          <c:h val="0.65880101925042378"/>
        </c:manualLayout>
      </c:layout>
      <c:scatterChart>
        <c:scatterStyle val="lineMarker"/>
        <c:varyColors val="0"/>
        <c:ser>
          <c:idx val="0"/>
          <c:order val="0"/>
          <c:tx>
            <c:strRef>
              <c:f>TNCalibEqFull!$U$2</c:f>
              <c:strCache>
                <c:ptCount val="1"/>
                <c:pt idx="0">
                  <c:v>1/22/2025</c:v>
                </c:pt>
              </c:strCache>
            </c:strRef>
          </c:tx>
          <c:spPr>
            <a:ln w="19050">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12096027303772958"/>
                  <c:y val="-4.582490933270572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TNCalibEqFull!$O$2:$O$9</c:f>
              <c:numCache>
                <c:formatCode>General</c:formatCode>
                <c:ptCount val="8"/>
                <c:pt idx="0">
                  <c:v>0.47</c:v>
                </c:pt>
                <c:pt idx="1">
                  <c:v>0.78600000000000003</c:v>
                </c:pt>
                <c:pt idx="2">
                  <c:v>1.1299999999999999</c:v>
                </c:pt>
                <c:pt idx="3">
                  <c:v>3.59</c:v>
                </c:pt>
                <c:pt idx="4">
                  <c:v>7.66</c:v>
                </c:pt>
                <c:pt idx="5">
                  <c:v>14.5</c:v>
                </c:pt>
                <c:pt idx="6">
                  <c:v>21.3</c:v>
                </c:pt>
                <c:pt idx="7">
                  <c:v>27.7</c:v>
                </c:pt>
              </c:numCache>
            </c:numRef>
          </c:xVal>
          <c:yVal>
            <c:numRef>
              <c:f>TNCalibEqFull!$S$2:$S$9</c:f>
              <c:numCache>
                <c:formatCode>0.0</c:formatCode>
                <c:ptCount val="8"/>
                <c:pt idx="0">
                  <c:v>0</c:v>
                </c:pt>
                <c:pt idx="1">
                  <c:v>30</c:v>
                </c:pt>
                <c:pt idx="2">
                  <c:v>125</c:v>
                </c:pt>
                <c:pt idx="3">
                  <c:v>500</c:v>
                </c:pt>
                <c:pt idx="4">
                  <c:v>1250</c:v>
                </c:pt>
                <c:pt idx="5">
                  <c:v>2500</c:v>
                </c:pt>
                <c:pt idx="6">
                  <c:v>3750</c:v>
                </c:pt>
                <c:pt idx="7">
                  <c:v>5000</c:v>
                </c:pt>
              </c:numCache>
            </c:numRef>
          </c:yVal>
          <c:smooth val="0"/>
          <c:extLst>
            <c:ext xmlns:c16="http://schemas.microsoft.com/office/drawing/2014/chart" uri="{C3380CC4-5D6E-409C-BE32-E72D297353CC}">
              <c16:uniqueId val="{00000001-2A81-4702-BF43-59BA32931162}"/>
            </c:ext>
          </c:extLst>
        </c:ser>
        <c:dLbls>
          <c:showLegendKey val="0"/>
          <c:showVal val="0"/>
          <c:showCatName val="0"/>
          <c:showSerName val="0"/>
          <c:showPercent val="0"/>
          <c:showBubbleSize val="0"/>
        </c:dLbls>
        <c:axId val="310343936"/>
        <c:axId val="310358016"/>
      </c:scatterChart>
      <c:valAx>
        <c:axId val="31034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8016"/>
        <c:crosses val="autoZero"/>
        <c:crossBetween val="midCat"/>
      </c:valAx>
      <c:valAx>
        <c:axId val="3103580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4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84893132319812"/>
          <c:y val="0.17077103958823348"/>
          <c:w val="0.80147026710228053"/>
          <c:h val="0.65880101925042378"/>
        </c:manualLayout>
      </c:layout>
      <c:scatterChart>
        <c:scatterStyle val="lineMarker"/>
        <c:varyColors val="0"/>
        <c:ser>
          <c:idx val="0"/>
          <c:order val="0"/>
          <c:tx>
            <c:strRef>
              <c:f>TNCalibEqFull!$U$10</c:f>
              <c:strCache>
                <c:ptCount val="1"/>
                <c:pt idx="0">
                  <c:v>1/24/2025</c:v>
                </c:pt>
              </c:strCache>
            </c:strRef>
          </c:tx>
          <c:spPr>
            <a:ln w="19050">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12096027303772958"/>
                  <c:y val="-4.582490933270572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TNCalibEqFull!$O$10:$O$17</c:f>
              <c:numCache>
                <c:formatCode>General</c:formatCode>
                <c:ptCount val="8"/>
                <c:pt idx="0">
                  <c:v>0.39500000000000002</c:v>
                </c:pt>
                <c:pt idx="1">
                  <c:v>0.51900000000000002</c:v>
                </c:pt>
                <c:pt idx="2">
                  <c:v>0.97799999999999998</c:v>
                </c:pt>
                <c:pt idx="3">
                  <c:v>2.78</c:v>
                </c:pt>
                <c:pt idx="4">
                  <c:v>6.11</c:v>
                </c:pt>
                <c:pt idx="5">
                  <c:v>11.2</c:v>
                </c:pt>
                <c:pt idx="6">
                  <c:v>17</c:v>
                </c:pt>
                <c:pt idx="7">
                  <c:v>22.5</c:v>
                </c:pt>
              </c:numCache>
            </c:numRef>
          </c:xVal>
          <c:yVal>
            <c:numRef>
              <c:f>TNCalibEqFull!$S$10:$S$17</c:f>
              <c:numCache>
                <c:formatCode>0.0</c:formatCode>
                <c:ptCount val="8"/>
                <c:pt idx="0">
                  <c:v>0</c:v>
                </c:pt>
                <c:pt idx="1">
                  <c:v>30</c:v>
                </c:pt>
                <c:pt idx="2">
                  <c:v>125</c:v>
                </c:pt>
                <c:pt idx="3">
                  <c:v>500</c:v>
                </c:pt>
                <c:pt idx="4">
                  <c:v>1250</c:v>
                </c:pt>
                <c:pt idx="5">
                  <c:v>2500</c:v>
                </c:pt>
                <c:pt idx="6">
                  <c:v>3750</c:v>
                </c:pt>
                <c:pt idx="7">
                  <c:v>5000</c:v>
                </c:pt>
              </c:numCache>
            </c:numRef>
          </c:yVal>
          <c:smooth val="0"/>
          <c:extLst>
            <c:ext xmlns:c16="http://schemas.microsoft.com/office/drawing/2014/chart" uri="{C3380CC4-5D6E-409C-BE32-E72D297353CC}">
              <c16:uniqueId val="{00000001-0B12-4ED3-BF60-565A6B8CA590}"/>
            </c:ext>
          </c:extLst>
        </c:ser>
        <c:dLbls>
          <c:showLegendKey val="0"/>
          <c:showVal val="0"/>
          <c:showCatName val="0"/>
          <c:showSerName val="0"/>
          <c:showPercent val="0"/>
          <c:showBubbleSize val="0"/>
        </c:dLbls>
        <c:axId val="310343936"/>
        <c:axId val="310358016"/>
      </c:scatterChart>
      <c:valAx>
        <c:axId val="31034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8016"/>
        <c:crosses val="autoZero"/>
        <c:crossBetween val="midCat"/>
      </c:valAx>
      <c:valAx>
        <c:axId val="3103580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4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84893132319812"/>
          <c:y val="0.17077103958823348"/>
          <c:w val="0.80147026710228053"/>
          <c:h val="0.65880101925042378"/>
        </c:manualLayout>
      </c:layout>
      <c:scatterChart>
        <c:scatterStyle val="lineMarker"/>
        <c:varyColors val="0"/>
        <c:ser>
          <c:idx val="0"/>
          <c:order val="0"/>
          <c:tx>
            <c:strRef>
              <c:f>TNCalibEqFull!$U$18</c:f>
              <c:strCache>
                <c:ptCount val="1"/>
                <c:pt idx="0">
                  <c:v>1/29/2025</c:v>
                </c:pt>
              </c:strCache>
            </c:strRef>
          </c:tx>
          <c:spPr>
            <a:ln w="19050">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12096027303772958"/>
                  <c:y val="-4.582490933270572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TNCalibEqFull!$O$18:$O$25</c:f>
              <c:numCache>
                <c:formatCode>General</c:formatCode>
                <c:ptCount val="8"/>
                <c:pt idx="0">
                  <c:v>0.42899999999999999</c:v>
                </c:pt>
                <c:pt idx="1">
                  <c:v>0.49399999999999999</c:v>
                </c:pt>
                <c:pt idx="2">
                  <c:v>0.94599999999999995</c:v>
                </c:pt>
                <c:pt idx="3">
                  <c:v>2.5499999999999998</c:v>
                </c:pt>
                <c:pt idx="4">
                  <c:v>5.42</c:v>
                </c:pt>
                <c:pt idx="5">
                  <c:v>10.6</c:v>
                </c:pt>
                <c:pt idx="6">
                  <c:v>15.3</c:v>
                </c:pt>
                <c:pt idx="7">
                  <c:v>20.7</c:v>
                </c:pt>
              </c:numCache>
            </c:numRef>
          </c:xVal>
          <c:yVal>
            <c:numRef>
              <c:f>TNCalibEqFull!$S$18:$S$25</c:f>
              <c:numCache>
                <c:formatCode>0.0</c:formatCode>
                <c:ptCount val="8"/>
                <c:pt idx="0">
                  <c:v>0</c:v>
                </c:pt>
                <c:pt idx="1">
                  <c:v>30</c:v>
                </c:pt>
                <c:pt idx="2">
                  <c:v>125</c:v>
                </c:pt>
                <c:pt idx="3">
                  <c:v>500</c:v>
                </c:pt>
                <c:pt idx="4">
                  <c:v>1250</c:v>
                </c:pt>
                <c:pt idx="5">
                  <c:v>2500</c:v>
                </c:pt>
                <c:pt idx="6">
                  <c:v>3750</c:v>
                </c:pt>
                <c:pt idx="7">
                  <c:v>5000</c:v>
                </c:pt>
              </c:numCache>
            </c:numRef>
          </c:yVal>
          <c:smooth val="0"/>
          <c:extLst>
            <c:ext xmlns:c16="http://schemas.microsoft.com/office/drawing/2014/chart" uri="{C3380CC4-5D6E-409C-BE32-E72D297353CC}">
              <c16:uniqueId val="{00000001-C81F-4ED9-86A7-2271E905ED82}"/>
            </c:ext>
          </c:extLst>
        </c:ser>
        <c:dLbls>
          <c:showLegendKey val="0"/>
          <c:showVal val="0"/>
          <c:showCatName val="0"/>
          <c:showSerName val="0"/>
          <c:showPercent val="0"/>
          <c:showBubbleSize val="0"/>
        </c:dLbls>
        <c:axId val="310343936"/>
        <c:axId val="310358016"/>
      </c:scatterChart>
      <c:valAx>
        <c:axId val="31034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8016"/>
        <c:crosses val="autoZero"/>
        <c:crossBetween val="midCat"/>
      </c:valAx>
      <c:valAx>
        <c:axId val="3103580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4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84893132319812"/>
          <c:y val="0.17077103958823348"/>
          <c:w val="0.80147026710228053"/>
          <c:h val="0.65880101925042378"/>
        </c:manualLayout>
      </c:layout>
      <c:scatterChart>
        <c:scatterStyle val="lineMarker"/>
        <c:varyColors val="0"/>
        <c:ser>
          <c:idx val="0"/>
          <c:order val="0"/>
          <c:tx>
            <c:strRef>
              <c:f>TNCalibEqFull!$U$26</c:f>
              <c:strCache>
                <c:ptCount val="1"/>
                <c:pt idx="0">
                  <c:v>2/5/2025</c:v>
                </c:pt>
              </c:strCache>
            </c:strRef>
          </c:tx>
          <c:spPr>
            <a:ln w="19050">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12096027303772958"/>
                  <c:y val="-4.582490933270572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TNCalibEqFull!$O$26:$O$33</c:f>
              <c:numCache>
                <c:formatCode>General</c:formatCode>
                <c:ptCount val="8"/>
                <c:pt idx="0">
                  <c:v>0.65400000000000003</c:v>
                </c:pt>
                <c:pt idx="1">
                  <c:v>0.84199999999999997</c:v>
                </c:pt>
                <c:pt idx="2">
                  <c:v>1.27</c:v>
                </c:pt>
                <c:pt idx="3">
                  <c:v>3.69</c:v>
                </c:pt>
                <c:pt idx="4">
                  <c:v>7.59</c:v>
                </c:pt>
                <c:pt idx="5">
                  <c:v>14.7</c:v>
                </c:pt>
                <c:pt idx="6">
                  <c:v>21.6</c:v>
                </c:pt>
                <c:pt idx="7">
                  <c:v>28.2</c:v>
                </c:pt>
              </c:numCache>
            </c:numRef>
          </c:xVal>
          <c:yVal>
            <c:numRef>
              <c:f>TNCalibEqFull!$S$26:$S$33</c:f>
              <c:numCache>
                <c:formatCode>0.0</c:formatCode>
                <c:ptCount val="8"/>
                <c:pt idx="0">
                  <c:v>0</c:v>
                </c:pt>
                <c:pt idx="1">
                  <c:v>30</c:v>
                </c:pt>
                <c:pt idx="2">
                  <c:v>125</c:v>
                </c:pt>
                <c:pt idx="3">
                  <c:v>500</c:v>
                </c:pt>
                <c:pt idx="4">
                  <c:v>1250</c:v>
                </c:pt>
                <c:pt idx="5">
                  <c:v>2500</c:v>
                </c:pt>
                <c:pt idx="6">
                  <c:v>3750</c:v>
                </c:pt>
                <c:pt idx="7">
                  <c:v>5000</c:v>
                </c:pt>
              </c:numCache>
            </c:numRef>
          </c:yVal>
          <c:smooth val="0"/>
          <c:extLst>
            <c:ext xmlns:c16="http://schemas.microsoft.com/office/drawing/2014/chart" uri="{C3380CC4-5D6E-409C-BE32-E72D297353CC}">
              <c16:uniqueId val="{00000001-DF6E-497A-A617-FF07D20310DE}"/>
            </c:ext>
          </c:extLst>
        </c:ser>
        <c:dLbls>
          <c:showLegendKey val="0"/>
          <c:showVal val="0"/>
          <c:showCatName val="0"/>
          <c:showSerName val="0"/>
          <c:showPercent val="0"/>
          <c:showBubbleSize val="0"/>
        </c:dLbls>
        <c:axId val="310343936"/>
        <c:axId val="310358016"/>
      </c:scatterChart>
      <c:valAx>
        <c:axId val="31034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8016"/>
        <c:crosses val="autoZero"/>
        <c:crossBetween val="midCat"/>
      </c:valAx>
      <c:valAx>
        <c:axId val="3103580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4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84893132319812"/>
          <c:y val="0.17077103958823348"/>
          <c:w val="0.80147026710228053"/>
          <c:h val="0.65880101925042378"/>
        </c:manualLayout>
      </c:layout>
      <c:scatterChart>
        <c:scatterStyle val="lineMarker"/>
        <c:varyColors val="0"/>
        <c:ser>
          <c:idx val="0"/>
          <c:order val="0"/>
          <c:tx>
            <c:strRef>
              <c:f>TNCalibEqFull!$U$34</c:f>
              <c:strCache>
                <c:ptCount val="1"/>
                <c:pt idx="0">
                  <c:v>2/12/2025</c:v>
                </c:pt>
              </c:strCache>
            </c:strRef>
          </c:tx>
          <c:spPr>
            <a:ln w="19050">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12096027303772958"/>
                  <c:y val="-4.582490933270572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TNCalibEqFull!$O$34:$O$41</c:f>
              <c:numCache>
                <c:formatCode>General</c:formatCode>
                <c:ptCount val="8"/>
                <c:pt idx="0">
                  <c:v>0.57699999999999996</c:v>
                </c:pt>
                <c:pt idx="1">
                  <c:v>0.63900000000000001</c:v>
                </c:pt>
                <c:pt idx="2">
                  <c:v>0.99199999999999999</c:v>
                </c:pt>
                <c:pt idx="3">
                  <c:v>2.72</c:v>
                </c:pt>
                <c:pt idx="4">
                  <c:v>5.7</c:v>
                </c:pt>
                <c:pt idx="5">
                  <c:v>10.9</c:v>
                </c:pt>
                <c:pt idx="6">
                  <c:v>16.7</c:v>
                </c:pt>
                <c:pt idx="7">
                  <c:v>21.5</c:v>
                </c:pt>
              </c:numCache>
            </c:numRef>
          </c:xVal>
          <c:yVal>
            <c:numRef>
              <c:f>TNCalibEqFull!$S$34:$S$41</c:f>
              <c:numCache>
                <c:formatCode>0.0</c:formatCode>
                <c:ptCount val="8"/>
                <c:pt idx="0">
                  <c:v>0</c:v>
                </c:pt>
                <c:pt idx="1">
                  <c:v>30</c:v>
                </c:pt>
                <c:pt idx="2">
                  <c:v>125</c:v>
                </c:pt>
                <c:pt idx="3">
                  <c:v>500</c:v>
                </c:pt>
                <c:pt idx="4">
                  <c:v>1250</c:v>
                </c:pt>
                <c:pt idx="5">
                  <c:v>2500</c:v>
                </c:pt>
                <c:pt idx="6">
                  <c:v>3750</c:v>
                </c:pt>
                <c:pt idx="7">
                  <c:v>5000</c:v>
                </c:pt>
              </c:numCache>
            </c:numRef>
          </c:yVal>
          <c:smooth val="0"/>
          <c:extLst>
            <c:ext xmlns:c16="http://schemas.microsoft.com/office/drawing/2014/chart" uri="{C3380CC4-5D6E-409C-BE32-E72D297353CC}">
              <c16:uniqueId val="{00000001-E4D6-4DC3-8C27-A62FDAD3061A}"/>
            </c:ext>
          </c:extLst>
        </c:ser>
        <c:dLbls>
          <c:showLegendKey val="0"/>
          <c:showVal val="0"/>
          <c:showCatName val="0"/>
          <c:showSerName val="0"/>
          <c:showPercent val="0"/>
          <c:showBubbleSize val="0"/>
        </c:dLbls>
        <c:axId val="310343936"/>
        <c:axId val="310358016"/>
      </c:scatterChart>
      <c:valAx>
        <c:axId val="31034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8016"/>
        <c:crosses val="autoZero"/>
        <c:crossBetween val="midCat"/>
      </c:valAx>
      <c:valAx>
        <c:axId val="3103580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4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manualLayout>
          <c:layoutTarget val="inner"/>
          <c:xMode val="edge"/>
          <c:yMode val="edge"/>
          <c:x val="0.14284893132319812"/>
          <c:y val="0.17077103958823348"/>
          <c:w val="0.80147026710228053"/>
          <c:h val="0.65880101925042378"/>
        </c:manualLayout>
      </c:layout>
      <c:scatterChart>
        <c:scatterStyle val="lineMarker"/>
        <c:varyColors val="0"/>
        <c:ser>
          <c:idx val="0"/>
          <c:order val="0"/>
          <c:tx>
            <c:strRef>
              <c:f>TNCalibEqFull!$U$42</c:f>
              <c:strCache>
                <c:ptCount val="1"/>
                <c:pt idx="0">
                  <c:v>3/3/2025</c:v>
                </c:pt>
              </c:strCache>
            </c:strRef>
          </c:tx>
          <c:spPr>
            <a:ln w="19050">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12096027303772958"/>
                  <c:y val="-4.582490933270572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TNCalibEqFull!$O$42:$O$48</c:f>
              <c:numCache>
                <c:formatCode>General</c:formatCode>
                <c:ptCount val="7"/>
                <c:pt idx="0">
                  <c:v>0.78800000000000003</c:v>
                </c:pt>
                <c:pt idx="1">
                  <c:v>1.33</c:v>
                </c:pt>
                <c:pt idx="2">
                  <c:v>3.42</c:v>
                </c:pt>
                <c:pt idx="3">
                  <c:v>7.59</c:v>
                </c:pt>
                <c:pt idx="4">
                  <c:v>14.7</c:v>
                </c:pt>
                <c:pt idx="5">
                  <c:v>21</c:v>
                </c:pt>
                <c:pt idx="6">
                  <c:v>28</c:v>
                </c:pt>
              </c:numCache>
            </c:numRef>
          </c:xVal>
          <c:yVal>
            <c:numRef>
              <c:f>TNCalibEqFull!$S$42:$S$48</c:f>
              <c:numCache>
                <c:formatCode>0.0</c:formatCode>
                <c:ptCount val="7"/>
                <c:pt idx="0">
                  <c:v>30</c:v>
                </c:pt>
                <c:pt idx="1">
                  <c:v>125</c:v>
                </c:pt>
                <c:pt idx="2">
                  <c:v>500</c:v>
                </c:pt>
                <c:pt idx="3">
                  <c:v>1250</c:v>
                </c:pt>
                <c:pt idx="4">
                  <c:v>2500</c:v>
                </c:pt>
                <c:pt idx="5">
                  <c:v>3750</c:v>
                </c:pt>
                <c:pt idx="6">
                  <c:v>5000</c:v>
                </c:pt>
              </c:numCache>
            </c:numRef>
          </c:yVal>
          <c:smooth val="0"/>
          <c:extLst>
            <c:ext xmlns:c16="http://schemas.microsoft.com/office/drawing/2014/chart" uri="{C3380CC4-5D6E-409C-BE32-E72D297353CC}">
              <c16:uniqueId val="{00000001-F2D7-4DA2-92D4-277DCEC30310}"/>
            </c:ext>
          </c:extLst>
        </c:ser>
        <c:dLbls>
          <c:showLegendKey val="0"/>
          <c:showVal val="0"/>
          <c:showCatName val="0"/>
          <c:showSerName val="0"/>
          <c:showPercent val="0"/>
          <c:showBubbleSize val="0"/>
        </c:dLbls>
        <c:axId val="310343936"/>
        <c:axId val="310358016"/>
      </c:scatterChart>
      <c:valAx>
        <c:axId val="31034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58016"/>
        <c:crosses val="autoZero"/>
        <c:crossBetween val="midCat"/>
      </c:valAx>
      <c:valAx>
        <c:axId val="3103580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439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chart" Target="../charts/chart29.xml"/><Relationship Id="rId5" Type="http://schemas.openxmlformats.org/officeDocument/2006/relationships/chart" Target="../charts/chart28.xml"/><Relationship Id="rId4"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32.xml"/><Relationship Id="rId2" Type="http://schemas.openxmlformats.org/officeDocument/2006/relationships/chart" Target="../charts/chart31.xml"/><Relationship Id="rId1" Type="http://schemas.openxmlformats.org/officeDocument/2006/relationships/chart" Target="../charts/chart30.xml"/><Relationship Id="rId6" Type="http://schemas.openxmlformats.org/officeDocument/2006/relationships/chart" Target="../charts/chart35.xml"/><Relationship Id="rId5" Type="http://schemas.openxmlformats.org/officeDocument/2006/relationships/chart" Target="../charts/chart34.xml"/><Relationship Id="rId4" Type="http://schemas.openxmlformats.org/officeDocument/2006/relationships/chart" Target="../charts/chart33.xml"/></Relationships>
</file>

<file path=xl/drawings/drawing1.xml><?xml version="1.0" encoding="utf-8"?>
<xdr:wsDr xmlns:xdr="http://schemas.openxmlformats.org/drawingml/2006/spreadsheetDrawing" xmlns:a="http://schemas.openxmlformats.org/drawingml/2006/main">
  <xdr:twoCellAnchor>
    <xdr:from>
      <xdr:col>23</xdr:col>
      <xdr:colOff>105834</xdr:colOff>
      <xdr:row>1</xdr:row>
      <xdr:rowOff>0</xdr:rowOff>
    </xdr:from>
    <xdr:to>
      <xdr:col>28</xdr:col>
      <xdr:colOff>261434</xdr:colOff>
      <xdr:row>8</xdr:row>
      <xdr:rowOff>8928</xdr:rowOff>
    </xdr:to>
    <xdr:graphicFrame macro="">
      <xdr:nvGraphicFramePr>
        <xdr:cNvPr id="51" name="Chart 50">
          <a:extLst>
            <a:ext uri="{FF2B5EF4-FFF2-40B4-BE49-F238E27FC236}">
              <a16:creationId xmlns:a16="http://schemas.microsoft.com/office/drawing/2014/main" id="{4014B043-F2D4-4A19-8D14-B2178B3C86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116417</xdr:colOff>
      <xdr:row>8</xdr:row>
      <xdr:rowOff>42333</xdr:rowOff>
    </xdr:from>
    <xdr:to>
      <xdr:col>28</xdr:col>
      <xdr:colOff>272017</xdr:colOff>
      <xdr:row>15</xdr:row>
      <xdr:rowOff>55071</xdr:rowOff>
    </xdr:to>
    <xdr:graphicFrame macro="">
      <xdr:nvGraphicFramePr>
        <xdr:cNvPr id="52" name="Chart 51">
          <a:extLst>
            <a:ext uri="{FF2B5EF4-FFF2-40B4-BE49-F238E27FC236}">
              <a16:creationId xmlns:a16="http://schemas.microsoft.com/office/drawing/2014/main" id="{90E44FFD-476A-4AB6-A197-BDA82F1BC7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110067</xdr:colOff>
      <xdr:row>15</xdr:row>
      <xdr:rowOff>101600</xdr:rowOff>
    </xdr:from>
    <xdr:to>
      <xdr:col>28</xdr:col>
      <xdr:colOff>265667</xdr:colOff>
      <xdr:row>22</xdr:row>
      <xdr:rowOff>114338</xdr:rowOff>
    </xdr:to>
    <xdr:graphicFrame macro="">
      <xdr:nvGraphicFramePr>
        <xdr:cNvPr id="53" name="Chart 52">
          <a:extLst>
            <a:ext uri="{FF2B5EF4-FFF2-40B4-BE49-F238E27FC236}">
              <a16:creationId xmlns:a16="http://schemas.microsoft.com/office/drawing/2014/main" id="{902C8DC2-9D00-4A4C-9877-1FBA3F931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287867</xdr:colOff>
      <xdr:row>11</xdr:row>
      <xdr:rowOff>76200</xdr:rowOff>
    </xdr:from>
    <xdr:to>
      <xdr:col>30</xdr:col>
      <xdr:colOff>2272267</xdr:colOff>
      <xdr:row>18</xdr:row>
      <xdr:rowOff>88938</xdr:rowOff>
    </xdr:to>
    <xdr:graphicFrame macro="">
      <xdr:nvGraphicFramePr>
        <xdr:cNvPr id="55" name="Chart 54">
          <a:extLst>
            <a:ext uri="{FF2B5EF4-FFF2-40B4-BE49-F238E27FC236}">
              <a16:creationId xmlns:a16="http://schemas.microsoft.com/office/drawing/2014/main" id="{8BDD00FF-8328-4BE2-906A-D6C23DF1F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59266</xdr:colOff>
      <xdr:row>23</xdr:row>
      <xdr:rowOff>59267</xdr:rowOff>
    </xdr:from>
    <xdr:to>
      <xdr:col>28</xdr:col>
      <xdr:colOff>214866</xdr:colOff>
      <xdr:row>30</xdr:row>
      <xdr:rowOff>72005</xdr:rowOff>
    </xdr:to>
    <xdr:graphicFrame macro="">
      <xdr:nvGraphicFramePr>
        <xdr:cNvPr id="2" name="Chart 1">
          <a:extLst>
            <a:ext uri="{FF2B5EF4-FFF2-40B4-BE49-F238E27FC236}">
              <a16:creationId xmlns:a16="http://schemas.microsoft.com/office/drawing/2014/main" id="{8549D7B6-CF87-4F16-84C6-CBED45F92B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317500</xdr:colOff>
      <xdr:row>20</xdr:row>
      <xdr:rowOff>169333</xdr:rowOff>
    </xdr:from>
    <xdr:to>
      <xdr:col>30</xdr:col>
      <xdr:colOff>2301900</xdr:colOff>
      <xdr:row>27</xdr:row>
      <xdr:rowOff>182071</xdr:rowOff>
    </xdr:to>
    <xdr:graphicFrame macro="">
      <xdr:nvGraphicFramePr>
        <xdr:cNvPr id="3" name="Chart 2">
          <a:extLst>
            <a:ext uri="{FF2B5EF4-FFF2-40B4-BE49-F238E27FC236}">
              <a16:creationId xmlns:a16="http://schemas.microsoft.com/office/drawing/2014/main" id="{49E8DA1C-47DB-4E35-A056-4A850D7C6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23</xdr:col>
      <xdr:colOff>64213</xdr:colOff>
      <xdr:row>1</xdr:row>
      <xdr:rowOff>21404</xdr:rowOff>
    </xdr:from>
    <xdr:to>
      <xdr:col>28</xdr:col>
      <xdr:colOff>233123</xdr:colOff>
      <xdr:row>8</xdr:row>
      <xdr:rowOff>8561</xdr:rowOff>
    </xdr:to>
    <xdr:graphicFrame macro="">
      <xdr:nvGraphicFramePr>
        <xdr:cNvPr id="50" name="Chart 49">
          <a:extLst>
            <a:ext uri="{FF2B5EF4-FFF2-40B4-BE49-F238E27FC236}">
              <a16:creationId xmlns:a16="http://schemas.microsoft.com/office/drawing/2014/main" id="{8A6296DF-5BA0-43A0-A85A-D0D7D9663E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53511</xdr:colOff>
      <xdr:row>8</xdr:row>
      <xdr:rowOff>0</xdr:rowOff>
    </xdr:from>
    <xdr:to>
      <xdr:col>28</xdr:col>
      <xdr:colOff>224326</xdr:colOff>
      <xdr:row>14</xdr:row>
      <xdr:rowOff>171001</xdr:rowOff>
    </xdr:to>
    <xdr:graphicFrame macro="">
      <xdr:nvGraphicFramePr>
        <xdr:cNvPr id="51" name="Chart 50">
          <a:extLst>
            <a:ext uri="{FF2B5EF4-FFF2-40B4-BE49-F238E27FC236}">
              <a16:creationId xmlns:a16="http://schemas.microsoft.com/office/drawing/2014/main" id="{229CF95A-2952-4B7B-82EE-9A93B01B2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42809</xdr:colOff>
      <xdr:row>15</xdr:row>
      <xdr:rowOff>25685</xdr:rowOff>
    </xdr:from>
    <xdr:to>
      <xdr:col>28</xdr:col>
      <xdr:colOff>213624</xdr:colOff>
      <xdr:row>22</xdr:row>
      <xdr:rowOff>16888</xdr:rowOff>
    </xdr:to>
    <xdr:graphicFrame macro="">
      <xdr:nvGraphicFramePr>
        <xdr:cNvPr id="52" name="Chart 51">
          <a:extLst>
            <a:ext uri="{FF2B5EF4-FFF2-40B4-BE49-F238E27FC236}">
              <a16:creationId xmlns:a16="http://schemas.microsoft.com/office/drawing/2014/main" id="{A2A61F18-14C8-499C-81F4-5971433992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34247</xdr:colOff>
      <xdr:row>22</xdr:row>
      <xdr:rowOff>42809</xdr:rowOff>
    </xdr:from>
    <xdr:to>
      <xdr:col>28</xdr:col>
      <xdr:colOff>205062</xdr:colOff>
      <xdr:row>29</xdr:row>
      <xdr:rowOff>34011</xdr:rowOff>
    </xdr:to>
    <xdr:graphicFrame macro="">
      <xdr:nvGraphicFramePr>
        <xdr:cNvPr id="55" name="Chart 54">
          <a:extLst>
            <a:ext uri="{FF2B5EF4-FFF2-40B4-BE49-F238E27FC236}">
              <a16:creationId xmlns:a16="http://schemas.microsoft.com/office/drawing/2014/main" id="{B965A4E8-B02F-4E79-B9BD-26F2DD3262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34247</xdr:colOff>
      <xdr:row>29</xdr:row>
      <xdr:rowOff>34247</xdr:rowOff>
    </xdr:from>
    <xdr:to>
      <xdr:col>28</xdr:col>
      <xdr:colOff>205062</xdr:colOff>
      <xdr:row>36</xdr:row>
      <xdr:rowOff>25450</xdr:rowOff>
    </xdr:to>
    <xdr:graphicFrame macro="">
      <xdr:nvGraphicFramePr>
        <xdr:cNvPr id="2" name="Chart 1">
          <a:extLst>
            <a:ext uri="{FF2B5EF4-FFF2-40B4-BE49-F238E27FC236}">
              <a16:creationId xmlns:a16="http://schemas.microsoft.com/office/drawing/2014/main" id="{269BCD04-F88C-4C99-9DDC-A548FAE75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23</xdr:col>
      <xdr:colOff>119064</xdr:colOff>
      <xdr:row>1</xdr:row>
      <xdr:rowOff>0</xdr:rowOff>
    </xdr:from>
    <xdr:to>
      <xdr:col>30</xdr:col>
      <xdr:colOff>273845</xdr:colOff>
      <xdr:row>13</xdr:row>
      <xdr:rowOff>140970</xdr:rowOff>
    </xdr:to>
    <xdr:graphicFrame macro="">
      <xdr:nvGraphicFramePr>
        <xdr:cNvPr id="50" name="Chart 49">
          <a:extLst>
            <a:ext uri="{FF2B5EF4-FFF2-40B4-BE49-F238E27FC236}">
              <a16:creationId xmlns:a16="http://schemas.microsoft.com/office/drawing/2014/main" id="{6CD9F9E3-3057-496E-9A51-1D297B7017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83344</xdr:colOff>
      <xdr:row>14</xdr:row>
      <xdr:rowOff>23813</xdr:rowOff>
    </xdr:from>
    <xdr:to>
      <xdr:col>30</xdr:col>
      <xdr:colOff>238125</xdr:colOff>
      <xdr:row>26</xdr:row>
      <xdr:rowOff>159068</xdr:rowOff>
    </xdr:to>
    <xdr:graphicFrame macro="">
      <xdr:nvGraphicFramePr>
        <xdr:cNvPr id="51" name="Chart 50">
          <a:extLst>
            <a:ext uri="{FF2B5EF4-FFF2-40B4-BE49-F238E27FC236}">
              <a16:creationId xmlns:a16="http://schemas.microsoft.com/office/drawing/2014/main" id="{78B2A438-B646-49BD-8DA7-AE07401D4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76200</xdr:colOff>
      <xdr:row>27</xdr:row>
      <xdr:rowOff>28575</xdr:rowOff>
    </xdr:from>
    <xdr:to>
      <xdr:col>30</xdr:col>
      <xdr:colOff>230981</xdr:colOff>
      <xdr:row>39</xdr:row>
      <xdr:rowOff>163830</xdr:rowOff>
    </xdr:to>
    <xdr:graphicFrame macro="">
      <xdr:nvGraphicFramePr>
        <xdr:cNvPr id="52" name="Chart 51">
          <a:extLst>
            <a:ext uri="{FF2B5EF4-FFF2-40B4-BE49-F238E27FC236}">
              <a16:creationId xmlns:a16="http://schemas.microsoft.com/office/drawing/2014/main" id="{D8E3A80A-2E35-4A06-BB58-E79472A106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38100</xdr:colOff>
      <xdr:row>40</xdr:row>
      <xdr:rowOff>38100</xdr:rowOff>
    </xdr:from>
    <xdr:to>
      <xdr:col>30</xdr:col>
      <xdr:colOff>192881</xdr:colOff>
      <xdr:row>52</xdr:row>
      <xdr:rowOff>173355</xdr:rowOff>
    </xdr:to>
    <xdr:graphicFrame macro="">
      <xdr:nvGraphicFramePr>
        <xdr:cNvPr id="53" name="Chart 52">
          <a:extLst>
            <a:ext uri="{FF2B5EF4-FFF2-40B4-BE49-F238E27FC236}">
              <a16:creationId xmlns:a16="http://schemas.microsoft.com/office/drawing/2014/main" id="{890E5114-DBEE-4F30-9063-493AD23E3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66675</xdr:colOff>
      <xdr:row>53</xdr:row>
      <xdr:rowOff>9525</xdr:rowOff>
    </xdr:from>
    <xdr:to>
      <xdr:col>30</xdr:col>
      <xdr:colOff>221456</xdr:colOff>
      <xdr:row>65</xdr:row>
      <xdr:rowOff>144780</xdr:rowOff>
    </xdr:to>
    <xdr:graphicFrame macro="">
      <xdr:nvGraphicFramePr>
        <xdr:cNvPr id="2" name="Chart 1">
          <a:extLst>
            <a:ext uri="{FF2B5EF4-FFF2-40B4-BE49-F238E27FC236}">
              <a16:creationId xmlns:a16="http://schemas.microsoft.com/office/drawing/2014/main" id="{7608FD73-43B0-4775-A9C4-C310EF722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59532</xdr:colOff>
      <xdr:row>66</xdr:row>
      <xdr:rowOff>0</xdr:rowOff>
    </xdr:from>
    <xdr:to>
      <xdr:col>30</xdr:col>
      <xdr:colOff>214313</xdr:colOff>
      <xdr:row>77</xdr:row>
      <xdr:rowOff>135255</xdr:rowOff>
    </xdr:to>
    <xdr:graphicFrame macro="">
      <xdr:nvGraphicFramePr>
        <xdr:cNvPr id="3" name="Chart 2">
          <a:extLst>
            <a:ext uri="{FF2B5EF4-FFF2-40B4-BE49-F238E27FC236}">
              <a16:creationId xmlns:a16="http://schemas.microsoft.com/office/drawing/2014/main" id="{72A7C67A-2012-4667-89D4-72FD9B156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23</xdr:col>
      <xdr:colOff>151006</xdr:colOff>
      <xdr:row>1</xdr:row>
      <xdr:rowOff>0</xdr:rowOff>
    </xdr:from>
    <xdr:to>
      <xdr:col>30</xdr:col>
      <xdr:colOff>582698</xdr:colOff>
      <xdr:row>16</xdr:row>
      <xdr:rowOff>151006</xdr:rowOff>
    </xdr:to>
    <xdr:graphicFrame macro="">
      <xdr:nvGraphicFramePr>
        <xdr:cNvPr id="51" name="Chart 50">
          <a:extLst>
            <a:ext uri="{FF2B5EF4-FFF2-40B4-BE49-F238E27FC236}">
              <a16:creationId xmlns:a16="http://schemas.microsoft.com/office/drawing/2014/main" id="{2833497E-1742-4970-99FC-E09871957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81311</xdr:colOff>
      <xdr:row>17</xdr:row>
      <xdr:rowOff>11616</xdr:rowOff>
    </xdr:from>
    <xdr:to>
      <xdr:col>30</xdr:col>
      <xdr:colOff>518718</xdr:colOff>
      <xdr:row>32</xdr:row>
      <xdr:rowOff>162622</xdr:rowOff>
    </xdr:to>
    <xdr:graphicFrame macro="">
      <xdr:nvGraphicFramePr>
        <xdr:cNvPr id="52" name="Chart 51">
          <a:extLst>
            <a:ext uri="{FF2B5EF4-FFF2-40B4-BE49-F238E27FC236}">
              <a16:creationId xmlns:a16="http://schemas.microsoft.com/office/drawing/2014/main" id="{35B6FE67-30CD-4D34-8624-195F27CEB8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65049</xdr:colOff>
      <xdr:row>33</xdr:row>
      <xdr:rowOff>27878</xdr:rowOff>
    </xdr:from>
    <xdr:to>
      <xdr:col>30</xdr:col>
      <xdr:colOff>502456</xdr:colOff>
      <xdr:row>48</xdr:row>
      <xdr:rowOff>178884</xdr:rowOff>
    </xdr:to>
    <xdr:graphicFrame macro="">
      <xdr:nvGraphicFramePr>
        <xdr:cNvPr id="53" name="Chart 52">
          <a:extLst>
            <a:ext uri="{FF2B5EF4-FFF2-40B4-BE49-F238E27FC236}">
              <a16:creationId xmlns:a16="http://schemas.microsoft.com/office/drawing/2014/main" id="{3E6C40C4-1D20-4658-BB16-5B52DF0E9F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74341</xdr:colOff>
      <xdr:row>49</xdr:row>
      <xdr:rowOff>46464</xdr:rowOff>
    </xdr:from>
    <xdr:to>
      <xdr:col>30</xdr:col>
      <xdr:colOff>511748</xdr:colOff>
      <xdr:row>65</xdr:row>
      <xdr:rowOff>11616</xdr:rowOff>
    </xdr:to>
    <xdr:graphicFrame macro="">
      <xdr:nvGraphicFramePr>
        <xdr:cNvPr id="54" name="Chart 53">
          <a:extLst>
            <a:ext uri="{FF2B5EF4-FFF2-40B4-BE49-F238E27FC236}">
              <a16:creationId xmlns:a16="http://schemas.microsoft.com/office/drawing/2014/main" id="{014B4F4B-4035-4136-A0FE-D8650BE92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46463</xdr:colOff>
      <xdr:row>65</xdr:row>
      <xdr:rowOff>37171</xdr:rowOff>
    </xdr:from>
    <xdr:to>
      <xdr:col>30</xdr:col>
      <xdr:colOff>483870</xdr:colOff>
      <xdr:row>81</xdr:row>
      <xdr:rowOff>2324</xdr:rowOff>
    </xdr:to>
    <xdr:graphicFrame macro="">
      <xdr:nvGraphicFramePr>
        <xdr:cNvPr id="2" name="Chart 1">
          <a:extLst>
            <a:ext uri="{FF2B5EF4-FFF2-40B4-BE49-F238E27FC236}">
              <a16:creationId xmlns:a16="http://schemas.microsoft.com/office/drawing/2014/main" id="{B0FE40C8-2235-475F-B07B-385862EC9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34848</xdr:colOff>
      <xdr:row>81</xdr:row>
      <xdr:rowOff>11615</xdr:rowOff>
    </xdr:from>
    <xdr:to>
      <xdr:col>30</xdr:col>
      <xdr:colOff>472255</xdr:colOff>
      <xdr:row>95</xdr:row>
      <xdr:rowOff>162622</xdr:rowOff>
    </xdr:to>
    <xdr:graphicFrame macro="">
      <xdr:nvGraphicFramePr>
        <xdr:cNvPr id="3" name="Chart 2">
          <a:extLst>
            <a:ext uri="{FF2B5EF4-FFF2-40B4-BE49-F238E27FC236}">
              <a16:creationId xmlns:a16="http://schemas.microsoft.com/office/drawing/2014/main" id="{3CA1CDAD-1F51-4D29-B685-D69872C5C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23</xdr:col>
      <xdr:colOff>59532</xdr:colOff>
      <xdr:row>1</xdr:row>
      <xdr:rowOff>0</xdr:rowOff>
    </xdr:from>
    <xdr:to>
      <xdr:col>28</xdr:col>
      <xdr:colOff>35561</xdr:colOff>
      <xdr:row>7</xdr:row>
      <xdr:rowOff>11430</xdr:rowOff>
    </xdr:to>
    <xdr:graphicFrame macro="">
      <xdr:nvGraphicFramePr>
        <xdr:cNvPr id="51" name="Chart 50">
          <a:extLst>
            <a:ext uri="{FF2B5EF4-FFF2-40B4-BE49-F238E27FC236}">
              <a16:creationId xmlns:a16="http://schemas.microsoft.com/office/drawing/2014/main" id="{8F8A671C-2EAF-4341-964D-28A963A20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0</xdr:colOff>
      <xdr:row>7</xdr:row>
      <xdr:rowOff>0</xdr:rowOff>
    </xdr:from>
    <xdr:to>
      <xdr:col>27</xdr:col>
      <xdr:colOff>587058</xdr:colOff>
      <xdr:row>13</xdr:row>
      <xdr:rowOff>15241</xdr:rowOff>
    </xdr:to>
    <xdr:graphicFrame macro="">
      <xdr:nvGraphicFramePr>
        <xdr:cNvPr id="2" name="Chart 1">
          <a:extLst>
            <a:ext uri="{FF2B5EF4-FFF2-40B4-BE49-F238E27FC236}">
              <a16:creationId xmlns:a16="http://schemas.microsoft.com/office/drawing/2014/main" id="{21C56D11-E3E8-4F2D-9D80-1AC6E744A0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66675</xdr:colOff>
      <xdr:row>13</xdr:row>
      <xdr:rowOff>0</xdr:rowOff>
    </xdr:from>
    <xdr:to>
      <xdr:col>28</xdr:col>
      <xdr:colOff>44133</xdr:colOff>
      <xdr:row>19</xdr:row>
      <xdr:rowOff>15241</xdr:rowOff>
    </xdr:to>
    <xdr:graphicFrame macro="">
      <xdr:nvGraphicFramePr>
        <xdr:cNvPr id="3" name="Chart 2">
          <a:extLst>
            <a:ext uri="{FF2B5EF4-FFF2-40B4-BE49-F238E27FC236}">
              <a16:creationId xmlns:a16="http://schemas.microsoft.com/office/drawing/2014/main" id="{7B957F25-FBFA-4759-8D8D-009838D530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38100</xdr:colOff>
      <xdr:row>18</xdr:row>
      <xdr:rowOff>161925</xdr:rowOff>
    </xdr:from>
    <xdr:to>
      <xdr:col>28</xdr:col>
      <xdr:colOff>15558</xdr:colOff>
      <xdr:row>24</xdr:row>
      <xdr:rowOff>177166</xdr:rowOff>
    </xdr:to>
    <xdr:graphicFrame macro="">
      <xdr:nvGraphicFramePr>
        <xdr:cNvPr id="4" name="Chart 3">
          <a:extLst>
            <a:ext uri="{FF2B5EF4-FFF2-40B4-BE49-F238E27FC236}">
              <a16:creationId xmlns:a16="http://schemas.microsoft.com/office/drawing/2014/main" id="{61800EB6-78ED-4E8F-B53B-CA90A09715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28575</xdr:colOff>
      <xdr:row>25</xdr:row>
      <xdr:rowOff>9525</xdr:rowOff>
    </xdr:from>
    <xdr:to>
      <xdr:col>28</xdr:col>
      <xdr:colOff>6033</xdr:colOff>
      <xdr:row>31</xdr:row>
      <xdr:rowOff>0</xdr:rowOff>
    </xdr:to>
    <xdr:graphicFrame macro="">
      <xdr:nvGraphicFramePr>
        <xdr:cNvPr id="5" name="Chart 4">
          <a:extLst>
            <a:ext uri="{FF2B5EF4-FFF2-40B4-BE49-F238E27FC236}">
              <a16:creationId xmlns:a16="http://schemas.microsoft.com/office/drawing/2014/main" id="{B5DF30BA-45CA-46C7-8BE4-4CA4BA595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28575</xdr:colOff>
      <xdr:row>31</xdr:row>
      <xdr:rowOff>0</xdr:rowOff>
    </xdr:from>
    <xdr:to>
      <xdr:col>28</xdr:col>
      <xdr:colOff>6033</xdr:colOff>
      <xdr:row>36</xdr:row>
      <xdr:rowOff>53341</xdr:rowOff>
    </xdr:to>
    <xdr:graphicFrame macro="">
      <xdr:nvGraphicFramePr>
        <xdr:cNvPr id="6" name="Chart 5">
          <a:extLst>
            <a:ext uri="{FF2B5EF4-FFF2-40B4-BE49-F238E27FC236}">
              <a16:creationId xmlns:a16="http://schemas.microsoft.com/office/drawing/2014/main" id="{56583B70-BDD4-4E58-9214-0A0F55D30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23</xdr:col>
      <xdr:colOff>42333</xdr:colOff>
      <xdr:row>0</xdr:row>
      <xdr:rowOff>1275079</xdr:rowOff>
    </xdr:from>
    <xdr:to>
      <xdr:col>28</xdr:col>
      <xdr:colOff>271567</xdr:colOff>
      <xdr:row>8</xdr:row>
      <xdr:rowOff>173989</xdr:rowOff>
    </xdr:to>
    <xdr:graphicFrame macro="">
      <xdr:nvGraphicFramePr>
        <xdr:cNvPr id="45" name="Chart 44">
          <a:extLst>
            <a:ext uri="{FF2B5EF4-FFF2-40B4-BE49-F238E27FC236}">
              <a16:creationId xmlns:a16="http://schemas.microsoft.com/office/drawing/2014/main" id="{BC3C5467-D5D7-4178-8E98-9B9D8748F4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25400</xdr:colOff>
      <xdr:row>9</xdr:row>
      <xdr:rowOff>31327</xdr:rowOff>
    </xdr:from>
    <xdr:to>
      <xdr:col>28</xdr:col>
      <xdr:colOff>254634</xdr:colOff>
      <xdr:row>17</xdr:row>
      <xdr:rowOff>22436</xdr:rowOff>
    </xdr:to>
    <xdr:graphicFrame macro="">
      <xdr:nvGraphicFramePr>
        <xdr:cNvPr id="46" name="Chart 45">
          <a:extLst>
            <a:ext uri="{FF2B5EF4-FFF2-40B4-BE49-F238E27FC236}">
              <a16:creationId xmlns:a16="http://schemas.microsoft.com/office/drawing/2014/main" id="{1D84E0D9-B27D-4FAF-B48E-D8D496AD77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69426</xdr:colOff>
      <xdr:row>17</xdr:row>
      <xdr:rowOff>22014</xdr:rowOff>
    </xdr:from>
    <xdr:to>
      <xdr:col>28</xdr:col>
      <xdr:colOff>298660</xdr:colOff>
      <xdr:row>25</xdr:row>
      <xdr:rowOff>0</xdr:rowOff>
    </xdr:to>
    <xdr:graphicFrame macro="">
      <xdr:nvGraphicFramePr>
        <xdr:cNvPr id="47" name="Chart 46">
          <a:extLst>
            <a:ext uri="{FF2B5EF4-FFF2-40B4-BE49-F238E27FC236}">
              <a16:creationId xmlns:a16="http://schemas.microsoft.com/office/drawing/2014/main" id="{43F06FC8-234D-4F80-A55C-51D36CBA3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55033</xdr:colOff>
      <xdr:row>25</xdr:row>
      <xdr:rowOff>8467</xdr:rowOff>
    </xdr:from>
    <xdr:to>
      <xdr:col>28</xdr:col>
      <xdr:colOff>284267</xdr:colOff>
      <xdr:row>31</xdr:row>
      <xdr:rowOff>185842</xdr:rowOff>
    </xdr:to>
    <xdr:graphicFrame macro="">
      <xdr:nvGraphicFramePr>
        <xdr:cNvPr id="48" name="Chart 47">
          <a:extLst>
            <a:ext uri="{FF2B5EF4-FFF2-40B4-BE49-F238E27FC236}">
              <a16:creationId xmlns:a16="http://schemas.microsoft.com/office/drawing/2014/main" id="{51D8048A-C1AE-4CDA-BFA3-4E639BE5D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42333</xdr:colOff>
      <xdr:row>32</xdr:row>
      <xdr:rowOff>21167</xdr:rowOff>
    </xdr:from>
    <xdr:to>
      <xdr:col>28</xdr:col>
      <xdr:colOff>271567</xdr:colOff>
      <xdr:row>39</xdr:row>
      <xdr:rowOff>16086</xdr:rowOff>
    </xdr:to>
    <xdr:graphicFrame macro="">
      <xdr:nvGraphicFramePr>
        <xdr:cNvPr id="49" name="Chart 48">
          <a:extLst>
            <a:ext uri="{FF2B5EF4-FFF2-40B4-BE49-F238E27FC236}">
              <a16:creationId xmlns:a16="http://schemas.microsoft.com/office/drawing/2014/main" id="{6EFA8676-0A21-415F-81E6-DCBE584369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45720</xdr:colOff>
      <xdr:row>39</xdr:row>
      <xdr:rowOff>33867</xdr:rowOff>
    </xdr:from>
    <xdr:to>
      <xdr:col>28</xdr:col>
      <xdr:colOff>274954</xdr:colOff>
      <xdr:row>45</xdr:row>
      <xdr:rowOff>28786</xdr:rowOff>
    </xdr:to>
    <xdr:graphicFrame macro="">
      <xdr:nvGraphicFramePr>
        <xdr:cNvPr id="50" name="Chart 49">
          <a:extLst>
            <a:ext uri="{FF2B5EF4-FFF2-40B4-BE49-F238E27FC236}">
              <a16:creationId xmlns:a16="http://schemas.microsoft.com/office/drawing/2014/main" id="{72B7B8BF-FB7F-4A9B-923D-6387E6302D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A.AD.EPA.GOV\ORD\CIN\USERS\MAIN\A-E\ABURKES\Net%20MyDocuments\WA-12\2019_ESF-EFWS_NutrientData_Updated04022020_AKB_CTNWorked1203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CPivot"/>
      <sheetName val="Check_8-29Runs_Pivot"/>
      <sheetName val="DupFailureRate"/>
      <sheetName val="ChangeLog"/>
      <sheetName val="TNCalPivot"/>
      <sheetName val="2019DATA"/>
      <sheetName val="TPCalibEq150"/>
      <sheetName val="TPCalibEq300"/>
      <sheetName val="TPCalibEq500"/>
      <sheetName val="TPCalibEqFull"/>
      <sheetName val="TNCalibEq2500"/>
      <sheetName val="TNCalibEqFull"/>
      <sheetName val="METADATA"/>
      <sheetName val="IDs"/>
      <sheetName val="QCEQUATIONS"/>
      <sheetName val="QCACTU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2" t="str">
            <v>CHK</v>
          </cell>
          <cell r="B2" t="str">
            <v>[chk]/[actual]*100</v>
          </cell>
        </row>
        <row r="3">
          <cell r="A3" t="str">
            <v>ATP</v>
          </cell>
          <cell r="B3" t="str">
            <v>[rec]/[actual]*100</v>
          </cell>
        </row>
        <row r="4">
          <cell r="A4" t="str">
            <v>GUP</v>
          </cell>
          <cell r="B4" t="str">
            <v>[rec]/[actual]*100</v>
          </cell>
        </row>
        <row r="5">
          <cell r="A5" t="str">
            <v>NIC</v>
          </cell>
          <cell r="B5" t="str">
            <v>[rec]/[actual]*100</v>
          </cell>
        </row>
        <row r="6">
          <cell r="A6" t="str">
            <v>PER</v>
          </cell>
          <cell r="B6" t="str">
            <v>[per]/[actual]*100</v>
          </cell>
        </row>
        <row r="7">
          <cell r="A7" t="str">
            <v>DUP</v>
          </cell>
          <cell r="B7" t="str">
            <v>((ABS(rep1-rep2))/((rep1+rep2)/2)*100</v>
          </cell>
        </row>
        <row r="8">
          <cell r="A8" t="str">
            <v>SPK</v>
          </cell>
          <cell r="B8" t="str">
            <v>([spikedunkn]-[unkn])/[spike]*100</v>
          </cell>
        </row>
        <row r="9">
          <cell r="A9" t="str">
            <v>LAB</v>
          </cell>
          <cell r="B9" t="str">
            <v>nominal concentration</v>
          </cell>
        </row>
        <row r="10">
          <cell r="A10" t="str">
            <v>FLD</v>
          </cell>
          <cell r="B10" t="str">
            <v>nominal concentration</v>
          </cell>
        </row>
        <row r="11">
          <cell r="A11" t="str">
            <v>ESF</v>
          </cell>
          <cell r="B11" t="str">
            <v>nominal concentration</v>
          </cell>
        </row>
      </sheetData>
      <sheetData sheetId="15">
        <row r="2">
          <cell r="C2" t="str">
            <v>A</v>
          </cell>
          <cell r="D2">
            <v>1333</v>
          </cell>
        </row>
        <row r="3">
          <cell r="C3" t="str">
            <v>B</v>
          </cell>
          <cell r="D3">
            <v>266</v>
          </cell>
        </row>
        <row r="4">
          <cell r="C4" t="str">
            <v>C</v>
          </cell>
          <cell r="D4">
            <v>133</v>
          </cell>
        </row>
        <row r="5">
          <cell r="C5" t="str">
            <v>A</v>
          </cell>
          <cell r="D5">
            <v>400</v>
          </cell>
        </row>
        <row r="6">
          <cell r="C6" t="str">
            <v>B</v>
          </cell>
          <cell r="D6">
            <v>240</v>
          </cell>
        </row>
        <row r="7">
          <cell r="C7" t="str">
            <v>C</v>
          </cell>
          <cell r="D7">
            <v>120</v>
          </cell>
        </row>
        <row r="8">
          <cell r="B8" t="str">
            <v>TRP</v>
          </cell>
          <cell r="C8"/>
          <cell r="D8">
            <v>75</v>
          </cell>
        </row>
        <row r="9">
          <cell r="B9" t="str">
            <v>DRP</v>
          </cell>
          <cell r="D9">
            <v>75</v>
          </cell>
        </row>
        <row r="10">
          <cell r="B10" t="str">
            <v>TNH4</v>
          </cell>
          <cell r="C10"/>
          <cell r="D10">
            <v>300</v>
          </cell>
        </row>
        <row r="11">
          <cell r="B11" t="str">
            <v>NH4</v>
          </cell>
          <cell r="D11">
            <v>300</v>
          </cell>
        </row>
        <row r="12">
          <cell r="B12" t="str">
            <v>TNO2-3</v>
          </cell>
          <cell r="C12"/>
          <cell r="D12">
            <v>300</v>
          </cell>
        </row>
        <row r="13">
          <cell r="B13" t="str">
            <v>NO2-3</v>
          </cell>
          <cell r="D13">
            <v>300</v>
          </cell>
        </row>
        <row r="14">
          <cell r="B14" t="str">
            <v>NO2</v>
          </cell>
          <cell r="D14">
            <v>300</v>
          </cell>
        </row>
        <row r="15">
          <cell r="B15" t="str">
            <v>TNO2</v>
          </cell>
          <cell r="D15">
            <v>300</v>
          </cell>
        </row>
        <row r="16">
          <cell r="B16" t="str">
            <v>TUREA</v>
          </cell>
          <cell r="C16"/>
          <cell r="D16">
            <v>60</v>
          </cell>
        </row>
        <row r="17">
          <cell r="B17" t="str">
            <v>UREA</v>
          </cell>
          <cell r="D17">
            <v>60</v>
          </cell>
        </row>
        <row r="18">
          <cell r="B18" t="str">
            <v>TP</v>
          </cell>
          <cell r="C18"/>
          <cell r="D18">
            <v>500</v>
          </cell>
        </row>
        <row r="19">
          <cell r="B19" t="str">
            <v>TDP</v>
          </cell>
          <cell r="D19">
            <v>500</v>
          </cell>
        </row>
        <row r="20">
          <cell r="B20" t="str">
            <v>TN</v>
          </cell>
          <cell r="C20"/>
          <cell r="D20">
            <v>1250</v>
          </cell>
        </row>
        <row r="21">
          <cell r="B21" t="str">
            <v>TDN</v>
          </cell>
          <cell r="D21">
            <v>1250</v>
          </cell>
        </row>
        <row r="22">
          <cell r="B22" t="str">
            <v>Tfe</v>
          </cell>
          <cell r="D22">
            <v>500</v>
          </cell>
        </row>
        <row r="23">
          <cell r="C23" t="str">
            <v>A</v>
          </cell>
          <cell r="D23">
            <v>1000</v>
          </cell>
        </row>
        <row r="24">
          <cell r="C24" t="str">
            <v>B</v>
          </cell>
          <cell r="D24">
            <v>200</v>
          </cell>
        </row>
        <row r="25">
          <cell r="C25" t="str">
            <v>C</v>
          </cell>
          <cell r="D25">
            <v>100</v>
          </cell>
          <cell r="J25" t="str">
            <v>Code:</v>
          </cell>
          <cell r="K25" t="str">
            <v>16A</v>
          </cell>
          <cell r="L25" t="str">
            <v>16B</v>
          </cell>
          <cell r="M25" t="str">
            <v>17A</v>
          </cell>
          <cell r="N25" t="str">
            <v>17B</v>
          </cell>
          <cell r="O25" t="str">
            <v>17C</v>
          </cell>
          <cell r="P25" t="str">
            <v>18A</v>
          </cell>
          <cell r="Q25" t="str">
            <v>18B</v>
          </cell>
          <cell r="R25" t="str">
            <v>18C</v>
          </cell>
          <cell r="S25" t="str">
            <v>19A</v>
          </cell>
          <cell r="T25" t="str">
            <v>19B</v>
          </cell>
          <cell r="U25" t="str">
            <v>19C</v>
          </cell>
        </row>
        <row r="26">
          <cell r="B26" t="str">
            <v>TRP</v>
          </cell>
          <cell r="C26"/>
          <cell r="D26">
            <v>156.25</v>
          </cell>
          <cell r="J26" t="str">
            <v>TNH4</v>
          </cell>
          <cell r="K26">
            <v>524</v>
          </cell>
          <cell r="L26"/>
          <cell r="M26">
            <v>262</v>
          </cell>
          <cell r="N26"/>
          <cell r="O26"/>
          <cell r="P26">
            <v>393</v>
          </cell>
          <cell r="S26">
            <v>393</v>
          </cell>
        </row>
        <row r="27">
          <cell r="B27" t="str">
            <v>DRP</v>
          </cell>
          <cell r="C27"/>
          <cell r="D27">
            <v>156.25</v>
          </cell>
          <cell r="J27" t="str">
            <v>NH4</v>
          </cell>
          <cell r="K27">
            <v>524</v>
          </cell>
          <cell r="L27"/>
          <cell r="M27">
            <v>262</v>
          </cell>
          <cell r="N27"/>
          <cell r="O27"/>
          <cell r="P27">
            <v>393</v>
          </cell>
          <cell r="S27">
            <v>393</v>
          </cell>
        </row>
        <row r="28">
          <cell r="B28" t="str">
            <v>TNH4</v>
          </cell>
          <cell r="C28"/>
          <cell r="D28">
            <v>625</v>
          </cell>
          <cell r="J28" t="str">
            <v>TRP</v>
          </cell>
          <cell r="K28">
            <v>380</v>
          </cell>
          <cell r="L28">
            <v>326.2</v>
          </cell>
          <cell r="M28">
            <v>413</v>
          </cell>
          <cell r="N28">
            <v>326.2</v>
          </cell>
          <cell r="O28"/>
          <cell r="P28">
            <v>118</v>
          </cell>
          <cell r="Q28">
            <v>200</v>
          </cell>
          <cell r="S28">
            <v>118</v>
          </cell>
          <cell r="T28">
            <v>200</v>
          </cell>
        </row>
        <row r="29">
          <cell r="B29" t="str">
            <v>NH4</v>
          </cell>
          <cell r="C29"/>
          <cell r="D29">
            <v>625</v>
          </cell>
          <cell r="J29" t="str">
            <v>DRP</v>
          </cell>
          <cell r="K29">
            <v>380</v>
          </cell>
          <cell r="L29">
            <v>326.2</v>
          </cell>
          <cell r="M29">
            <v>413</v>
          </cell>
          <cell r="N29">
            <v>326.2</v>
          </cell>
          <cell r="O29"/>
          <cell r="P29">
            <v>118</v>
          </cell>
          <cell r="Q29">
            <v>200</v>
          </cell>
          <cell r="S29">
            <v>118</v>
          </cell>
          <cell r="T29">
            <v>200</v>
          </cell>
        </row>
        <row r="30">
          <cell r="B30" t="str">
            <v>TNO2-3</v>
          </cell>
          <cell r="C30"/>
          <cell r="D30">
            <v>625</v>
          </cell>
          <cell r="J30" t="str">
            <v>TNO2-3</v>
          </cell>
          <cell r="K30">
            <v>1390</v>
          </cell>
          <cell r="L30"/>
          <cell r="M30">
            <v>416</v>
          </cell>
          <cell r="N30"/>
          <cell r="O30"/>
          <cell r="P30">
            <v>555</v>
          </cell>
          <cell r="Q30"/>
          <cell r="S30">
            <v>555</v>
          </cell>
          <cell r="T30"/>
        </row>
        <row r="31">
          <cell r="B31" t="str">
            <v>NO2-3</v>
          </cell>
          <cell r="C31"/>
          <cell r="D31">
            <v>625</v>
          </cell>
          <cell r="J31" t="str">
            <v>NO2-3</v>
          </cell>
          <cell r="K31">
            <v>1390</v>
          </cell>
          <cell r="L31"/>
          <cell r="M31">
            <v>416</v>
          </cell>
          <cell r="N31"/>
          <cell r="O31"/>
          <cell r="P31">
            <v>555</v>
          </cell>
          <cell r="Q31"/>
          <cell r="S31">
            <v>555</v>
          </cell>
          <cell r="T31"/>
        </row>
        <row r="32">
          <cell r="B32" t="str">
            <v>TNO2</v>
          </cell>
          <cell r="C32"/>
          <cell r="D32">
            <v>625</v>
          </cell>
          <cell r="J32" t="str">
            <v>TP</v>
          </cell>
          <cell r="K32">
            <v>224</v>
          </cell>
          <cell r="L32">
            <v>326.2</v>
          </cell>
          <cell r="M32">
            <v>406</v>
          </cell>
          <cell r="N32">
            <v>326.2</v>
          </cell>
          <cell r="O32"/>
          <cell r="P32">
            <v>812</v>
          </cell>
          <cell r="Q32">
            <v>200</v>
          </cell>
          <cell r="S32">
            <v>812</v>
          </cell>
          <cell r="T32">
            <v>200</v>
          </cell>
        </row>
        <row r="33">
          <cell r="B33" t="str">
            <v>NO2</v>
          </cell>
          <cell r="C33"/>
          <cell r="D33">
            <v>625</v>
          </cell>
          <cell r="J33" t="str">
            <v>TDP</v>
          </cell>
          <cell r="K33">
            <v>224</v>
          </cell>
          <cell r="L33">
            <v>326.2</v>
          </cell>
          <cell r="M33">
            <v>406</v>
          </cell>
          <cell r="N33">
            <v>326.2</v>
          </cell>
          <cell r="O33"/>
          <cell r="P33">
            <v>812</v>
          </cell>
          <cell r="Q33">
            <v>200</v>
          </cell>
          <cell r="S33">
            <v>812</v>
          </cell>
          <cell r="T33">
            <v>200</v>
          </cell>
        </row>
        <row r="34">
          <cell r="B34" t="str">
            <v>TUREA</v>
          </cell>
          <cell r="C34"/>
          <cell r="D34">
            <v>125</v>
          </cell>
          <cell r="J34" t="str">
            <v>TN</v>
          </cell>
          <cell r="K34">
            <v>1310</v>
          </cell>
          <cell r="L34"/>
          <cell r="M34">
            <v>747</v>
          </cell>
          <cell r="N34"/>
          <cell r="O34"/>
          <cell r="P34">
            <v>1490</v>
          </cell>
          <cell r="S34">
            <v>1490</v>
          </cell>
        </row>
        <row r="35">
          <cell r="B35" t="str">
            <v>UREA</v>
          </cell>
          <cell r="C35"/>
          <cell r="D35">
            <v>125</v>
          </cell>
          <cell r="J35" t="str">
            <v>TDN</v>
          </cell>
          <cell r="K35">
            <v>1310</v>
          </cell>
          <cell r="L35"/>
          <cell r="M35">
            <v>747</v>
          </cell>
          <cell r="N35"/>
          <cell r="O35"/>
          <cell r="P35">
            <v>1490</v>
          </cell>
          <cell r="S35">
            <v>1490</v>
          </cell>
        </row>
        <row r="36">
          <cell r="B36" t="str">
            <v>TP</v>
          </cell>
          <cell r="C36"/>
          <cell r="D36">
            <v>1000</v>
          </cell>
          <cell r="J36" t="str">
            <v>TNO2</v>
          </cell>
          <cell r="K36"/>
          <cell r="L36"/>
          <cell r="M36"/>
          <cell r="N36"/>
          <cell r="O36">
            <v>1000</v>
          </cell>
          <cell r="R36">
            <v>1000</v>
          </cell>
          <cell r="U36">
            <v>1000</v>
          </cell>
        </row>
        <row r="37">
          <cell r="B37" t="str">
            <v>TDP</v>
          </cell>
          <cell r="C37"/>
          <cell r="D37">
            <v>1000</v>
          </cell>
          <cell r="J37" t="str">
            <v>NO2</v>
          </cell>
          <cell r="K37"/>
          <cell r="L37"/>
          <cell r="M37"/>
          <cell r="N37"/>
          <cell r="O37">
            <v>1000</v>
          </cell>
          <cell r="R37">
            <v>1000</v>
          </cell>
          <cell r="U37">
            <v>1000</v>
          </cell>
        </row>
        <row r="38">
          <cell r="B38" t="str">
            <v>TN</v>
          </cell>
          <cell r="C38"/>
          <cell r="D38">
            <v>2500</v>
          </cell>
        </row>
        <row r="39">
          <cell r="B39" t="str">
            <v>TDN</v>
          </cell>
          <cell r="D39">
            <v>2500</v>
          </cell>
        </row>
        <row r="40">
          <cell r="C40" t="str">
            <v>NO2</v>
          </cell>
          <cell r="D40">
            <v>1250</v>
          </cell>
        </row>
        <row r="41">
          <cell r="C41" t="str">
            <v>A</v>
          </cell>
          <cell r="D41">
            <v>1000</v>
          </cell>
        </row>
        <row r="42">
          <cell r="C42" t="str">
            <v>B</v>
          </cell>
          <cell r="D42">
            <v>200</v>
          </cell>
        </row>
        <row r="43">
          <cell r="C43" t="str">
            <v>C</v>
          </cell>
          <cell r="D43">
            <v>100</v>
          </cell>
        </row>
        <row r="44">
          <cell r="C44" t="str">
            <v>A</v>
          </cell>
          <cell r="D44">
            <v>1000</v>
          </cell>
        </row>
        <row r="45">
          <cell r="C45" t="str">
            <v>B</v>
          </cell>
          <cell r="D45">
            <v>200</v>
          </cell>
        </row>
        <row r="46">
          <cell r="C46" t="str">
            <v>C</v>
          </cell>
          <cell r="D46">
            <v>100</v>
          </cell>
        </row>
        <row r="47">
          <cell r="C47" t="str">
            <v>D</v>
          </cell>
          <cell r="D47">
            <v>5000</v>
          </cell>
        </row>
      </sheetData>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59604-9792-4F42-B495-F81747599226}">
  <dimension ref="A1:AV223"/>
  <sheetViews>
    <sheetView tabSelected="1" topLeftCell="D2" zoomScale="80" zoomScaleNormal="80" workbookViewId="0">
      <pane ySplit="1" topLeftCell="A123" activePane="bottomLeft" state="frozen"/>
      <selection activeCell="A2" sqref="A2"/>
      <selection pane="bottomLeft" activeCell="D149" sqref="D149"/>
    </sheetView>
  </sheetViews>
  <sheetFormatPr defaultRowHeight="14.4" x14ac:dyDescent="0.3"/>
  <cols>
    <col min="1" max="1" width="16.33203125" bestFit="1" customWidth="1"/>
    <col min="2" max="2" width="18.6640625" bestFit="1" customWidth="1"/>
    <col min="3" max="3" width="18.44140625" bestFit="1" customWidth="1"/>
    <col min="4" max="4" width="13.88671875" bestFit="1" customWidth="1"/>
    <col min="5" max="5" width="14.88671875" bestFit="1" customWidth="1"/>
    <col min="6" max="6" width="11.5546875" bestFit="1" customWidth="1"/>
    <col min="7" max="7" width="14.109375" bestFit="1" customWidth="1"/>
    <col min="8" max="8" width="11.33203125" bestFit="1" customWidth="1"/>
    <col min="9" max="9" width="13.88671875" bestFit="1" customWidth="1"/>
    <col min="10" max="10" width="14.33203125" bestFit="1" customWidth="1"/>
    <col min="11" max="11" width="20.109375" bestFit="1" customWidth="1"/>
    <col min="12" max="12" width="16.44140625" bestFit="1" customWidth="1"/>
    <col min="13" max="13" width="14.109375" bestFit="1" customWidth="1"/>
    <col min="14" max="14" width="15" bestFit="1" customWidth="1"/>
    <col min="15" max="15" width="14.109375" bestFit="1" customWidth="1"/>
    <col min="16" max="16" width="13" bestFit="1" customWidth="1"/>
    <col min="17" max="17" width="19.6640625" bestFit="1" customWidth="1"/>
    <col min="18" max="18" width="11.5546875" bestFit="1" customWidth="1"/>
    <col min="19" max="19" width="24.5546875" bestFit="1" customWidth="1"/>
    <col min="20" max="20" width="44.5546875" bestFit="1" customWidth="1"/>
    <col min="21" max="21" width="14.44140625" bestFit="1" customWidth="1"/>
    <col min="22" max="22" width="16.109375" bestFit="1" customWidth="1"/>
    <col min="23" max="23" width="14.6640625" bestFit="1" customWidth="1"/>
    <col min="24" max="24" width="35.33203125" bestFit="1" customWidth="1"/>
    <col min="25" max="25" width="45.5546875" bestFit="1" customWidth="1"/>
    <col min="26" max="26" width="56.88671875" bestFit="1" customWidth="1"/>
    <col min="31" max="31" width="10.33203125" bestFit="1" customWidth="1"/>
    <col min="32" max="32" width="24.6640625" bestFit="1" customWidth="1"/>
    <col min="35" max="35" width="8.44140625" customWidth="1"/>
    <col min="36" max="36" width="27.5546875" customWidth="1"/>
    <col min="37" max="37" width="9.44140625" customWidth="1"/>
    <col min="38" max="39" width="42.6640625" bestFit="1" customWidth="1"/>
    <col min="40" max="40" width="43" bestFit="1" customWidth="1"/>
    <col min="41" max="41" width="40.88671875" bestFit="1" customWidth="1"/>
    <col min="42" max="42" width="43" bestFit="1" customWidth="1"/>
    <col min="43" max="43" width="27.88671875" bestFit="1" customWidth="1"/>
    <col min="44" max="45" width="27.109375" bestFit="1" customWidth="1"/>
    <col min="46" max="46" width="32.6640625" bestFit="1" customWidth="1"/>
    <col min="47" max="47" width="30.5546875" bestFit="1" customWidth="1"/>
    <col min="48" max="48" width="48.5546875" bestFit="1" customWidth="1"/>
  </cols>
  <sheetData>
    <row r="1" spans="1:48" s="11" customFormat="1" hidden="1" x14ac:dyDescent="0.3">
      <c r="A1" s="1" t="s">
        <v>922</v>
      </c>
      <c r="B1" s="2" t="s">
        <v>1</v>
      </c>
      <c r="C1" s="3" t="s">
        <v>2</v>
      </c>
      <c r="D1" s="3" t="s">
        <v>3</v>
      </c>
      <c r="E1" s="3" t="s">
        <v>4</v>
      </c>
      <c r="F1" s="3" t="s">
        <v>5</v>
      </c>
      <c r="G1" s="3" t="s">
        <v>6</v>
      </c>
      <c r="H1" s="3" t="s">
        <v>923</v>
      </c>
      <c r="I1" s="3" t="s">
        <v>8</v>
      </c>
      <c r="J1" s="3" t="s">
        <v>9</v>
      </c>
      <c r="K1" s="4" t="s">
        <v>924</v>
      </c>
      <c r="L1" s="5" t="s">
        <v>10</v>
      </c>
      <c r="M1" s="3" t="s">
        <v>11</v>
      </c>
      <c r="N1" s="3" t="s">
        <v>12</v>
      </c>
      <c r="O1" s="3" t="s">
        <v>13</v>
      </c>
      <c r="P1" s="6" t="s">
        <v>14</v>
      </c>
      <c r="Q1" s="7" t="s">
        <v>15</v>
      </c>
      <c r="R1" s="3" t="s">
        <v>16</v>
      </c>
      <c r="S1" s="8" t="s">
        <v>17</v>
      </c>
      <c r="T1" s="3" t="s">
        <v>18</v>
      </c>
      <c r="U1" s="8" t="s">
        <v>19</v>
      </c>
      <c r="V1" s="9" t="s">
        <v>20</v>
      </c>
      <c r="W1" s="3" t="s">
        <v>21</v>
      </c>
      <c r="X1" s="10"/>
      <c r="Y1" s="10"/>
      <c r="AA1" s="10"/>
      <c r="AB1" s="10"/>
      <c r="AC1" s="10"/>
      <c r="AD1" s="12"/>
      <c r="AE1" s="13"/>
      <c r="AF1" s="14"/>
      <c r="AG1" s="14"/>
      <c r="AH1" s="14"/>
      <c r="AI1" s="15"/>
      <c r="AJ1" s="14"/>
      <c r="AK1" s="14"/>
      <c r="AL1" s="14"/>
      <c r="AM1" s="14"/>
      <c r="AN1" s="14"/>
      <c r="AO1" s="14"/>
      <c r="AP1" s="14"/>
      <c r="AQ1" s="14"/>
      <c r="AR1" s="14"/>
      <c r="AS1" s="14"/>
      <c r="AT1" s="14"/>
      <c r="AU1" s="14"/>
      <c r="AV1" s="16"/>
    </row>
    <row r="2" spans="1:48" s="10" customFormat="1" ht="86.25" customHeight="1" x14ac:dyDescent="0.3">
      <c r="A2" s="17" t="s">
        <v>22</v>
      </c>
      <c r="B2" s="18" t="s">
        <v>23</v>
      </c>
      <c r="C2" s="19" t="s">
        <v>24</v>
      </c>
      <c r="D2" s="19" t="s">
        <v>25</v>
      </c>
      <c r="E2" s="19" t="s">
        <v>26</v>
      </c>
      <c r="F2" s="19" t="s">
        <v>27</v>
      </c>
      <c r="G2" s="19" t="s">
        <v>28</v>
      </c>
      <c r="H2" s="19" t="s">
        <v>29</v>
      </c>
      <c r="I2" s="19" t="s">
        <v>30</v>
      </c>
      <c r="J2" s="19" t="s">
        <v>31</v>
      </c>
      <c r="K2" s="20" t="s">
        <v>32</v>
      </c>
      <c r="L2" s="21" t="s">
        <v>33</v>
      </c>
      <c r="M2" s="22" t="s">
        <v>34</v>
      </c>
      <c r="N2" s="19" t="s">
        <v>35</v>
      </c>
      <c r="O2" s="23" t="s">
        <v>36</v>
      </c>
      <c r="P2" s="23" t="s">
        <v>37</v>
      </c>
      <c r="Q2" s="24" t="s">
        <v>38</v>
      </c>
      <c r="R2" s="19" t="s">
        <v>39</v>
      </c>
      <c r="S2" s="25" t="s">
        <v>40</v>
      </c>
      <c r="T2" s="19" t="s">
        <v>41</v>
      </c>
      <c r="U2" s="25" t="s">
        <v>42</v>
      </c>
      <c r="V2" s="26" t="s">
        <v>43</v>
      </c>
      <c r="W2" s="26" t="s">
        <v>44</v>
      </c>
      <c r="X2" s="27" t="s">
        <v>45</v>
      </c>
      <c r="Y2" s="19" t="s">
        <v>46</v>
      </c>
      <c r="Z2" s="10" t="s">
        <v>47</v>
      </c>
      <c r="AA2" s="28" t="s">
        <v>48</v>
      </c>
      <c r="AB2" s="28" t="s">
        <v>49</v>
      </c>
      <c r="AC2" s="28"/>
      <c r="AD2" s="29" t="s">
        <v>925</v>
      </c>
      <c r="AE2" s="3" t="s">
        <v>52</v>
      </c>
      <c r="AF2" s="29" t="s">
        <v>53</v>
      </c>
      <c r="AG2" s="30" t="s">
        <v>54</v>
      </c>
      <c r="AH2" s="30" t="s">
        <v>55</v>
      </c>
      <c r="AI2" s="30" t="s">
        <v>56</v>
      </c>
      <c r="AJ2" s="30" t="s">
        <v>57</v>
      </c>
      <c r="AK2" s="25" t="s">
        <v>58</v>
      </c>
      <c r="AL2" s="30" t="s">
        <v>59</v>
      </c>
      <c r="AM2" s="30" t="s">
        <v>60</v>
      </c>
      <c r="AN2" s="30" t="s">
        <v>61</v>
      </c>
      <c r="AO2" s="30" t="s">
        <v>62</v>
      </c>
      <c r="AP2" s="29" t="s">
        <v>63</v>
      </c>
      <c r="AQ2" s="30" t="s">
        <v>64</v>
      </c>
      <c r="AR2" s="30" t="s">
        <v>65</v>
      </c>
      <c r="AS2" s="30" t="s">
        <v>66</v>
      </c>
      <c r="AT2" s="30" t="s">
        <v>67</v>
      </c>
      <c r="AU2" s="30" t="s">
        <v>68</v>
      </c>
      <c r="AV2" s="31" t="s">
        <v>69</v>
      </c>
    </row>
    <row r="3" spans="1:48" s="10" customFormat="1" x14ac:dyDescent="0.3">
      <c r="A3" s="32">
        <v>45500</v>
      </c>
      <c r="B3" s="33">
        <v>0</v>
      </c>
      <c r="C3" s="10">
        <v>1000</v>
      </c>
      <c r="D3" s="10">
        <v>1</v>
      </c>
      <c r="E3" s="10" t="s">
        <v>953</v>
      </c>
      <c r="F3" s="10">
        <v>1</v>
      </c>
      <c r="G3" s="10" t="s">
        <v>72</v>
      </c>
      <c r="H3" s="10" t="s">
        <v>239</v>
      </c>
      <c r="I3" s="10" t="s">
        <v>74</v>
      </c>
      <c r="J3" s="10">
        <v>1</v>
      </c>
      <c r="K3" s="12">
        <v>45687</v>
      </c>
      <c r="L3" s="33">
        <v>0.46931712962962963</v>
      </c>
      <c r="M3" s="10">
        <v>1</v>
      </c>
      <c r="N3" s="10" t="s">
        <v>75</v>
      </c>
      <c r="O3" s="10">
        <v>4.8000000000000001E-2</v>
      </c>
      <c r="P3" s="10">
        <v>3.0599999999999999E-2</v>
      </c>
      <c r="Q3" s="10">
        <v>2.92</v>
      </c>
      <c r="R3" s="10" t="s">
        <v>76</v>
      </c>
      <c r="S3" s="34">
        <f t="shared" ref="S3:S38" si="0">IF(OR(AND(I3&lt;&gt;"TP", I3&lt;&gt;"TDP",I3&lt;&gt;"TN", I3&lt;&gt;"TDN"),H3="CAL"), Q3*M3, IF(OR(AND(I3="TN", Q3&gt;2500), AND(I3="TDN", Q3&gt;2500)),MAX(Q3, AK3)*M3, IF(OR(AND(I3="TN", Q3&lt;=2500), AND(I3="TDN", Q3&lt;=2500)),MAX(Q3, AJ3,AK3)*M3, IF(OR(AND(I3="TP",Q3&gt;500), AND(I3="TDP", Q3&gt;500)),MAX(Q3,AK3)*M3,IF(OR(AND(I3="TP",Q3&lt;=150), AND(I3="TDP", Q3&lt;=150)),MAX(Q3,AG3:AI3,AK3)*M3,IF(OR(AND(I3="TP",Q3&lt;=300), AND(I3="TDP", Q3&lt;=300)),MAX(Q3,AH3,AI3,AK3)*M3,IF(OR(AND(I3="TP",Q3&lt;=500), AND(I3="TDP", Q3&lt;=500)),MAX(Q3,AI3,AK3)*M3,"")))))))</f>
        <v>2.92</v>
      </c>
      <c r="T3" s="10" t="s">
        <v>952</v>
      </c>
      <c r="U3" s="34" t="str">
        <f>IF(OR(H3="CHK",H3="ATP",H3="GUP",H3="PER", H3="NIC", H3="UREA"),(S3/V3*100),IF(H3="DUP",((ABS(S3-#REF!))/((#REF!+S3)/2))*100,IF(H3="SPK",((S3-#REF!)/V3*100),IF(OR(H3="LAB",H3="FLD",H3="ESF"),S3,""))))</f>
        <v/>
      </c>
      <c r="V3" s="31" t="str">
        <f>IF(H3="CHK",VLOOKUP(I3,QCCHK,3,),IF(H3="GUP",VLOOKUP(E3,QCGUP,2,),IF(AND(H3="ATP",OR(I3="TN",I3="TDN",I3="TNO2-3",I3="NO2-3")),VLOOKUP(E3,QCREC_N,2,),IF(AND(H3="NIC",OR(I3="TN",I3="TDN",I3="TNO2-3",I3="NO2-3")),VLOOKUP(E3,QCNIC_N,2,),IF(AND(H3="UREA",OR(I3="TN",I3="TDN",I3="TNO2-3",I3="NO2-3")),VLOOKUP(E3,QCUREA_N,2,),IF(H3="PER",VLOOKUP(I3,QCPER,MATCH(E3,QCACTUAL!$J$25:$AA$25,0),),IF(H3="SPK",VLOOKUP(I3,QCSPK,3,),IF(AND(H3="ATP",OR(I3="TP",I3="TDP")),VLOOKUP(E3,QCATP_P,2,),""))))))))</f>
        <v/>
      </c>
      <c r="W3" s="31" t="str">
        <f t="shared" ref="W3:W38" si="1">IF(AND(OR(H3="PER",H3="ATP",H3="GUP",H3="CHK",H3="SPK", H3="NIC"),OR(U3&gt;125,U3&lt;75)),"FALSE",IF(AND(H3="DUP",OR(U3&gt;25, U3&lt;-25)),"FALSE",IF(AND(OR(H3="LAB",H3="FLD",H3="ESF"),U3&gt;15),"FALSE","TRUE")))</f>
        <v>TRUE</v>
      </c>
      <c r="X3" s="31" t="str">
        <f t="shared" ref="X3:X38" si="2">IF(ISNA(VLOOKUP(H3,QCEQUATIONS,2,)),"",(VLOOKUP(H3,QCEQUATIONS,2,)))</f>
        <v/>
      </c>
      <c r="Y3" s="10" t="s">
        <v>951</v>
      </c>
      <c r="AL3" s="10" t="str">
        <f t="shared" ref="AL3:AN38" si="3">IF($O3="", "", IF(AQ3&lt;&gt;"", SUBSTITUTE(SUBSTITUTE(AQ3, "x", "*"&amp;$O3&amp;"^", 1), "x", "*"&amp;$O3, 1), ""))</f>
        <v>FALSE</v>
      </c>
      <c r="AM3" s="10" t="str">
        <f t="shared" si="3"/>
        <v>FALSE</v>
      </c>
      <c r="AN3" s="10" t="str">
        <f t="shared" si="3"/>
        <v>FALSE</v>
      </c>
      <c r="AO3" s="10" t="str">
        <f t="shared" ref="AO3:AP38" si="4">IF($O3="", "FALSE", IF(AT3&lt;&gt;"FALSE", SUBSTITUTE(SUBSTITUTE(AT3, "x", "*"&amp;$O3&amp;"^", 1), "x", "*"&amp;$O3, 1), ""))</f>
        <v>FALSE</v>
      </c>
      <c r="AP3" s="10" t="str">
        <f t="shared" si="4"/>
        <v>FALSE</v>
      </c>
      <c r="AQ3" s="10" t="b">
        <f>IF(AND(I3="TP",S3&lt;=150),VLOOKUP(AF3,TPCalibEq150!$AZ$2:$BB$166,3,),IF(AND(I3="TDP",S3&lt;=150),VLOOKUP(AF3,TPCalibEq150!$AZ$2:$BB$166,3,)))</f>
        <v>0</v>
      </c>
      <c r="AR3" s="10" t="b">
        <f>IF(AND(I3="TP",S3&lt;=300),VLOOKUP(AF3,TPCalibEq300!$AZ$2:$BB$166,3,),IF(AND(I3="TDP",S3&lt;=300),VLOOKUP(AF3,TPCalibEq300!$AZ$2:$BB$166,3,)))</f>
        <v>0</v>
      </c>
      <c r="AS3" s="10" t="b">
        <f>IF(AND(I3="TP",S3&lt;=500),VLOOKUP(AF3,TPCalibEq500!$AZ$2:$BB$165,3,),IF(AND(I3="TDP",S3&lt;=500),VLOOKUP(AF3,TPCalibEq500!$AZ$2:$BB$165,3,)))</f>
        <v>0</v>
      </c>
      <c r="AT3" s="10" t="b">
        <f>IF(AND(I3="TN",S3&lt;=2800),VLOOKUP(AF3,TNCalibEq2500!$AZ$2:$BB$165,3,),IF(AND(I3="TDN",S3&lt;=2800),VLOOKUP(AF3,TNCalibEq2500!$AZ$2:$BB$165,3,)))</f>
        <v>0</v>
      </c>
      <c r="AU3" s="10" t="b">
        <f>IF(I3="TP",VLOOKUP(AF3,TPCalibEqFull!$AZ$2:$BB$165,3),IF(I3="TDP",VLOOKUP(AF3,TPCalibEqFull!$AZ$2:$BB$165,3),IF(I3="TDN",VLOOKUP(AF3,TNCalibEqFull!$AZ$2:$BB$164,3),IF(I3="TN",VLOOKUP(AF3,TNCalibEqFull!$AZ$2:$BB$164,3),FALSE))))</f>
        <v>0</v>
      </c>
      <c r="AV3" s="10" t="str">
        <f t="shared" ref="AV3" si="5">TEXT(A3, "YYYYMMDD")&amp;" "&amp;TEXT(B3, "HH:MM:SS")&amp;"-"&amp;C3&amp;"-"&amp;D3&amp;"-"&amp;E3&amp;"-"&amp;F3&amp;"-"&amp;G3&amp;"-"&amp;H3</f>
        <v>20240727 00:00:00-1000-1-Sh-1-DI-BLK</v>
      </c>
    </row>
    <row r="4" spans="1:48" s="10" customFormat="1" x14ac:dyDescent="0.3">
      <c r="A4" s="32">
        <v>45500</v>
      </c>
      <c r="B4" s="33">
        <v>0</v>
      </c>
      <c r="C4" s="10">
        <v>1000</v>
      </c>
      <c r="D4" s="10">
        <v>1</v>
      </c>
      <c r="E4" s="10" t="s">
        <v>953</v>
      </c>
      <c r="F4" s="10">
        <v>1</v>
      </c>
      <c r="G4" s="10" t="s">
        <v>229</v>
      </c>
      <c r="H4" s="10" t="s">
        <v>320</v>
      </c>
      <c r="I4" s="10" t="s">
        <v>74</v>
      </c>
      <c r="J4" s="10">
        <v>2</v>
      </c>
      <c r="K4" s="12">
        <v>45687</v>
      </c>
      <c r="L4" s="33">
        <v>0.47015046296296298</v>
      </c>
      <c r="M4" s="10">
        <v>1</v>
      </c>
      <c r="N4" s="10" t="s">
        <v>75</v>
      </c>
      <c r="O4" s="10">
        <v>0.218</v>
      </c>
      <c r="P4" s="10">
        <v>3.1300000000000001E-2</v>
      </c>
      <c r="Q4" s="10">
        <v>13.3</v>
      </c>
      <c r="R4" s="10" t="s">
        <v>76</v>
      </c>
      <c r="S4" s="34">
        <f t="shared" si="0"/>
        <v>13.3</v>
      </c>
      <c r="T4" s="10" t="s">
        <v>952</v>
      </c>
      <c r="U4" s="34" t="str">
        <f t="shared" ref="U4:U38" si="6">IF(OR(H4="CHK",H4="ATP",H4="GUP",H4="PER", H4="NIC", H4="UREA"),(S4/V4*100),IF(H4="DUP",((ABS(S4-S3))/((S3+S4)/2))*100,IF(H4="SPK",((S4-S3)/V4*100),IF(OR(H4="LAB",H4="FLD",H4="ESF"),S4,""))))</f>
        <v/>
      </c>
      <c r="V4" s="31" t="str">
        <f>IF(H4="CHK",VLOOKUP(I4,QCCHK,3,),IF(H4="GUP",VLOOKUP(E4,QCGUP,2,),IF(AND(H4="ATP",OR(I4="TN",I4="TDN",I4="TNO2-3",I4="NO2-3")),VLOOKUP(E4,QCREC_N,2,),IF(AND(H4="NIC",OR(I4="TN",I4="TDN",I4="TNO2-3",I4="NO2-3")),VLOOKUP(E4,QCNIC_N,2,),IF(AND(H4="UREA",OR(I4="TN",I4="TDN",I4="TNO2-3",I4="NO2-3")),VLOOKUP(E4,QCUREA_N,2,),IF(H4="PER",VLOOKUP(I4,QCPER,MATCH(E4,QCACTUAL!$J$25:$AA$25,0),),IF(H4="SPK",VLOOKUP(I4,QCSPK,3,),IF(AND(H4="ATP",OR(I4="TP",I4="TDP")),VLOOKUP(E4,QCATP_P,2,),""))))))))</f>
        <v/>
      </c>
      <c r="W4" s="31" t="str">
        <f t="shared" si="1"/>
        <v>TRUE</v>
      </c>
      <c r="X4" s="31" t="str">
        <f t="shared" si="2"/>
        <v/>
      </c>
      <c r="Y4" s="10" t="s">
        <v>951</v>
      </c>
      <c r="AL4" s="10" t="str">
        <f t="shared" si="3"/>
        <v>FALSE</v>
      </c>
      <c r="AM4" s="10" t="str">
        <f t="shared" si="3"/>
        <v>FALSE</v>
      </c>
      <c r="AN4" s="10" t="str">
        <f t="shared" si="3"/>
        <v>FALSE</v>
      </c>
      <c r="AO4" s="10" t="str">
        <f t="shared" si="4"/>
        <v>FALSE</v>
      </c>
      <c r="AP4" s="10" t="str">
        <f t="shared" si="4"/>
        <v>FALSE</v>
      </c>
      <c r="AQ4" s="10" t="b">
        <f>IF(AND(I4="TP",S4&lt;=150),VLOOKUP(AF4,TPCalibEq150!$AZ$2:$BB$166,3,),IF(AND(I4="TDP",S4&lt;=150),VLOOKUP(AF4,TPCalibEq150!$AZ$2:$BB$166,3,)))</f>
        <v>0</v>
      </c>
      <c r="AR4" s="10" t="b">
        <f>IF(AND(I4="TP",S4&lt;=300),VLOOKUP(AF4,TPCalibEq300!$AZ$2:$BB$166,3,),IF(AND(I4="TDP",S4&lt;=300),VLOOKUP(AF4,TPCalibEq300!$AZ$2:$BB$166,3,)))</f>
        <v>0</v>
      </c>
      <c r="AS4" s="10" t="b">
        <f>IF(AND(I4="TP",S4&lt;=500),VLOOKUP(AF4,TPCalibEq500!$AZ$2:$BB$165,3,),IF(AND(I4="TDP",S4&lt;=500),VLOOKUP(AF4,TPCalibEq500!$AZ$2:$BB$165,3,)))</f>
        <v>0</v>
      </c>
      <c r="AT4" s="10" t="b">
        <f>IF(AND(I4="TN",S4&lt;=2800),VLOOKUP(AF4,TNCalibEq2500!$AZ$2:$BB$165,3,),IF(AND(I4="TDN",S4&lt;=2800),VLOOKUP(AF4,TNCalibEq2500!$AZ$2:$BB$165,3,)))</f>
        <v>0</v>
      </c>
      <c r="AU4" s="10" t="b">
        <f>IF(I4="TP",VLOOKUP(AF4,TPCalibEqFull!$AZ$2:$BB$165,3),IF(I4="TDP",VLOOKUP(AF4,TPCalibEqFull!$AZ$2:$BB$165,3),IF(I4="TDN",VLOOKUP(AF4,TNCalibEqFull!$AZ$2:$BB$164,3),IF(I4="TN",VLOOKUP(AF4,TNCalibEqFull!$AZ$2:$BB$164,3),FALSE))))</f>
        <v>0</v>
      </c>
      <c r="AV4" s="10" t="str">
        <f t="shared" ref="AV4:AV38" si="7">TEXT(A4, "YYYYMMDD")&amp;" "&amp;TEXT(B4, "HH:MM:SS")&amp;"-"&amp;C4&amp;"-"&amp;D4&amp;"-"&amp;E4&amp;"-"&amp;F4&amp;"-"&amp;G4&amp;"-"&amp;H4</f>
        <v>20240727 00:00:00-1000-1-Sh-1-SW-UKN</v>
      </c>
    </row>
    <row r="5" spans="1:48" s="10" customFormat="1" x14ac:dyDescent="0.3">
      <c r="A5" s="32">
        <v>45507</v>
      </c>
      <c r="B5" s="33">
        <v>0</v>
      </c>
      <c r="C5" s="10">
        <v>1000</v>
      </c>
      <c r="D5" s="10">
        <v>1</v>
      </c>
      <c r="E5" s="10" t="s">
        <v>954</v>
      </c>
      <c r="F5" s="10">
        <v>1</v>
      </c>
      <c r="G5" s="10" t="s">
        <v>229</v>
      </c>
      <c r="H5" s="10" t="s">
        <v>320</v>
      </c>
      <c r="I5" s="10" t="s">
        <v>74</v>
      </c>
      <c r="J5" s="10">
        <v>3</v>
      </c>
      <c r="K5" s="12">
        <v>45687</v>
      </c>
      <c r="L5" s="33">
        <v>0.47097222222222218</v>
      </c>
      <c r="M5" s="10">
        <v>1</v>
      </c>
      <c r="N5" s="10" t="s">
        <v>75</v>
      </c>
      <c r="O5" s="10">
        <v>4.53E-2</v>
      </c>
      <c r="P5" s="10">
        <v>6.2199999999999998E-3</v>
      </c>
      <c r="Q5" s="10">
        <v>2.75</v>
      </c>
      <c r="R5" s="10" t="s">
        <v>76</v>
      </c>
      <c r="S5" s="34">
        <f t="shared" si="0"/>
        <v>2.75</v>
      </c>
      <c r="T5" s="10" t="s">
        <v>952</v>
      </c>
      <c r="U5" s="34" t="str">
        <f t="shared" si="6"/>
        <v/>
      </c>
      <c r="V5" s="31" t="str">
        <f>IF(H5="CHK",VLOOKUP(I5,QCCHK,3,),IF(H5="GUP",VLOOKUP(E5,QCGUP,2,),IF(AND(H5="ATP",OR(I5="TN",I5="TDN",I5="TNO2-3",I5="NO2-3")),VLOOKUP(E5,QCREC_N,2,),IF(AND(H5="NIC",OR(I5="TN",I5="TDN",I5="TNO2-3",I5="NO2-3")),VLOOKUP(E5,QCNIC_N,2,),IF(AND(H5="UREA",OR(I5="TN",I5="TDN",I5="TNO2-3",I5="NO2-3")),VLOOKUP(E5,QCUREA_N,2,),IF(H5="PER",VLOOKUP(I5,QCPER,MATCH(E5,QCACTUAL!$J$25:$AA$25,0),),IF(H5="SPK",VLOOKUP(I5,QCSPK,3,),IF(AND(H5="ATP",OR(I5="TP",I5="TDP")),VLOOKUP(E5,QCATP_P,2,),""))))))))</f>
        <v/>
      </c>
      <c r="W5" s="31" t="str">
        <f t="shared" si="1"/>
        <v>TRUE</v>
      </c>
      <c r="X5" s="31" t="str">
        <f t="shared" si="2"/>
        <v/>
      </c>
      <c r="Y5" s="10" t="s">
        <v>951</v>
      </c>
      <c r="AL5" s="10" t="str">
        <f t="shared" si="3"/>
        <v>FALSE</v>
      </c>
      <c r="AM5" s="10" t="str">
        <f t="shared" si="3"/>
        <v>FALSE</v>
      </c>
      <c r="AN5" s="10" t="str">
        <f t="shared" si="3"/>
        <v>FALSE</v>
      </c>
      <c r="AO5" s="10" t="str">
        <f t="shared" si="4"/>
        <v>FALSE</v>
      </c>
      <c r="AP5" s="10" t="str">
        <f t="shared" si="4"/>
        <v>FALSE</v>
      </c>
      <c r="AQ5" s="10" t="b">
        <f>IF(AND(I5="TP",S5&lt;=150),VLOOKUP(AF5,TPCalibEq150!$AZ$2:$BB$166,3,),IF(AND(I5="TDP",S5&lt;=150),VLOOKUP(AF5,TPCalibEq150!$AZ$2:$BB$166,3,)))</f>
        <v>0</v>
      </c>
      <c r="AR5" s="10" t="b">
        <f>IF(AND(I5="TP",S5&lt;=300),VLOOKUP(AF5,TPCalibEq300!$AZ$2:$BB$166,3,),IF(AND(I5="TDP",S5&lt;=300),VLOOKUP(AF5,TPCalibEq300!$AZ$2:$BB$166,3,)))</f>
        <v>0</v>
      </c>
      <c r="AS5" s="10" t="b">
        <f>IF(AND(I5="TP",S5&lt;=500),VLOOKUP(AF5,TPCalibEq500!$AZ$2:$BB$165,3,),IF(AND(I5="TDP",S5&lt;=500),VLOOKUP(AF5,TPCalibEq500!$AZ$2:$BB$165,3,)))</f>
        <v>0</v>
      </c>
      <c r="AT5" s="10" t="b">
        <f>IF(AND(I5="TN",S5&lt;=2800),VLOOKUP(AF5,TNCalibEq2500!$AZ$2:$BB$165,3,),IF(AND(I5="TDN",S5&lt;=2800),VLOOKUP(AF5,TNCalibEq2500!$AZ$2:$BB$165,3,)))</f>
        <v>0</v>
      </c>
      <c r="AU5" s="10" t="b">
        <f>IF(I5="TP",VLOOKUP(AF5,TPCalibEqFull!$AZ$2:$BB$165,3),IF(I5="TDP",VLOOKUP(AF5,TPCalibEqFull!$AZ$2:$BB$165,3),IF(I5="TDN",VLOOKUP(AF5,TNCalibEqFull!$AZ$2:$BB$164,3),IF(I5="TN",VLOOKUP(AF5,TNCalibEqFull!$AZ$2:$BB$164,3),FALSE))))</f>
        <v>0</v>
      </c>
      <c r="AV5" s="10" t="str">
        <f t="shared" si="7"/>
        <v>20240803 00:00:00-1000-1-Dp-1-SW-UKN</v>
      </c>
    </row>
    <row r="6" spans="1:48" s="10" customFormat="1" x14ac:dyDescent="0.3">
      <c r="A6" s="32">
        <v>45507</v>
      </c>
      <c r="B6" s="33">
        <v>0</v>
      </c>
      <c r="C6" s="10">
        <v>1000</v>
      </c>
      <c r="D6" s="10">
        <v>2</v>
      </c>
      <c r="E6" s="10" t="s">
        <v>953</v>
      </c>
      <c r="F6" s="10">
        <v>1</v>
      </c>
      <c r="G6" s="10" t="s">
        <v>72</v>
      </c>
      <c r="H6" s="10" t="s">
        <v>239</v>
      </c>
      <c r="I6" s="10" t="s">
        <v>74</v>
      </c>
      <c r="J6" s="10">
        <v>4</v>
      </c>
      <c r="K6" s="12">
        <v>45687</v>
      </c>
      <c r="L6" s="33">
        <v>0.47179398148148149</v>
      </c>
      <c r="M6" s="10">
        <v>1</v>
      </c>
      <c r="N6" s="10" t="s">
        <v>75</v>
      </c>
      <c r="O6" s="10">
        <v>1.64</v>
      </c>
      <c r="P6" s="10">
        <v>0.17699999999999999</v>
      </c>
      <c r="Q6" s="10">
        <v>100</v>
      </c>
      <c r="R6" s="10" t="s">
        <v>76</v>
      </c>
      <c r="S6" s="34">
        <f t="shared" si="0"/>
        <v>100</v>
      </c>
      <c r="T6" s="10" t="s">
        <v>952</v>
      </c>
      <c r="U6" s="34" t="str">
        <f t="shared" si="6"/>
        <v/>
      </c>
      <c r="V6" s="31" t="str">
        <f>IF(H6="CHK",VLOOKUP(I6,QCCHK,3,),IF(H6="GUP",VLOOKUP(E6,QCGUP,2,),IF(AND(H6="ATP",OR(I6="TN",I6="TDN",I6="TNO2-3",I6="NO2-3")),VLOOKUP(E6,QCREC_N,2,),IF(AND(H6="NIC",OR(I6="TN",I6="TDN",I6="TNO2-3",I6="NO2-3")),VLOOKUP(E6,QCNIC_N,2,),IF(AND(H6="UREA",OR(I6="TN",I6="TDN",I6="TNO2-3",I6="NO2-3")),VLOOKUP(E6,QCUREA_N,2,),IF(H6="PER",VLOOKUP(I6,QCPER,MATCH(E6,QCACTUAL!$J$25:$AA$25,0),),IF(H6="SPK",VLOOKUP(I6,QCSPK,3,),IF(AND(H6="ATP",OR(I6="TP",I6="TDP")),VLOOKUP(E6,QCATP_P,2,),""))))))))</f>
        <v/>
      </c>
      <c r="W6" s="31" t="str">
        <f t="shared" si="1"/>
        <v>TRUE</v>
      </c>
      <c r="X6" s="31" t="str">
        <f t="shared" si="2"/>
        <v/>
      </c>
      <c r="Y6" s="10" t="s">
        <v>951</v>
      </c>
      <c r="AL6" s="10" t="str">
        <f t="shared" si="3"/>
        <v>FALSE</v>
      </c>
      <c r="AM6" s="10" t="str">
        <f t="shared" si="3"/>
        <v>FALSE</v>
      </c>
      <c r="AN6" s="10" t="str">
        <f t="shared" si="3"/>
        <v>FALSE</v>
      </c>
      <c r="AO6" s="10" t="str">
        <f t="shared" si="4"/>
        <v>FALSE</v>
      </c>
      <c r="AP6" s="10" t="str">
        <f t="shared" si="4"/>
        <v>FALSE</v>
      </c>
      <c r="AQ6" s="10" t="b">
        <f>IF(AND(I6="TP",S6&lt;=150),VLOOKUP(AF6,TPCalibEq150!$AZ$2:$BB$166,3,),IF(AND(I6="TDP",S6&lt;=150),VLOOKUP(AF6,TPCalibEq150!$AZ$2:$BB$166,3,)))</f>
        <v>0</v>
      </c>
      <c r="AR6" s="10" t="b">
        <f>IF(AND(I6="TP",S6&lt;=300),VLOOKUP(AF6,TPCalibEq300!$AZ$2:$BB$166,3,),IF(AND(I6="TDP",S6&lt;=300),VLOOKUP(AF6,TPCalibEq300!$AZ$2:$BB$166,3,)))</f>
        <v>0</v>
      </c>
      <c r="AS6" s="10" t="b">
        <f>IF(AND(I6="TP",S6&lt;=500),VLOOKUP(AF6,TPCalibEq500!$AZ$2:$BB$165,3,),IF(AND(I6="TDP",S6&lt;=500),VLOOKUP(AF6,TPCalibEq500!$AZ$2:$BB$165,3,)))</f>
        <v>0</v>
      </c>
      <c r="AT6" s="10" t="b">
        <f>IF(AND(I6="TN",S6&lt;=2800),VLOOKUP(AF6,TNCalibEq2500!$AZ$2:$BB$165,3,),IF(AND(I6="TDN",S6&lt;=2800),VLOOKUP(AF6,TNCalibEq2500!$AZ$2:$BB$165,3,)))</f>
        <v>0</v>
      </c>
      <c r="AU6" s="10" t="b">
        <f>IF(I6="TP",VLOOKUP(AF6,TPCalibEqFull!$AZ$2:$BB$165,3),IF(I6="TDP",VLOOKUP(AF6,TPCalibEqFull!$AZ$2:$BB$165,3),IF(I6="TDN",VLOOKUP(AF6,TNCalibEqFull!$AZ$2:$BB$164,3),IF(I6="TN",VLOOKUP(AF6,TNCalibEqFull!$AZ$2:$BB$164,3),FALSE))))</f>
        <v>0</v>
      </c>
      <c r="AV6" s="10" t="str">
        <f t="shared" si="7"/>
        <v>20240803 00:00:00-1000-2-Sh-1-DI-BLK</v>
      </c>
    </row>
    <row r="7" spans="1:48" s="10" customFormat="1" x14ac:dyDescent="0.3">
      <c r="A7" s="32">
        <v>45507</v>
      </c>
      <c r="B7" s="33">
        <v>0</v>
      </c>
      <c r="C7" s="10">
        <v>1000</v>
      </c>
      <c r="D7" s="10">
        <v>2</v>
      </c>
      <c r="E7" s="10" t="s">
        <v>953</v>
      </c>
      <c r="F7" s="10">
        <v>1</v>
      </c>
      <c r="G7" s="10" t="s">
        <v>229</v>
      </c>
      <c r="H7" s="10" t="s">
        <v>320</v>
      </c>
      <c r="I7" s="10" t="s">
        <v>74</v>
      </c>
      <c r="J7" s="10">
        <v>5</v>
      </c>
      <c r="K7" s="12">
        <v>45687</v>
      </c>
      <c r="L7" s="33">
        <v>0.47259259259259262</v>
      </c>
      <c r="M7" s="10">
        <v>1</v>
      </c>
      <c r="N7" s="10" t="s">
        <v>75</v>
      </c>
      <c r="O7" s="10">
        <v>0.32900000000000001</v>
      </c>
      <c r="P7" s="10">
        <v>3.0499999999999999E-2</v>
      </c>
      <c r="Q7" s="10">
        <v>20</v>
      </c>
      <c r="R7" s="10" t="s">
        <v>76</v>
      </c>
      <c r="S7" s="34">
        <f t="shared" si="0"/>
        <v>20</v>
      </c>
      <c r="T7" s="10" t="s">
        <v>952</v>
      </c>
      <c r="U7" s="34" t="str">
        <f t="shared" si="6"/>
        <v/>
      </c>
      <c r="V7" s="31" t="str">
        <f>IF(H7="CHK",VLOOKUP(I7,QCCHK,3,),IF(H7="GUP",VLOOKUP(E7,QCGUP,2,),IF(AND(H7="ATP",OR(I7="TN",I7="TDN",I7="TNO2-3",I7="NO2-3")),VLOOKUP(E7,QCREC_N,2,),IF(AND(H7="NIC",OR(I7="TN",I7="TDN",I7="TNO2-3",I7="NO2-3")),VLOOKUP(E7,QCNIC_N,2,),IF(AND(H7="UREA",OR(I7="TN",I7="TDN",I7="TNO2-3",I7="NO2-3")),VLOOKUP(E7,QCUREA_N,2,),IF(H7="PER",VLOOKUP(I7,QCPER,MATCH(E7,QCACTUAL!$J$25:$AA$25,0),),IF(H7="SPK",VLOOKUP(I7,QCSPK,3,),IF(AND(H7="ATP",OR(I7="TP",I7="TDP")),VLOOKUP(E7,QCATP_P,2,),""))))))))</f>
        <v/>
      </c>
      <c r="W7" s="31" t="str">
        <f t="shared" si="1"/>
        <v>TRUE</v>
      </c>
      <c r="X7" s="31" t="str">
        <f t="shared" si="2"/>
        <v/>
      </c>
      <c r="Y7" s="10" t="s">
        <v>951</v>
      </c>
      <c r="AL7" s="10" t="str">
        <f t="shared" si="3"/>
        <v>FALSE</v>
      </c>
      <c r="AM7" s="10" t="str">
        <f t="shared" si="3"/>
        <v>FALSE</v>
      </c>
      <c r="AN7" s="10" t="str">
        <f t="shared" si="3"/>
        <v>FALSE</v>
      </c>
      <c r="AO7" s="10" t="str">
        <f t="shared" si="4"/>
        <v>FALSE</v>
      </c>
      <c r="AP7" s="10" t="str">
        <f t="shared" si="4"/>
        <v>FALSE</v>
      </c>
      <c r="AQ7" s="10" t="b">
        <f>IF(AND(I7="TP",S7&lt;=150),VLOOKUP(AF7,TPCalibEq150!$AZ$2:$BB$166,3,),IF(AND(I7="TDP",S7&lt;=150),VLOOKUP(AF7,TPCalibEq150!$AZ$2:$BB$166,3,)))</f>
        <v>0</v>
      </c>
      <c r="AR7" s="10" t="b">
        <f>IF(AND(I7="TP",S7&lt;=300),VLOOKUP(AF7,TPCalibEq300!$AZ$2:$BB$166,3,),IF(AND(I7="TDP",S7&lt;=300),VLOOKUP(AF7,TPCalibEq300!$AZ$2:$BB$166,3,)))</f>
        <v>0</v>
      </c>
      <c r="AS7" s="10" t="b">
        <f>IF(AND(I7="TP",S7&lt;=500),VLOOKUP(AF7,TPCalibEq500!$AZ$2:$BB$165,3,),IF(AND(I7="TDP",S7&lt;=500),VLOOKUP(AF7,TPCalibEq500!$AZ$2:$BB$165,3,)))</f>
        <v>0</v>
      </c>
      <c r="AT7" s="10" t="b">
        <f>IF(AND(I7="TN",S7&lt;=2800),VLOOKUP(AF7,TNCalibEq2500!$AZ$2:$BB$165,3,),IF(AND(I7="TDN",S7&lt;=2800),VLOOKUP(AF7,TNCalibEq2500!$AZ$2:$BB$165,3,)))</f>
        <v>0</v>
      </c>
      <c r="AU7" s="10" t="b">
        <f>IF(I7="TP",VLOOKUP(AF7,TPCalibEqFull!$AZ$2:$BB$165,3),IF(I7="TDP",VLOOKUP(AF7,TPCalibEqFull!$AZ$2:$BB$165,3),IF(I7="TDN",VLOOKUP(AF7,TNCalibEqFull!$AZ$2:$BB$164,3),IF(I7="TN",VLOOKUP(AF7,TNCalibEqFull!$AZ$2:$BB$164,3),FALSE))))</f>
        <v>0</v>
      </c>
      <c r="AV7" s="10" t="str">
        <f t="shared" si="7"/>
        <v>20240803 00:00:00-1000-2-Sh-1-SW-UKN</v>
      </c>
    </row>
    <row r="8" spans="1:48" s="10" customFormat="1" x14ac:dyDescent="0.3">
      <c r="A8" s="32">
        <v>45507</v>
      </c>
      <c r="B8" s="33">
        <v>0</v>
      </c>
      <c r="C8" s="10">
        <v>1000</v>
      </c>
      <c r="D8" s="10">
        <v>2</v>
      </c>
      <c r="E8" s="10" t="s">
        <v>953</v>
      </c>
      <c r="F8" s="10">
        <v>2</v>
      </c>
      <c r="G8" s="10" t="s">
        <v>229</v>
      </c>
      <c r="H8" s="10" t="s">
        <v>320</v>
      </c>
      <c r="I8" s="10" t="s">
        <v>74</v>
      </c>
      <c r="J8" s="10">
        <v>6</v>
      </c>
      <c r="K8" s="12">
        <v>45687</v>
      </c>
      <c r="L8" s="33">
        <v>0.47340277777777778</v>
      </c>
      <c r="M8" s="10">
        <v>1</v>
      </c>
      <c r="N8" s="10" t="s">
        <v>75</v>
      </c>
      <c r="O8" s="10">
        <v>0.10100000000000001</v>
      </c>
      <c r="P8" s="10">
        <v>6.3499999999999997E-3</v>
      </c>
      <c r="Q8" s="10">
        <v>6.16</v>
      </c>
      <c r="R8" s="10" t="s">
        <v>76</v>
      </c>
      <c r="S8" s="34">
        <f t="shared" si="0"/>
        <v>6.16</v>
      </c>
      <c r="T8" s="10" t="s">
        <v>952</v>
      </c>
      <c r="U8" s="34" t="str">
        <f t="shared" si="6"/>
        <v/>
      </c>
      <c r="V8" s="31" t="str">
        <f>IF(H8="CHK",VLOOKUP(I8,QCCHK,3,),IF(H8="GUP",VLOOKUP(E8,QCGUP,2,),IF(AND(H8="ATP",OR(I8="TN",I8="TDN",I8="TNO2-3",I8="NO2-3")),VLOOKUP(E8,QCREC_N,2,),IF(AND(H8="NIC",OR(I8="TN",I8="TDN",I8="TNO2-3",I8="NO2-3")),VLOOKUP(E8,QCNIC_N,2,),IF(AND(H8="UREA",OR(I8="TN",I8="TDN",I8="TNO2-3",I8="NO2-3")),VLOOKUP(E8,QCUREA_N,2,),IF(H8="PER",VLOOKUP(I8,QCPER,MATCH(E8,QCACTUAL!$J$25:$AA$25,0),),IF(H8="SPK",VLOOKUP(I8,QCSPK,3,),IF(AND(H8="ATP",OR(I8="TP",I8="TDP")),VLOOKUP(E8,QCATP_P,2,),""))))))))</f>
        <v/>
      </c>
      <c r="W8" s="31" t="str">
        <f t="shared" si="1"/>
        <v>TRUE</v>
      </c>
      <c r="X8" s="31" t="str">
        <f t="shared" si="2"/>
        <v/>
      </c>
      <c r="Y8" s="10" t="s">
        <v>951</v>
      </c>
      <c r="AL8" s="10" t="str">
        <f t="shared" si="3"/>
        <v>FALSE</v>
      </c>
      <c r="AM8" s="10" t="str">
        <f t="shared" si="3"/>
        <v>FALSE</v>
      </c>
      <c r="AN8" s="10" t="str">
        <f t="shared" si="3"/>
        <v>FALSE</v>
      </c>
      <c r="AO8" s="10" t="str">
        <f t="shared" si="4"/>
        <v>FALSE</v>
      </c>
      <c r="AP8" s="10" t="str">
        <f t="shared" si="4"/>
        <v>FALSE</v>
      </c>
      <c r="AQ8" s="10" t="b">
        <f>IF(AND(I8="TP",S8&lt;=150),VLOOKUP(AF8,TPCalibEq150!$AZ$2:$BB$166,3,),IF(AND(I8="TDP",S8&lt;=150),VLOOKUP(AF8,TPCalibEq150!$AZ$2:$BB$166,3,)))</f>
        <v>0</v>
      </c>
      <c r="AR8" s="10" t="b">
        <f>IF(AND(I8="TP",S8&lt;=300),VLOOKUP(AF8,TPCalibEq300!$AZ$2:$BB$166,3,),IF(AND(I8="TDP",S8&lt;=300),VLOOKUP(AF8,TPCalibEq300!$AZ$2:$BB$166,3,)))</f>
        <v>0</v>
      </c>
      <c r="AS8" s="10" t="b">
        <f>IF(AND(I8="TP",S8&lt;=500),VLOOKUP(AF8,TPCalibEq500!$AZ$2:$BB$165,3,),IF(AND(I8="TDP",S8&lt;=500),VLOOKUP(AF8,TPCalibEq500!$AZ$2:$BB$165,3,)))</f>
        <v>0</v>
      </c>
      <c r="AT8" s="10" t="b">
        <f>IF(AND(I8="TN",S8&lt;=2800),VLOOKUP(AF8,TNCalibEq2500!$AZ$2:$BB$165,3,),IF(AND(I8="TDN",S8&lt;=2800),VLOOKUP(AF8,TNCalibEq2500!$AZ$2:$BB$165,3,)))</f>
        <v>0</v>
      </c>
      <c r="AU8" s="10" t="b">
        <f>IF(I8="TP",VLOOKUP(AF8,TPCalibEqFull!$AZ$2:$BB$165,3),IF(I8="TDP",VLOOKUP(AF8,TPCalibEqFull!$AZ$2:$BB$165,3),IF(I8="TDN",VLOOKUP(AF8,TNCalibEqFull!$AZ$2:$BB$164,3),IF(I8="TN",VLOOKUP(AF8,TNCalibEqFull!$AZ$2:$BB$164,3),FALSE))))</f>
        <v>0</v>
      </c>
      <c r="AV8" s="10" t="str">
        <f t="shared" si="7"/>
        <v>20240803 00:00:00-1000-2-Sh-2-SW-UKN</v>
      </c>
    </row>
    <row r="9" spans="1:48" s="10" customFormat="1" x14ac:dyDescent="0.3">
      <c r="A9" s="32">
        <v>45500</v>
      </c>
      <c r="B9" s="33">
        <v>0</v>
      </c>
      <c r="C9" s="10">
        <v>1000</v>
      </c>
      <c r="D9" s="10">
        <v>2</v>
      </c>
      <c r="E9" s="10" t="s">
        <v>954</v>
      </c>
      <c r="F9" s="10">
        <v>1</v>
      </c>
      <c r="G9" s="10" t="s">
        <v>229</v>
      </c>
      <c r="H9" s="10" t="s">
        <v>320</v>
      </c>
      <c r="I9" s="10" t="s">
        <v>74</v>
      </c>
      <c r="J9" s="10">
        <v>7</v>
      </c>
      <c r="K9" s="12">
        <v>45687</v>
      </c>
      <c r="L9" s="33">
        <v>0.47422453703703704</v>
      </c>
      <c r="M9" s="10">
        <v>1</v>
      </c>
      <c r="N9" s="10" t="s">
        <v>75</v>
      </c>
      <c r="O9" s="10">
        <v>1.32E-2</v>
      </c>
      <c r="P9" s="10">
        <v>1.6100000000000001E-3</v>
      </c>
      <c r="Q9" s="10">
        <v>0.80100000000000005</v>
      </c>
      <c r="R9" s="10" t="s">
        <v>76</v>
      </c>
      <c r="S9" s="34">
        <f t="shared" si="0"/>
        <v>0.80100000000000005</v>
      </c>
      <c r="T9" s="10" t="s">
        <v>952</v>
      </c>
      <c r="U9" s="34" t="str">
        <f t="shared" si="6"/>
        <v/>
      </c>
      <c r="V9" s="31" t="str">
        <f>IF(H9="CHK",VLOOKUP(I9,QCCHK,3,),IF(H9="GUP",VLOOKUP(E9,QCGUP,2,),IF(AND(H9="ATP",OR(I9="TN",I9="TDN",I9="TNO2-3",I9="NO2-3")),VLOOKUP(E9,QCREC_N,2,),IF(AND(H9="NIC",OR(I9="TN",I9="TDN",I9="TNO2-3",I9="NO2-3")),VLOOKUP(E9,QCNIC_N,2,),IF(AND(H9="UREA",OR(I9="TN",I9="TDN",I9="TNO2-3",I9="NO2-3")),VLOOKUP(E9,QCUREA_N,2,),IF(H9="PER",VLOOKUP(I9,QCPER,MATCH(E9,QCACTUAL!$J$25:$AA$25,0),),IF(H9="SPK",VLOOKUP(I9,QCSPK,3,),IF(AND(H9="ATP",OR(I9="TP",I9="TDP")),VLOOKUP(E9,QCATP_P,2,),""))))))))</f>
        <v/>
      </c>
      <c r="W9" s="31" t="str">
        <f t="shared" si="1"/>
        <v>TRUE</v>
      </c>
      <c r="X9" s="31" t="str">
        <f t="shared" si="2"/>
        <v/>
      </c>
      <c r="Y9" s="10" t="s">
        <v>951</v>
      </c>
      <c r="AL9" s="10" t="str">
        <f t="shared" si="3"/>
        <v>FALSE</v>
      </c>
      <c r="AM9" s="10" t="str">
        <f t="shared" si="3"/>
        <v>FALSE</v>
      </c>
      <c r="AN9" s="10" t="str">
        <f t="shared" si="3"/>
        <v>FALSE</v>
      </c>
      <c r="AO9" s="10" t="str">
        <f t="shared" si="4"/>
        <v>FALSE</v>
      </c>
      <c r="AP9" s="10" t="str">
        <f t="shared" si="4"/>
        <v>FALSE</v>
      </c>
      <c r="AQ9" s="10" t="b">
        <f>IF(AND(I9="TP",S9&lt;=150),VLOOKUP(AF9,TPCalibEq150!$AZ$2:$BB$166,3,),IF(AND(I9="TDP",S9&lt;=150),VLOOKUP(AF9,TPCalibEq150!$AZ$2:$BB$166,3,)))</f>
        <v>0</v>
      </c>
      <c r="AR9" s="10" t="b">
        <f>IF(AND(I9="TP",S9&lt;=300),VLOOKUP(AF9,TPCalibEq300!$AZ$2:$BB$166,3,),IF(AND(I9="TDP",S9&lt;=300),VLOOKUP(AF9,TPCalibEq300!$AZ$2:$BB$166,3,)))</f>
        <v>0</v>
      </c>
      <c r="AS9" s="10" t="b">
        <f>IF(AND(I9="TP",S9&lt;=500),VLOOKUP(AF9,TPCalibEq500!$AZ$2:$BB$165,3,),IF(AND(I9="TDP",S9&lt;=500),VLOOKUP(AF9,TPCalibEq500!$AZ$2:$BB$165,3,)))</f>
        <v>0</v>
      </c>
      <c r="AT9" s="10" t="b">
        <f>IF(AND(I9="TN",S9&lt;=2800),VLOOKUP(AF9,TNCalibEq2500!$AZ$2:$BB$165,3,),IF(AND(I9="TDN",S9&lt;=2800),VLOOKUP(AF9,TNCalibEq2500!$AZ$2:$BB$165,3,)))</f>
        <v>0</v>
      </c>
      <c r="AU9" s="10" t="b">
        <f>IF(I9="TP",VLOOKUP(AF9,TPCalibEqFull!$AZ$2:$BB$165,3),IF(I9="TDP",VLOOKUP(AF9,TPCalibEqFull!$AZ$2:$BB$165,3),IF(I9="TDN",VLOOKUP(AF9,TNCalibEqFull!$AZ$2:$BB$164,3),IF(I9="TN",VLOOKUP(AF9,TNCalibEqFull!$AZ$2:$BB$164,3),FALSE))))</f>
        <v>0</v>
      </c>
      <c r="AV9" s="10" t="str">
        <f t="shared" si="7"/>
        <v>20240727 00:00:00-1000-2-Dp-1-SW-UKN</v>
      </c>
    </row>
    <row r="10" spans="1:48" s="10" customFormat="1" x14ac:dyDescent="0.3">
      <c r="A10" s="32">
        <v>45500</v>
      </c>
      <c r="B10" s="33">
        <v>0</v>
      </c>
      <c r="C10" s="10">
        <v>1000</v>
      </c>
      <c r="D10" s="10">
        <v>3</v>
      </c>
      <c r="E10" s="10" t="s">
        <v>953</v>
      </c>
      <c r="F10" s="10">
        <v>1</v>
      </c>
      <c r="G10" s="10" t="s">
        <v>72</v>
      </c>
      <c r="H10" s="10" t="s">
        <v>239</v>
      </c>
      <c r="I10" s="10" t="s">
        <v>74</v>
      </c>
      <c r="J10" s="10">
        <v>8</v>
      </c>
      <c r="K10" s="12">
        <v>45687</v>
      </c>
      <c r="L10" s="33">
        <v>0.47505787037037034</v>
      </c>
      <c r="M10" s="10">
        <v>1</v>
      </c>
      <c r="N10" s="10" t="s">
        <v>75</v>
      </c>
      <c r="O10" s="10">
        <v>0.28000000000000003</v>
      </c>
      <c r="P10" s="10">
        <v>0.30399999999999999</v>
      </c>
      <c r="Q10" s="10">
        <v>17</v>
      </c>
      <c r="R10" s="10" t="s">
        <v>76</v>
      </c>
      <c r="S10" s="34">
        <f t="shared" si="0"/>
        <v>17</v>
      </c>
      <c r="T10" s="10" t="s">
        <v>952</v>
      </c>
      <c r="U10" s="34" t="str">
        <f t="shared" si="6"/>
        <v/>
      </c>
      <c r="V10" s="31" t="str">
        <f>IF(H10="CHK",VLOOKUP(I10,QCCHK,3,),IF(H10="GUP",VLOOKUP(E10,QCGUP,2,),IF(AND(H10="ATP",OR(I10="TN",I10="TDN",I10="TNO2-3",I10="NO2-3")),VLOOKUP(E10,QCREC_N,2,),IF(AND(H10="NIC",OR(I10="TN",I10="TDN",I10="TNO2-3",I10="NO2-3")),VLOOKUP(E10,QCNIC_N,2,),IF(AND(H10="UREA",OR(I10="TN",I10="TDN",I10="TNO2-3",I10="NO2-3")),VLOOKUP(E10,QCUREA_N,2,),IF(H10="PER",VLOOKUP(I10,QCPER,MATCH(E10,QCACTUAL!$J$25:$AA$25,0),),IF(H10="SPK",VLOOKUP(I10,QCSPK,3,),IF(AND(H10="ATP",OR(I10="TP",I10="TDP")),VLOOKUP(E10,QCATP_P,2,),""))))))))</f>
        <v/>
      </c>
      <c r="W10" s="31" t="str">
        <f t="shared" si="1"/>
        <v>TRUE</v>
      </c>
      <c r="X10" s="31" t="str">
        <f t="shared" si="2"/>
        <v/>
      </c>
      <c r="Y10" s="10" t="s">
        <v>951</v>
      </c>
      <c r="AL10" s="10" t="str">
        <f t="shared" si="3"/>
        <v>FALSE</v>
      </c>
      <c r="AM10" s="10" t="str">
        <f t="shared" si="3"/>
        <v>FALSE</v>
      </c>
      <c r="AN10" s="10" t="str">
        <f t="shared" si="3"/>
        <v>FALSE</v>
      </c>
      <c r="AO10" s="10" t="str">
        <f t="shared" si="4"/>
        <v>FALSE</v>
      </c>
      <c r="AP10" s="10" t="str">
        <f t="shared" si="4"/>
        <v>FALSE</v>
      </c>
      <c r="AQ10" s="10" t="b">
        <f>IF(AND(I10="TP",S10&lt;=150),VLOOKUP(AF10,TPCalibEq150!$AZ$2:$BB$166,3,),IF(AND(I10="TDP",S10&lt;=150),VLOOKUP(AF10,TPCalibEq150!$AZ$2:$BB$166,3,)))</f>
        <v>0</v>
      </c>
      <c r="AR10" s="10" t="b">
        <f>IF(AND(I10="TP",S10&lt;=300),VLOOKUP(AF10,TPCalibEq300!$AZ$2:$BB$166,3,),IF(AND(I10="TDP",S10&lt;=300),VLOOKUP(AF10,TPCalibEq300!$AZ$2:$BB$166,3,)))</f>
        <v>0</v>
      </c>
      <c r="AS10" s="10" t="b">
        <f>IF(AND(I10="TP",S10&lt;=500),VLOOKUP(AF10,TPCalibEq500!$AZ$2:$BB$165,3,),IF(AND(I10="TDP",S10&lt;=500),VLOOKUP(AF10,TPCalibEq500!$AZ$2:$BB$165,3,)))</f>
        <v>0</v>
      </c>
      <c r="AT10" s="10" t="b">
        <f>IF(AND(I10="TN",S10&lt;=2800),VLOOKUP(AF10,TNCalibEq2500!$AZ$2:$BB$165,3,),IF(AND(I10="TDN",S10&lt;=2800),VLOOKUP(AF10,TNCalibEq2500!$AZ$2:$BB$165,3,)))</f>
        <v>0</v>
      </c>
      <c r="AU10" s="10" t="b">
        <f>IF(I10="TP",VLOOKUP(AF10,TPCalibEqFull!$AZ$2:$BB$165,3),IF(I10="TDP",VLOOKUP(AF10,TPCalibEqFull!$AZ$2:$BB$165,3),IF(I10="TDN",VLOOKUP(AF10,TNCalibEqFull!$AZ$2:$BB$164,3),IF(I10="TN",VLOOKUP(AF10,TNCalibEqFull!$AZ$2:$BB$164,3),FALSE))))</f>
        <v>0</v>
      </c>
      <c r="AV10" s="10" t="str">
        <f t="shared" si="7"/>
        <v>20240727 00:00:00-1000-3-Sh-1-DI-BLK</v>
      </c>
    </row>
    <row r="11" spans="1:48" s="10" customFormat="1" x14ac:dyDescent="0.3">
      <c r="A11" s="32">
        <v>45500</v>
      </c>
      <c r="B11" s="33">
        <v>0</v>
      </c>
      <c r="C11" s="10">
        <v>1000</v>
      </c>
      <c r="D11" s="10">
        <v>3</v>
      </c>
      <c r="E11" s="10" t="s">
        <v>953</v>
      </c>
      <c r="F11" s="10">
        <v>1</v>
      </c>
      <c r="G11" s="10" t="s">
        <v>229</v>
      </c>
      <c r="H11" s="10" t="s">
        <v>320</v>
      </c>
      <c r="I11" s="10" t="s">
        <v>74</v>
      </c>
      <c r="J11" s="10">
        <v>9</v>
      </c>
      <c r="K11" s="12">
        <v>45687</v>
      </c>
      <c r="L11" s="33">
        <v>0.47587962962962965</v>
      </c>
      <c r="M11" s="10">
        <v>1</v>
      </c>
      <c r="N11" s="10" t="s">
        <v>75</v>
      </c>
      <c r="O11" s="10">
        <v>6.3899999999999998E-2</v>
      </c>
      <c r="P11" s="10">
        <v>9.9100000000000004E-3</v>
      </c>
      <c r="Q11" s="10">
        <v>3.88</v>
      </c>
      <c r="R11" s="10" t="s">
        <v>76</v>
      </c>
      <c r="S11" s="34">
        <f t="shared" si="0"/>
        <v>3.88</v>
      </c>
      <c r="T11" s="10" t="s">
        <v>952</v>
      </c>
      <c r="U11" s="34" t="str">
        <f t="shared" si="6"/>
        <v/>
      </c>
      <c r="V11" s="31" t="str">
        <f>IF(H11="CHK",VLOOKUP(I11,QCCHK,3,),IF(H11="GUP",VLOOKUP(E11,QCGUP,2,),IF(AND(H11="ATP",OR(I11="TN",I11="TDN",I11="TNO2-3",I11="NO2-3")),VLOOKUP(E11,QCREC_N,2,),IF(AND(H11="NIC",OR(I11="TN",I11="TDN",I11="TNO2-3",I11="NO2-3")),VLOOKUP(E11,QCNIC_N,2,),IF(AND(H11="UREA",OR(I11="TN",I11="TDN",I11="TNO2-3",I11="NO2-3")),VLOOKUP(E11,QCUREA_N,2,),IF(H11="PER",VLOOKUP(I11,QCPER,MATCH(E11,QCACTUAL!$J$25:$AA$25,0),),IF(H11="SPK",VLOOKUP(I11,QCSPK,3,),IF(AND(H11="ATP",OR(I11="TP",I11="TDP")),VLOOKUP(E11,QCATP_P,2,),""))))))))</f>
        <v/>
      </c>
      <c r="W11" s="31" t="str">
        <f t="shared" si="1"/>
        <v>TRUE</v>
      </c>
      <c r="X11" s="31" t="str">
        <f t="shared" si="2"/>
        <v/>
      </c>
      <c r="Y11" s="10" t="s">
        <v>951</v>
      </c>
      <c r="AL11" s="10" t="str">
        <f t="shared" si="3"/>
        <v>FALSE</v>
      </c>
      <c r="AM11" s="10" t="str">
        <f t="shared" si="3"/>
        <v>FALSE</v>
      </c>
      <c r="AN11" s="10" t="str">
        <f t="shared" si="3"/>
        <v>FALSE</v>
      </c>
      <c r="AO11" s="10" t="str">
        <f t="shared" si="4"/>
        <v>FALSE</v>
      </c>
      <c r="AP11" s="10" t="str">
        <f t="shared" si="4"/>
        <v>FALSE</v>
      </c>
      <c r="AQ11" s="10" t="b">
        <f>IF(AND(I11="TP",S11&lt;=150),VLOOKUP(AF11,TPCalibEq150!$AZ$2:$BB$166,3,),IF(AND(I11="TDP",S11&lt;=150),VLOOKUP(AF11,TPCalibEq150!$AZ$2:$BB$166,3,)))</f>
        <v>0</v>
      </c>
      <c r="AR11" s="10" t="b">
        <f>IF(AND(I11="TP",S11&lt;=300),VLOOKUP(AF11,TPCalibEq300!$AZ$2:$BB$166,3,),IF(AND(I11="TDP",S11&lt;=300),VLOOKUP(AF11,TPCalibEq300!$AZ$2:$BB$166,3,)))</f>
        <v>0</v>
      </c>
      <c r="AS11" s="10" t="b">
        <f>IF(AND(I11="TP",S11&lt;=500),VLOOKUP(AF11,TPCalibEq500!$AZ$2:$BB$165,3,),IF(AND(I11="TDP",S11&lt;=500),VLOOKUP(AF11,TPCalibEq500!$AZ$2:$BB$165,3,)))</f>
        <v>0</v>
      </c>
      <c r="AT11" s="10" t="b">
        <f>IF(AND(I11="TN",S11&lt;=2800),VLOOKUP(AF11,TNCalibEq2500!$AZ$2:$BB$165,3,),IF(AND(I11="TDN",S11&lt;=2800),VLOOKUP(AF11,TNCalibEq2500!$AZ$2:$BB$165,3,)))</f>
        <v>0</v>
      </c>
      <c r="AU11" s="10" t="b">
        <f>IF(I11="TP",VLOOKUP(AF11,TPCalibEqFull!$AZ$2:$BB$165,3),IF(I11="TDP",VLOOKUP(AF11,TPCalibEqFull!$AZ$2:$BB$165,3),IF(I11="TDN",VLOOKUP(AF11,TNCalibEqFull!$AZ$2:$BB$164,3),IF(I11="TN",VLOOKUP(AF11,TNCalibEqFull!$AZ$2:$BB$164,3),FALSE))))</f>
        <v>0</v>
      </c>
      <c r="AV11" s="10" t="str">
        <f t="shared" si="7"/>
        <v>20240727 00:00:00-1000-3-Sh-1-SW-UKN</v>
      </c>
    </row>
    <row r="12" spans="1:48" s="10" customFormat="1" x14ac:dyDescent="0.3">
      <c r="A12" s="32">
        <v>45500</v>
      </c>
      <c r="B12" s="33">
        <v>0</v>
      </c>
      <c r="C12" s="10">
        <v>1000</v>
      </c>
      <c r="D12" s="10">
        <v>3</v>
      </c>
      <c r="E12" s="10" t="s">
        <v>953</v>
      </c>
      <c r="F12" s="10">
        <v>2</v>
      </c>
      <c r="G12" s="10" t="s">
        <v>229</v>
      </c>
      <c r="H12" s="10" t="s">
        <v>320</v>
      </c>
      <c r="I12" s="10" t="s">
        <v>74</v>
      </c>
      <c r="J12" s="10">
        <v>10</v>
      </c>
      <c r="K12" s="12">
        <v>45687</v>
      </c>
      <c r="L12" s="33">
        <v>0.47667824074074078</v>
      </c>
      <c r="M12" s="10">
        <v>1</v>
      </c>
      <c r="N12" s="10" t="s">
        <v>75</v>
      </c>
      <c r="O12" s="10">
        <v>3.9899999999999998E-2</v>
      </c>
      <c r="P12" s="10">
        <v>4.6100000000000002E-2</v>
      </c>
      <c r="Q12" s="10">
        <v>2.42</v>
      </c>
      <c r="R12" s="10" t="s">
        <v>76</v>
      </c>
      <c r="S12" s="34">
        <f t="shared" si="0"/>
        <v>2.42</v>
      </c>
      <c r="T12" s="10" t="s">
        <v>952</v>
      </c>
      <c r="U12" s="34" t="str">
        <f t="shared" si="6"/>
        <v/>
      </c>
      <c r="V12" s="31" t="str">
        <f>IF(H12="CHK",VLOOKUP(I12,QCCHK,3,),IF(H12="GUP",VLOOKUP(E12,QCGUP,2,),IF(AND(H12="ATP",OR(I12="TN",I12="TDN",I12="TNO2-3",I12="NO2-3")),VLOOKUP(E12,QCREC_N,2,),IF(AND(H12="NIC",OR(I12="TN",I12="TDN",I12="TNO2-3",I12="NO2-3")),VLOOKUP(E12,QCNIC_N,2,),IF(AND(H12="UREA",OR(I12="TN",I12="TDN",I12="TNO2-3",I12="NO2-3")),VLOOKUP(E12,QCUREA_N,2,),IF(H12="PER",VLOOKUP(I12,QCPER,MATCH(E12,QCACTUAL!$J$25:$AA$25,0),),IF(H12="SPK",VLOOKUP(I12,QCSPK,3,),IF(AND(H12="ATP",OR(I12="TP",I12="TDP")),VLOOKUP(E12,QCATP_P,2,),""))))))))</f>
        <v/>
      </c>
      <c r="W12" s="31" t="str">
        <f t="shared" si="1"/>
        <v>TRUE</v>
      </c>
      <c r="X12" s="31" t="str">
        <f t="shared" si="2"/>
        <v/>
      </c>
      <c r="Y12" s="10" t="s">
        <v>951</v>
      </c>
      <c r="AL12" s="10" t="str">
        <f t="shared" si="3"/>
        <v>FALSE</v>
      </c>
      <c r="AM12" s="10" t="str">
        <f t="shared" si="3"/>
        <v>FALSE</v>
      </c>
      <c r="AN12" s="10" t="str">
        <f t="shared" si="3"/>
        <v>FALSE</v>
      </c>
      <c r="AO12" s="10" t="str">
        <f t="shared" si="4"/>
        <v>FALSE</v>
      </c>
      <c r="AP12" s="10" t="str">
        <f t="shared" si="4"/>
        <v>FALSE</v>
      </c>
      <c r="AQ12" s="10" t="b">
        <f>IF(AND(I12="TP",S12&lt;=150),VLOOKUP(AF12,TPCalibEq150!$AZ$2:$BB$166,3,),IF(AND(I12="TDP",S12&lt;=150),VLOOKUP(AF12,TPCalibEq150!$AZ$2:$BB$166,3,)))</f>
        <v>0</v>
      </c>
      <c r="AR12" s="10" t="b">
        <f>IF(AND(I12="TP",S12&lt;=300),VLOOKUP(AF12,TPCalibEq300!$AZ$2:$BB$166,3,),IF(AND(I12="TDP",S12&lt;=300),VLOOKUP(AF12,TPCalibEq300!$AZ$2:$BB$166,3,)))</f>
        <v>0</v>
      </c>
      <c r="AS12" s="10" t="b">
        <f>IF(AND(I12="TP",S12&lt;=500),VLOOKUP(AF12,TPCalibEq500!$AZ$2:$BB$165,3,),IF(AND(I12="TDP",S12&lt;=500),VLOOKUP(AF12,TPCalibEq500!$AZ$2:$BB$165,3,)))</f>
        <v>0</v>
      </c>
      <c r="AT12" s="10" t="b">
        <f>IF(AND(I12="TN",S12&lt;=2800),VLOOKUP(AF12,TNCalibEq2500!$AZ$2:$BB$165,3,),IF(AND(I12="TDN",S12&lt;=2800),VLOOKUP(AF12,TNCalibEq2500!$AZ$2:$BB$165,3,)))</f>
        <v>0</v>
      </c>
      <c r="AU12" s="10" t="b">
        <f>IF(I12="TP",VLOOKUP(AF12,TPCalibEqFull!$AZ$2:$BB$165,3),IF(I12="TDP",VLOOKUP(AF12,TPCalibEqFull!$AZ$2:$BB$165,3),IF(I12="TDN",VLOOKUP(AF12,TNCalibEqFull!$AZ$2:$BB$164,3),IF(I12="TN",VLOOKUP(AF12,TNCalibEqFull!$AZ$2:$BB$164,3),FALSE))))</f>
        <v>0</v>
      </c>
      <c r="AV12" s="10" t="str">
        <f t="shared" si="7"/>
        <v>20240727 00:00:00-1000-3-Sh-2-SW-UKN</v>
      </c>
    </row>
    <row r="13" spans="1:48" s="10" customFormat="1" x14ac:dyDescent="0.3">
      <c r="A13" s="32">
        <v>45500</v>
      </c>
      <c r="B13" s="33">
        <v>0</v>
      </c>
      <c r="C13" s="10">
        <v>1000</v>
      </c>
      <c r="D13" s="10">
        <v>3</v>
      </c>
      <c r="E13" s="10" t="s">
        <v>954</v>
      </c>
      <c r="F13" s="10">
        <v>1</v>
      </c>
      <c r="G13" s="10" t="s">
        <v>229</v>
      </c>
      <c r="H13" s="10" t="s">
        <v>320</v>
      </c>
      <c r="I13" s="10" t="s">
        <v>74</v>
      </c>
      <c r="J13" s="10">
        <v>11</v>
      </c>
      <c r="K13" s="12">
        <v>45687</v>
      </c>
      <c r="L13" s="33">
        <v>0.49199074074074073</v>
      </c>
      <c r="M13" s="10">
        <v>10</v>
      </c>
      <c r="N13" s="10" t="s">
        <v>75</v>
      </c>
      <c r="O13" s="10">
        <v>4.22</v>
      </c>
      <c r="P13" s="10">
        <v>0.498</v>
      </c>
      <c r="Q13" s="10">
        <v>260</v>
      </c>
      <c r="R13" s="10" t="s">
        <v>76</v>
      </c>
      <c r="S13" s="34">
        <f t="shared" si="0"/>
        <v>2600</v>
      </c>
      <c r="T13" s="10" t="s">
        <v>952</v>
      </c>
      <c r="U13" s="34" t="str">
        <f t="shared" si="6"/>
        <v/>
      </c>
      <c r="V13" s="31" t="str">
        <f>IF(H13="CHK",VLOOKUP(I13,QCCHK,3,),IF(H13="GUP",VLOOKUP(E13,QCGUP,2,),IF(AND(H13="ATP",OR(I13="TN",I13="TDN",I13="TNO2-3",I13="NO2-3")),VLOOKUP(E13,QCREC_N,2,),IF(AND(H13="NIC",OR(I13="TN",I13="TDN",I13="TNO2-3",I13="NO2-3")),VLOOKUP(E13,QCNIC_N,2,),IF(AND(H13="UREA",OR(I13="TN",I13="TDN",I13="TNO2-3",I13="NO2-3")),VLOOKUP(E13,QCUREA_N,2,),IF(H13="PER",VLOOKUP(I13,QCPER,MATCH(E13,QCACTUAL!$J$25:$AA$25,0),),IF(H13="SPK",VLOOKUP(I13,QCSPK,3,),IF(AND(H13="ATP",OR(I13="TP",I13="TDP")),VLOOKUP(E13,QCATP_P,2,),""))))))))</f>
        <v/>
      </c>
      <c r="W13" s="31" t="str">
        <f t="shared" si="1"/>
        <v>TRUE</v>
      </c>
      <c r="X13" s="31" t="str">
        <f t="shared" si="2"/>
        <v/>
      </c>
      <c r="Y13" s="10" t="s">
        <v>951</v>
      </c>
      <c r="AL13" s="10" t="str">
        <f t="shared" si="3"/>
        <v>FALSE</v>
      </c>
      <c r="AM13" s="10" t="str">
        <f t="shared" si="3"/>
        <v>FALSE</v>
      </c>
      <c r="AN13" s="10" t="str">
        <f t="shared" si="3"/>
        <v>FALSE</v>
      </c>
      <c r="AO13" s="10" t="str">
        <f t="shared" si="4"/>
        <v>FALSE</v>
      </c>
      <c r="AP13" s="10" t="str">
        <f t="shared" si="4"/>
        <v>FALSE</v>
      </c>
      <c r="AQ13" s="10" t="b">
        <f>IF(AND(I13="TP",S13&lt;=150),VLOOKUP(AF13,TPCalibEq150!$AZ$2:$BB$166,3,),IF(AND(I13="TDP",S13&lt;=150),VLOOKUP(AF13,TPCalibEq150!$AZ$2:$BB$166,3,)))</f>
        <v>0</v>
      </c>
      <c r="AR13" s="10" t="b">
        <f>IF(AND(I13="TP",S13&lt;=300),VLOOKUP(AF13,TPCalibEq300!$AZ$2:$BB$166,3,),IF(AND(I13="TDP",S13&lt;=300),VLOOKUP(AF13,TPCalibEq300!$AZ$2:$BB$166,3,)))</f>
        <v>0</v>
      </c>
      <c r="AS13" s="10" t="b">
        <f>IF(AND(I13="TP",S13&lt;=500),VLOOKUP(AF13,TPCalibEq500!$AZ$2:$BB$165,3,),IF(AND(I13="TDP",S13&lt;=500),VLOOKUP(AF13,TPCalibEq500!$AZ$2:$BB$165,3,)))</f>
        <v>0</v>
      </c>
      <c r="AT13" s="10" t="b">
        <f>IF(AND(I13="TN",S13&lt;=2800),VLOOKUP(AF13,TNCalibEq2500!$AZ$2:$BB$165,3,),IF(AND(I13="TDN",S13&lt;=2800),VLOOKUP(AF13,TNCalibEq2500!$AZ$2:$BB$165,3,)))</f>
        <v>0</v>
      </c>
      <c r="AU13" s="10" t="b">
        <f>IF(I13="TP",VLOOKUP(AF13,TPCalibEqFull!$AZ$2:$BB$165,3),IF(I13="TDP",VLOOKUP(AF13,TPCalibEqFull!$AZ$2:$BB$165,3),IF(I13="TDN",VLOOKUP(AF13,TNCalibEqFull!$AZ$2:$BB$164,3),IF(I13="TN",VLOOKUP(AF13,TNCalibEqFull!$AZ$2:$BB$164,3),FALSE))))</f>
        <v>0</v>
      </c>
      <c r="AV13" s="10" t="str">
        <f t="shared" si="7"/>
        <v>20240727 00:00:00-1000-3-Dp-1-SW-UKN</v>
      </c>
    </row>
    <row r="14" spans="1:48" s="10" customFormat="1" x14ac:dyDescent="0.3">
      <c r="A14" s="32">
        <v>45500</v>
      </c>
      <c r="B14" s="33">
        <v>0</v>
      </c>
      <c r="C14" s="10">
        <v>1000</v>
      </c>
      <c r="D14" s="10">
        <v>4</v>
      </c>
      <c r="E14" s="10" t="s">
        <v>953</v>
      </c>
      <c r="F14" s="10">
        <v>1</v>
      </c>
      <c r="G14" s="10" t="s">
        <v>72</v>
      </c>
      <c r="H14" s="10" t="s">
        <v>239</v>
      </c>
      <c r="I14" s="10" t="s">
        <v>74</v>
      </c>
      <c r="J14" s="10">
        <v>12</v>
      </c>
      <c r="K14" s="12">
        <v>45687</v>
      </c>
      <c r="L14" s="33">
        <v>0.48076388888888894</v>
      </c>
      <c r="M14" s="10">
        <v>1</v>
      </c>
      <c r="N14" s="10" t="s">
        <v>75</v>
      </c>
      <c r="O14" s="10">
        <v>0.11899999999999999</v>
      </c>
      <c r="P14" s="10">
        <v>1.17E-2</v>
      </c>
      <c r="Q14" s="10">
        <v>7.25</v>
      </c>
      <c r="R14" s="10" t="s">
        <v>76</v>
      </c>
      <c r="S14" s="34">
        <f t="shared" si="0"/>
        <v>7.25</v>
      </c>
      <c r="T14" s="10" t="s">
        <v>952</v>
      </c>
      <c r="U14" s="34" t="str">
        <f>IF(OR(H14="CHK",H14="ATP",H14="GUP",H14="PER", H14="NIC", H14="UREA"),(S14/V14*100),IF(H14="DUP",((ABS(S14-#REF!))/((#REF!+S14)/2))*100,IF(H14="SPK",((S14-#REF!)/V14*100),IF(OR(H14="LAB",H14="FLD",H14="ESF"),S14,""))))</f>
        <v/>
      </c>
      <c r="V14" s="31" t="str">
        <f>IF(H14="CHK",VLOOKUP(I14,QCCHK,3,),IF(H14="GUP",VLOOKUP(E14,QCGUP,2,),IF(AND(H14="ATP",OR(I14="TN",I14="TDN",I14="TNO2-3",I14="NO2-3")),VLOOKUP(E14,QCREC_N,2,),IF(AND(H14="NIC",OR(I14="TN",I14="TDN",I14="TNO2-3",I14="NO2-3")),VLOOKUP(E14,QCNIC_N,2,),IF(AND(H14="UREA",OR(I14="TN",I14="TDN",I14="TNO2-3",I14="NO2-3")),VLOOKUP(E14,QCUREA_N,2,),IF(H14="PER",VLOOKUP(I14,QCPER,MATCH(E14,QCACTUAL!$J$25:$AA$25,0),),IF(H14="SPK",VLOOKUP(I14,QCSPK,3,),IF(AND(H14="ATP",OR(I14="TP",I14="TDP")),VLOOKUP(E14,QCATP_P,2,),""))))))))</f>
        <v/>
      </c>
      <c r="W14" s="31" t="str">
        <f t="shared" si="1"/>
        <v>TRUE</v>
      </c>
      <c r="X14" s="31" t="str">
        <f t="shared" si="2"/>
        <v/>
      </c>
      <c r="Y14" s="10" t="s">
        <v>951</v>
      </c>
      <c r="AL14" s="10" t="str">
        <f t="shared" si="3"/>
        <v>FALSE</v>
      </c>
      <c r="AM14" s="10" t="str">
        <f t="shared" si="3"/>
        <v>FALSE</v>
      </c>
      <c r="AN14" s="10" t="str">
        <f t="shared" si="3"/>
        <v>FALSE</v>
      </c>
      <c r="AO14" s="10" t="str">
        <f t="shared" si="4"/>
        <v>FALSE</v>
      </c>
      <c r="AP14" s="10" t="str">
        <f t="shared" si="4"/>
        <v>FALSE</v>
      </c>
      <c r="AQ14" s="10" t="b">
        <f>IF(AND(I14="TP",S14&lt;=150),VLOOKUP(AF14,TPCalibEq150!$AZ$2:$BB$166,3,),IF(AND(I14="TDP",S14&lt;=150),VLOOKUP(AF14,TPCalibEq150!$AZ$2:$BB$166,3,)))</f>
        <v>0</v>
      </c>
      <c r="AR14" s="10" t="b">
        <f>IF(AND(I14="TP",S14&lt;=300),VLOOKUP(AF14,TPCalibEq300!$AZ$2:$BB$166,3,),IF(AND(I14="TDP",S14&lt;=300),VLOOKUP(AF14,TPCalibEq300!$AZ$2:$BB$166,3,)))</f>
        <v>0</v>
      </c>
      <c r="AS14" s="10" t="b">
        <f>IF(AND(I14="TP",S14&lt;=500),VLOOKUP(AF14,TPCalibEq500!$AZ$2:$BB$165,3,),IF(AND(I14="TDP",S14&lt;=500),VLOOKUP(AF14,TPCalibEq500!$AZ$2:$BB$165,3,)))</f>
        <v>0</v>
      </c>
      <c r="AT14" s="10" t="b">
        <f>IF(AND(I14="TN",S14&lt;=2800),VLOOKUP(AF14,TNCalibEq2500!$AZ$2:$BB$165,3,),IF(AND(I14="TDN",S14&lt;=2800),VLOOKUP(AF14,TNCalibEq2500!$AZ$2:$BB$165,3,)))</f>
        <v>0</v>
      </c>
      <c r="AU14" s="10" t="b">
        <f>IF(I14="TP",VLOOKUP(AF14,TPCalibEqFull!$AZ$2:$BB$165,3),IF(I14="TDP",VLOOKUP(AF14,TPCalibEqFull!$AZ$2:$BB$165,3),IF(I14="TDN",VLOOKUP(AF14,TNCalibEqFull!$AZ$2:$BB$164,3),IF(I14="TN",VLOOKUP(AF14,TNCalibEqFull!$AZ$2:$BB$164,3),FALSE))))</f>
        <v>0</v>
      </c>
      <c r="AV14" s="10" t="str">
        <f t="shared" si="7"/>
        <v>20240727 00:00:00-1000-4-Sh-1-DI-BLK</v>
      </c>
    </row>
    <row r="15" spans="1:48" s="10" customFormat="1" x14ac:dyDescent="0.3">
      <c r="A15" s="32">
        <v>45500</v>
      </c>
      <c r="B15" s="33">
        <v>0</v>
      </c>
      <c r="C15" s="10">
        <v>1000</v>
      </c>
      <c r="D15" s="10">
        <v>4</v>
      </c>
      <c r="E15" s="10" t="s">
        <v>953</v>
      </c>
      <c r="F15" s="10">
        <v>1</v>
      </c>
      <c r="G15" s="10" t="s">
        <v>229</v>
      </c>
      <c r="H15" s="10" t="s">
        <v>320</v>
      </c>
      <c r="I15" s="10" t="s">
        <v>74</v>
      </c>
      <c r="J15" s="10">
        <v>13</v>
      </c>
      <c r="K15" s="12">
        <v>45687</v>
      </c>
      <c r="L15" s="33">
        <v>0.4815740740740741</v>
      </c>
      <c r="M15" s="10">
        <v>1</v>
      </c>
      <c r="N15" s="10" t="s">
        <v>75</v>
      </c>
      <c r="O15" s="10">
        <v>0.13600000000000001</v>
      </c>
      <c r="P15" s="10">
        <v>4.1399999999999999E-2</v>
      </c>
      <c r="Q15" s="10">
        <v>8.27</v>
      </c>
      <c r="R15" s="10" t="s">
        <v>76</v>
      </c>
      <c r="S15" s="34">
        <f t="shared" si="0"/>
        <v>8.27</v>
      </c>
      <c r="T15" s="10" t="s">
        <v>952</v>
      </c>
      <c r="U15" s="34" t="str">
        <f t="shared" si="6"/>
        <v/>
      </c>
      <c r="V15" s="31" t="str">
        <f>IF(H15="CHK",VLOOKUP(I15,QCCHK,3,),IF(H15="GUP",VLOOKUP(E15,QCGUP,2,),IF(AND(H15="ATP",OR(I15="TN",I15="TDN",I15="TNO2-3",I15="NO2-3")),VLOOKUP(E15,QCREC_N,2,),IF(AND(H15="NIC",OR(I15="TN",I15="TDN",I15="TNO2-3",I15="NO2-3")),VLOOKUP(E15,QCNIC_N,2,),IF(AND(H15="UREA",OR(I15="TN",I15="TDN",I15="TNO2-3",I15="NO2-3")),VLOOKUP(E15,QCUREA_N,2,),IF(H15="PER",VLOOKUP(I15,QCPER,MATCH(E15,QCACTUAL!$J$25:$AA$25,0),),IF(H15="SPK",VLOOKUP(I15,QCSPK,3,),IF(AND(H15="ATP",OR(I15="TP",I15="TDP")),VLOOKUP(E15,QCATP_P,2,),""))))))))</f>
        <v/>
      </c>
      <c r="W15" s="31" t="str">
        <f t="shared" si="1"/>
        <v>TRUE</v>
      </c>
      <c r="X15" s="31" t="str">
        <f t="shared" si="2"/>
        <v/>
      </c>
      <c r="Y15" s="10" t="s">
        <v>951</v>
      </c>
      <c r="AL15" s="10" t="str">
        <f t="shared" si="3"/>
        <v>FALSE</v>
      </c>
      <c r="AM15" s="10" t="str">
        <f t="shared" si="3"/>
        <v>FALSE</v>
      </c>
      <c r="AN15" s="10" t="str">
        <f t="shared" si="3"/>
        <v>FALSE</v>
      </c>
      <c r="AO15" s="10" t="str">
        <f t="shared" si="4"/>
        <v>FALSE</v>
      </c>
      <c r="AP15" s="10" t="str">
        <f t="shared" si="4"/>
        <v>FALSE</v>
      </c>
      <c r="AQ15" s="10" t="b">
        <f>IF(AND(I15="TP",S15&lt;=150),VLOOKUP(AF15,TPCalibEq150!$AZ$2:$BB$166,3,),IF(AND(I15="TDP",S15&lt;=150),VLOOKUP(AF15,TPCalibEq150!$AZ$2:$BB$166,3,)))</f>
        <v>0</v>
      </c>
      <c r="AR15" s="10" t="b">
        <f>IF(AND(I15="TP",S15&lt;=300),VLOOKUP(AF15,TPCalibEq300!$AZ$2:$BB$166,3,),IF(AND(I15="TDP",S15&lt;=300),VLOOKUP(AF15,TPCalibEq300!$AZ$2:$BB$166,3,)))</f>
        <v>0</v>
      </c>
      <c r="AS15" s="10" t="b">
        <f>IF(AND(I15="TP",S15&lt;=500),VLOOKUP(AF15,TPCalibEq500!$AZ$2:$BB$165,3,),IF(AND(I15="TDP",S15&lt;=500),VLOOKUP(AF15,TPCalibEq500!$AZ$2:$BB$165,3,)))</f>
        <v>0</v>
      </c>
      <c r="AT15" s="10" t="b">
        <f>IF(AND(I15="TN",S15&lt;=2800),VLOOKUP(AF15,TNCalibEq2500!$AZ$2:$BB$165,3,),IF(AND(I15="TDN",S15&lt;=2800),VLOOKUP(AF15,TNCalibEq2500!$AZ$2:$BB$165,3,)))</f>
        <v>0</v>
      </c>
      <c r="AU15" s="10" t="b">
        <f>IF(I15="TP",VLOOKUP(AF15,TPCalibEqFull!$AZ$2:$BB$165,3),IF(I15="TDP",VLOOKUP(AF15,TPCalibEqFull!$AZ$2:$BB$165,3),IF(I15="TDN",VLOOKUP(AF15,TNCalibEqFull!$AZ$2:$BB$164,3),IF(I15="TN",VLOOKUP(AF15,TNCalibEqFull!$AZ$2:$BB$164,3),FALSE))))</f>
        <v>0</v>
      </c>
      <c r="AV15" s="10" t="str">
        <f t="shared" si="7"/>
        <v>20240727 00:00:00-1000-4-Sh-1-SW-UKN</v>
      </c>
    </row>
    <row r="16" spans="1:48" s="10" customFormat="1" x14ac:dyDescent="0.3">
      <c r="A16" s="32">
        <v>45500</v>
      </c>
      <c r="B16" s="33">
        <v>0</v>
      </c>
      <c r="C16" s="10">
        <v>1000</v>
      </c>
      <c r="D16" s="10">
        <v>4</v>
      </c>
      <c r="E16" s="10" t="s">
        <v>953</v>
      </c>
      <c r="F16" s="10">
        <v>2</v>
      </c>
      <c r="G16" s="10" t="s">
        <v>229</v>
      </c>
      <c r="H16" s="10" t="s">
        <v>320</v>
      </c>
      <c r="I16" s="10" t="s">
        <v>74</v>
      </c>
      <c r="J16" s="10">
        <v>14</v>
      </c>
      <c r="K16" s="12">
        <v>45687</v>
      </c>
      <c r="L16" s="33">
        <v>0.48238425925925926</v>
      </c>
      <c r="M16" s="10">
        <v>1</v>
      </c>
      <c r="N16" s="10" t="s">
        <v>75</v>
      </c>
      <c r="O16" s="10">
        <v>1.67E-2</v>
      </c>
      <c r="P16" s="10">
        <v>3.3E-3</v>
      </c>
      <c r="Q16" s="10">
        <v>1.01</v>
      </c>
      <c r="R16" s="10" t="s">
        <v>76</v>
      </c>
      <c r="S16" s="34">
        <f t="shared" si="0"/>
        <v>1.01</v>
      </c>
      <c r="T16" s="10" t="s">
        <v>952</v>
      </c>
      <c r="U16" s="34" t="str">
        <f t="shared" si="6"/>
        <v/>
      </c>
      <c r="V16" s="31" t="str">
        <f>IF(H16="CHK",VLOOKUP(I16,QCCHK,3,),IF(H16="GUP",VLOOKUP(E16,QCGUP,2,),IF(AND(H16="ATP",OR(I16="TN",I16="TDN",I16="TNO2-3",I16="NO2-3")),VLOOKUP(E16,QCREC_N,2,),IF(AND(H16="NIC",OR(I16="TN",I16="TDN",I16="TNO2-3",I16="NO2-3")),VLOOKUP(E16,QCNIC_N,2,),IF(AND(H16="UREA",OR(I16="TN",I16="TDN",I16="TNO2-3",I16="NO2-3")),VLOOKUP(E16,QCUREA_N,2,),IF(H16="PER",VLOOKUP(I16,QCPER,MATCH(E16,QCACTUAL!$J$25:$AA$25,0),),IF(H16="SPK",VLOOKUP(I16,QCSPK,3,),IF(AND(H16="ATP",OR(I16="TP",I16="TDP")),VLOOKUP(E16,QCATP_P,2,),""))))))))</f>
        <v/>
      </c>
      <c r="W16" s="31" t="str">
        <f t="shared" si="1"/>
        <v>TRUE</v>
      </c>
      <c r="X16" s="31" t="str">
        <f t="shared" si="2"/>
        <v/>
      </c>
      <c r="Y16" s="10" t="s">
        <v>951</v>
      </c>
      <c r="AL16" s="10" t="str">
        <f t="shared" si="3"/>
        <v>FALSE</v>
      </c>
      <c r="AM16" s="10" t="str">
        <f t="shared" si="3"/>
        <v>FALSE</v>
      </c>
      <c r="AN16" s="10" t="str">
        <f t="shared" si="3"/>
        <v>FALSE</v>
      </c>
      <c r="AO16" s="10" t="str">
        <f t="shared" si="4"/>
        <v>FALSE</v>
      </c>
      <c r="AP16" s="10" t="str">
        <f t="shared" si="4"/>
        <v>FALSE</v>
      </c>
      <c r="AQ16" s="10" t="b">
        <f>IF(AND(I16="TP",S16&lt;=150),VLOOKUP(AF16,TPCalibEq150!$AZ$2:$BB$166,3,),IF(AND(I16="TDP",S16&lt;=150),VLOOKUP(AF16,TPCalibEq150!$AZ$2:$BB$166,3,)))</f>
        <v>0</v>
      </c>
      <c r="AR16" s="10" t="b">
        <f>IF(AND(I16="TP",S16&lt;=300),VLOOKUP(AF16,TPCalibEq300!$AZ$2:$BB$166,3,),IF(AND(I16="TDP",S16&lt;=300),VLOOKUP(AF16,TPCalibEq300!$AZ$2:$BB$166,3,)))</f>
        <v>0</v>
      </c>
      <c r="AS16" s="10" t="b">
        <f>IF(AND(I16="TP",S16&lt;=500),VLOOKUP(AF16,TPCalibEq500!$AZ$2:$BB$165,3,),IF(AND(I16="TDP",S16&lt;=500),VLOOKUP(AF16,TPCalibEq500!$AZ$2:$BB$165,3,)))</f>
        <v>0</v>
      </c>
      <c r="AT16" s="10" t="b">
        <f>IF(AND(I16="TN",S16&lt;=2800),VLOOKUP(AF16,TNCalibEq2500!$AZ$2:$BB$165,3,),IF(AND(I16="TDN",S16&lt;=2800),VLOOKUP(AF16,TNCalibEq2500!$AZ$2:$BB$165,3,)))</f>
        <v>0</v>
      </c>
      <c r="AU16" s="10" t="b">
        <f>IF(I16="TP",VLOOKUP(AF16,TPCalibEqFull!$AZ$2:$BB$165,3),IF(I16="TDP",VLOOKUP(AF16,TPCalibEqFull!$AZ$2:$BB$165,3),IF(I16="TDN",VLOOKUP(AF16,TNCalibEqFull!$AZ$2:$BB$164,3),IF(I16="TN",VLOOKUP(AF16,TNCalibEqFull!$AZ$2:$BB$164,3),FALSE))))</f>
        <v>0</v>
      </c>
      <c r="AV16" s="10" t="str">
        <f t="shared" si="7"/>
        <v>20240727 00:00:00-1000-4-Sh-2-SW-UKN</v>
      </c>
    </row>
    <row r="17" spans="1:48" s="10" customFormat="1" x14ac:dyDescent="0.3">
      <c r="A17" s="32">
        <v>45500</v>
      </c>
      <c r="B17" s="33">
        <v>0</v>
      </c>
      <c r="C17" s="10">
        <v>1000</v>
      </c>
      <c r="D17" s="10">
        <v>4</v>
      </c>
      <c r="E17" s="10" t="s">
        <v>954</v>
      </c>
      <c r="F17" s="10">
        <v>1</v>
      </c>
      <c r="G17" s="10" t="s">
        <v>229</v>
      </c>
      <c r="H17" s="10" t="s">
        <v>320</v>
      </c>
      <c r="I17" s="10" t="s">
        <v>74</v>
      </c>
      <c r="J17" s="10">
        <v>15</v>
      </c>
      <c r="K17" s="12">
        <v>45687</v>
      </c>
      <c r="L17" s="33">
        <v>0.49115740740740743</v>
      </c>
      <c r="M17" s="10">
        <v>1</v>
      </c>
      <c r="N17" s="10" t="s">
        <v>75</v>
      </c>
      <c r="O17" s="10">
        <v>0.21299999999999999</v>
      </c>
      <c r="P17" s="10">
        <v>0.113</v>
      </c>
      <c r="Q17" s="10">
        <v>12.9</v>
      </c>
      <c r="R17" s="10" t="s">
        <v>76</v>
      </c>
      <c r="S17" s="34">
        <f t="shared" si="0"/>
        <v>12.9</v>
      </c>
      <c r="T17" s="10" t="s">
        <v>952</v>
      </c>
      <c r="U17" s="34" t="str">
        <f t="shared" si="6"/>
        <v/>
      </c>
      <c r="V17" s="31" t="str">
        <f>IF(H17="CHK",VLOOKUP(I17,QCCHK,3,),IF(H17="GUP",VLOOKUP(E17,QCGUP,2,),IF(AND(H17="ATP",OR(I17="TN",I17="TDN",I17="TNO2-3",I17="NO2-3")),VLOOKUP(E17,QCREC_N,2,),IF(AND(H17="NIC",OR(I17="TN",I17="TDN",I17="TNO2-3",I17="NO2-3")),VLOOKUP(E17,QCNIC_N,2,),IF(AND(H17="UREA",OR(I17="TN",I17="TDN",I17="TNO2-3",I17="NO2-3")),VLOOKUP(E17,QCUREA_N,2,),IF(H17="PER",VLOOKUP(I17,QCPER,MATCH(E17,QCACTUAL!$J$25:$AA$25,0),),IF(H17="SPK",VLOOKUP(I17,QCSPK,3,),IF(AND(H17="ATP",OR(I17="TP",I17="TDP")),VLOOKUP(E17,QCATP_P,2,),""))))))))</f>
        <v/>
      </c>
      <c r="W17" s="31" t="str">
        <f t="shared" si="1"/>
        <v>TRUE</v>
      </c>
      <c r="X17" s="31" t="str">
        <f t="shared" si="2"/>
        <v/>
      </c>
      <c r="Y17" s="10" t="s">
        <v>951</v>
      </c>
      <c r="AL17" s="10" t="str">
        <f t="shared" si="3"/>
        <v>FALSE</v>
      </c>
      <c r="AM17" s="10" t="str">
        <f t="shared" si="3"/>
        <v>FALSE</v>
      </c>
      <c r="AN17" s="10" t="str">
        <f t="shared" si="3"/>
        <v>FALSE</v>
      </c>
      <c r="AO17" s="10" t="str">
        <f t="shared" si="4"/>
        <v>FALSE</v>
      </c>
      <c r="AP17" s="10" t="str">
        <f t="shared" si="4"/>
        <v>FALSE</v>
      </c>
      <c r="AQ17" s="10" t="b">
        <f>IF(AND(I17="TP",S17&lt;=150),VLOOKUP(AF17,TPCalibEq150!$AZ$2:$BB$166,3,),IF(AND(I17="TDP",S17&lt;=150),VLOOKUP(AF17,TPCalibEq150!$AZ$2:$BB$166,3,)))</f>
        <v>0</v>
      </c>
      <c r="AR17" s="10" t="b">
        <f>IF(AND(I17="TP",S17&lt;=300),VLOOKUP(AF17,TPCalibEq300!$AZ$2:$BB$166,3,),IF(AND(I17="TDP",S17&lt;=300),VLOOKUP(AF17,TPCalibEq300!$AZ$2:$BB$166,3,)))</f>
        <v>0</v>
      </c>
      <c r="AS17" s="10" t="b">
        <f>IF(AND(I17="TP",S17&lt;=500),VLOOKUP(AF17,TPCalibEq500!$AZ$2:$BB$165,3,),IF(AND(I17="TDP",S17&lt;=500),VLOOKUP(AF17,TPCalibEq500!$AZ$2:$BB$165,3,)))</f>
        <v>0</v>
      </c>
      <c r="AT17" s="10" t="b">
        <f>IF(AND(I17="TN",S17&lt;=2800),VLOOKUP(AF17,TNCalibEq2500!$AZ$2:$BB$165,3,),IF(AND(I17="TDN",S17&lt;=2800),VLOOKUP(AF17,TNCalibEq2500!$AZ$2:$BB$165,3,)))</f>
        <v>0</v>
      </c>
      <c r="AU17" s="10" t="b">
        <f>IF(I17="TP",VLOOKUP(AF17,TPCalibEqFull!$AZ$2:$BB$165,3),IF(I17="TDP",VLOOKUP(AF17,TPCalibEqFull!$AZ$2:$BB$165,3),IF(I17="TDN",VLOOKUP(AF17,TNCalibEqFull!$AZ$2:$BB$164,3),IF(I17="TN",VLOOKUP(AF17,TNCalibEqFull!$AZ$2:$BB$164,3),FALSE))))</f>
        <v>0</v>
      </c>
      <c r="AV17" s="10" t="str">
        <f t="shared" si="7"/>
        <v>20240727 00:00:00-1000-4-Dp-1-SW-UKN</v>
      </c>
    </row>
    <row r="18" spans="1:48" s="10" customFormat="1" x14ac:dyDescent="0.3">
      <c r="A18" s="32">
        <v>45507</v>
      </c>
      <c r="B18" s="33">
        <v>0</v>
      </c>
      <c r="C18" s="10">
        <v>1000</v>
      </c>
      <c r="D18" s="10">
        <v>9</v>
      </c>
      <c r="E18" s="10" t="s">
        <v>953</v>
      </c>
      <c r="F18" s="10">
        <v>1</v>
      </c>
      <c r="G18" s="10" t="s">
        <v>72</v>
      </c>
      <c r="H18" s="10" t="s">
        <v>239</v>
      </c>
      <c r="I18" s="10" t="s">
        <v>74</v>
      </c>
      <c r="J18" s="10">
        <v>16</v>
      </c>
      <c r="K18" s="12">
        <v>45687</v>
      </c>
      <c r="L18" s="33">
        <v>0.49282407407407408</v>
      </c>
      <c r="M18" s="10">
        <v>1</v>
      </c>
      <c r="N18" s="10" t="s">
        <v>75</v>
      </c>
      <c r="O18" s="10">
        <v>0.12</v>
      </c>
      <c r="P18" s="10">
        <v>1.89E-2</v>
      </c>
      <c r="Q18" s="10">
        <v>7.28</v>
      </c>
      <c r="R18" s="10" t="s">
        <v>76</v>
      </c>
      <c r="S18" s="34">
        <f t="shared" si="0"/>
        <v>7.28</v>
      </c>
      <c r="T18" s="10" t="s">
        <v>952</v>
      </c>
      <c r="U18" s="34" t="str">
        <f t="shared" si="6"/>
        <v/>
      </c>
      <c r="V18" s="31" t="str">
        <f>IF(H18="CHK",VLOOKUP(I18,QCCHK,3,),IF(H18="GUP",VLOOKUP(E18,QCGUP,2,),IF(AND(H18="ATP",OR(I18="TN",I18="TDN",I18="TNO2-3",I18="NO2-3")),VLOOKUP(E18,QCREC_N,2,),IF(AND(H18="NIC",OR(I18="TN",I18="TDN",I18="TNO2-3",I18="NO2-3")),VLOOKUP(E18,QCNIC_N,2,),IF(AND(H18="UREA",OR(I18="TN",I18="TDN",I18="TNO2-3",I18="NO2-3")),VLOOKUP(E18,QCUREA_N,2,),IF(H18="PER",VLOOKUP(I18,QCPER,MATCH(E18,QCACTUAL!$J$25:$AA$25,0),),IF(H18="SPK",VLOOKUP(I18,QCSPK,3,),IF(AND(H18="ATP",OR(I18="TP",I18="TDP")),VLOOKUP(E18,QCATP_P,2,),""))))))))</f>
        <v/>
      </c>
      <c r="W18" s="31" t="str">
        <f t="shared" si="1"/>
        <v>TRUE</v>
      </c>
      <c r="X18" s="31" t="str">
        <f t="shared" si="2"/>
        <v/>
      </c>
      <c r="Y18" s="10" t="s">
        <v>951</v>
      </c>
      <c r="AL18" s="10" t="str">
        <f t="shared" si="3"/>
        <v>FALSE</v>
      </c>
      <c r="AM18" s="10" t="str">
        <f t="shared" si="3"/>
        <v>FALSE</v>
      </c>
      <c r="AN18" s="10" t="str">
        <f t="shared" si="3"/>
        <v>FALSE</v>
      </c>
      <c r="AO18" s="10" t="str">
        <f t="shared" si="4"/>
        <v>FALSE</v>
      </c>
      <c r="AP18" s="10" t="str">
        <f t="shared" si="4"/>
        <v>FALSE</v>
      </c>
      <c r="AQ18" s="10" t="b">
        <f>IF(AND(I18="TP",S18&lt;=150),VLOOKUP(AF18,TPCalibEq150!$AZ$2:$BB$166,3,),IF(AND(I18="TDP",S18&lt;=150),VLOOKUP(AF18,TPCalibEq150!$AZ$2:$BB$166,3,)))</f>
        <v>0</v>
      </c>
      <c r="AR18" s="10" t="b">
        <f>IF(AND(I18="TP",S18&lt;=300),VLOOKUP(AF18,TPCalibEq300!$AZ$2:$BB$166,3,),IF(AND(I18="TDP",S18&lt;=300),VLOOKUP(AF18,TPCalibEq300!$AZ$2:$BB$166,3,)))</f>
        <v>0</v>
      </c>
      <c r="AS18" s="10" t="b">
        <f>IF(AND(I18="TP",S18&lt;=500),VLOOKUP(AF18,TPCalibEq500!$AZ$2:$BB$165,3,),IF(AND(I18="TDP",S18&lt;=500),VLOOKUP(AF18,TPCalibEq500!$AZ$2:$BB$165,3,)))</f>
        <v>0</v>
      </c>
      <c r="AT18" s="10" t="b">
        <f>IF(AND(I18="TN",S18&lt;=2800),VLOOKUP(AF18,TNCalibEq2500!$AZ$2:$BB$165,3,),IF(AND(I18="TDN",S18&lt;=2800),VLOOKUP(AF18,TNCalibEq2500!$AZ$2:$BB$165,3,)))</f>
        <v>0</v>
      </c>
      <c r="AU18" s="10" t="b">
        <f>IF(I18="TP",VLOOKUP(AF18,TPCalibEqFull!$AZ$2:$BB$165,3),IF(I18="TDP",VLOOKUP(AF18,TPCalibEqFull!$AZ$2:$BB$165,3),IF(I18="TDN",VLOOKUP(AF18,TNCalibEqFull!$AZ$2:$BB$164,3),IF(I18="TN",VLOOKUP(AF18,TNCalibEqFull!$AZ$2:$BB$164,3),FALSE))))</f>
        <v>0</v>
      </c>
      <c r="AV18" s="10" t="str">
        <f t="shared" si="7"/>
        <v>20240803 00:00:00-1000-9-Sh-1-DI-BLK</v>
      </c>
    </row>
    <row r="19" spans="1:48" s="10" customFormat="1" x14ac:dyDescent="0.3">
      <c r="A19" s="32">
        <v>45507</v>
      </c>
      <c r="B19" s="33">
        <v>0</v>
      </c>
      <c r="C19" s="10">
        <v>1000</v>
      </c>
      <c r="D19" s="10">
        <v>9</v>
      </c>
      <c r="E19" s="10" t="s">
        <v>953</v>
      </c>
      <c r="F19" s="10">
        <v>1</v>
      </c>
      <c r="G19" s="10" t="s">
        <v>229</v>
      </c>
      <c r="H19" s="10" t="s">
        <v>320</v>
      </c>
      <c r="I19" s="10" t="s">
        <v>74</v>
      </c>
      <c r="J19" s="10">
        <v>17</v>
      </c>
      <c r="K19" s="12">
        <v>45687</v>
      </c>
      <c r="L19" s="33">
        <v>0.49364583333333334</v>
      </c>
      <c r="M19" s="10">
        <v>1</v>
      </c>
      <c r="N19" s="10" t="s">
        <v>75</v>
      </c>
      <c r="O19" s="10">
        <v>0.22900000000000001</v>
      </c>
      <c r="P19" s="10">
        <v>1.9599999999999999E-2</v>
      </c>
      <c r="Q19" s="10">
        <v>13.9</v>
      </c>
      <c r="R19" s="10" t="s">
        <v>76</v>
      </c>
      <c r="S19" s="34">
        <f t="shared" si="0"/>
        <v>13.9</v>
      </c>
      <c r="T19" s="10" t="s">
        <v>952</v>
      </c>
      <c r="U19" s="34" t="str">
        <f t="shared" si="6"/>
        <v/>
      </c>
      <c r="V19" s="31" t="str">
        <f>IF(H19="CHK",VLOOKUP(I19,QCCHK,3,),IF(H19="GUP",VLOOKUP(E19,QCGUP,2,),IF(AND(H19="ATP",OR(I19="TN",I19="TDN",I19="TNO2-3",I19="NO2-3")),VLOOKUP(E19,QCREC_N,2,),IF(AND(H19="NIC",OR(I19="TN",I19="TDN",I19="TNO2-3",I19="NO2-3")),VLOOKUP(E19,QCNIC_N,2,),IF(AND(H19="UREA",OR(I19="TN",I19="TDN",I19="TNO2-3",I19="NO2-3")),VLOOKUP(E19,QCUREA_N,2,),IF(H19="PER",VLOOKUP(I19,QCPER,MATCH(E19,QCACTUAL!$J$25:$AA$25,0),),IF(H19="SPK",VLOOKUP(I19,QCSPK,3,),IF(AND(H19="ATP",OR(I19="TP",I19="TDP")),VLOOKUP(E19,QCATP_P,2,),""))))))))</f>
        <v/>
      </c>
      <c r="W19" s="31" t="str">
        <f t="shared" si="1"/>
        <v>TRUE</v>
      </c>
      <c r="X19" s="31" t="str">
        <f t="shared" si="2"/>
        <v/>
      </c>
      <c r="Y19" s="10" t="s">
        <v>951</v>
      </c>
      <c r="AL19" s="10" t="str">
        <f t="shared" si="3"/>
        <v>FALSE</v>
      </c>
      <c r="AM19" s="10" t="str">
        <f t="shared" si="3"/>
        <v>FALSE</v>
      </c>
      <c r="AN19" s="10" t="str">
        <f t="shared" si="3"/>
        <v>FALSE</v>
      </c>
      <c r="AO19" s="10" t="str">
        <f t="shared" si="4"/>
        <v>FALSE</v>
      </c>
      <c r="AP19" s="10" t="str">
        <f t="shared" si="4"/>
        <v>FALSE</v>
      </c>
      <c r="AQ19" s="10" t="b">
        <f>IF(AND(I19="TP",S19&lt;=150),VLOOKUP(AF19,TPCalibEq150!$AZ$2:$BB$166,3,),IF(AND(I19="TDP",S19&lt;=150),VLOOKUP(AF19,TPCalibEq150!$AZ$2:$BB$166,3,)))</f>
        <v>0</v>
      </c>
      <c r="AR19" s="10" t="b">
        <f>IF(AND(I19="TP",S19&lt;=300),VLOOKUP(AF19,TPCalibEq300!$AZ$2:$BB$166,3,),IF(AND(I19="TDP",S19&lt;=300),VLOOKUP(AF19,TPCalibEq300!$AZ$2:$BB$166,3,)))</f>
        <v>0</v>
      </c>
      <c r="AS19" s="10" t="b">
        <f>IF(AND(I19="TP",S19&lt;=500),VLOOKUP(AF19,TPCalibEq500!$AZ$2:$BB$165,3,),IF(AND(I19="TDP",S19&lt;=500),VLOOKUP(AF19,TPCalibEq500!$AZ$2:$BB$165,3,)))</f>
        <v>0</v>
      </c>
      <c r="AT19" s="10" t="b">
        <f>IF(AND(I19="TN",S19&lt;=2800),VLOOKUP(AF19,TNCalibEq2500!$AZ$2:$BB$165,3,),IF(AND(I19="TDN",S19&lt;=2800),VLOOKUP(AF19,TNCalibEq2500!$AZ$2:$BB$165,3,)))</f>
        <v>0</v>
      </c>
      <c r="AU19" s="10" t="b">
        <f>IF(I19="TP",VLOOKUP(AF19,TPCalibEqFull!$AZ$2:$BB$165,3),IF(I19="TDP",VLOOKUP(AF19,TPCalibEqFull!$AZ$2:$BB$165,3),IF(I19="TDN",VLOOKUP(AF19,TNCalibEqFull!$AZ$2:$BB$164,3),IF(I19="TN",VLOOKUP(AF19,TNCalibEqFull!$AZ$2:$BB$164,3),FALSE))))</f>
        <v>0</v>
      </c>
      <c r="AV19" s="10" t="str">
        <f t="shared" si="7"/>
        <v>20240803 00:00:00-1000-9-Sh-1-SW-UKN</v>
      </c>
    </row>
    <row r="20" spans="1:48" s="10" customFormat="1" x14ac:dyDescent="0.3">
      <c r="A20" s="32">
        <v>45507</v>
      </c>
      <c r="B20" s="33">
        <v>0</v>
      </c>
      <c r="C20" s="10">
        <v>1000</v>
      </c>
      <c r="D20" s="10">
        <v>9</v>
      </c>
      <c r="E20" s="10" t="s">
        <v>954</v>
      </c>
      <c r="F20" s="10">
        <v>1</v>
      </c>
      <c r="G20" s="10" t="s">
        <v>229</v>
      </c>
      <c r="H20" s="10" t="s">
        <v>320</v>
      </c>
      <c r="I20" s="10" t="s">
        <v>74</v>
      </c>
      <c r="J20" s="10">
        <v>18</v>
      </c>
      <c r="K20" s="12">
        <v>45687</v>
      </c>
      <c r="L20" s="33">
        <v>0.49444444444444446</v>
      </c>
      <c r="M20" s="10">
        <v>1</v>
      </c>
      <c r="N20" s="10" t="s">
        <v>75</v>
      </c>
      <c r="O20" s="10">
        <v>0.10199999999999999</v>
      </c>
      <c r="P20" s="10">
        <v>8.7799999999999996E-3</v>
      </c>
      <c r="Q20" s="10">
        <v>6.18</v>
      </c>
      <c r="R20" s="10" t="s">
        <v>76</v>
      </c>
      <c r="S20" s="34">
        <f t="shared" si="0"/>
        <v>6.18</v>
      </c>
      <c r="T20" s="10" t="s">
        <v>952</v>
      </c>
      <c r="U20" s="34" t="str">
        <f>IF(OR(H20="CHK",H20="ATP",H20="GUP",H20="PER", H20="NIC", H20="UREA"),(S20/V20*100),IF(H20="DUP",((ABS(S20-#REF!))/((#REF!+S20)/2))*100,IF(H20="SPK",((S20-#REF!)/V20*100),IF(OR(H20="LAB",H20="FLD",H20="ESF"),S20,""))))</f>
        <v/>
      </c>
      <c r="V20" s="31" t="str">
        <f>IF(H20="CHK",VLOOKUP(I20,QCCHK,3,),IF(H20="GUP",VLOOKUP(E20,QCGUP,2,),IF(AND(H20="ATP",OR(I20="TN",I20="TDN",I20="TNO2-3",I20="NO2-3")),VLOOKUP(E20,QCREC_N,2,),IF(AND(H20="NIC",OR(I20="TN",I20="TDN",I20="TNO2-3",I20="NO2-3")),VLOOKUP(E20,QCNIC_N,2,),IF(AND(H20="UREA",OR(I20="TN",I20="TDN",I20="TNO2-3",I20="NO2-3")),VLOOKUP(E20,QCUREA_N,2,),IF(H20="PER",VLOOKUP(I20,QCPER,MATCH(E20,QCACTUAL!$J$25:$AA$25,0),),IF(H20="SPK",VLOOKUP(I20,QCSPK,3,),IF(AND(H20="ATP",OR(I20="TP",I20="TDP")),VLOOKUP(E20,QCATP_P,2,),""))))))))</f>
        <v/>
      </c>
      <c r="W20" s="31" t="str">
        <f t="shared" si="1"/>
        <v>TRUE</v>
      </c>
      <c r="X20" s="31" t="str">
        <f t="shared" si="2"/>
        <v/>
      </c>
      <c r="Y20" s="10" t="s">
        <v>951</v>
      </c>
      <c r="AL20" s="10" t="str">
        <f t="shared" si="3"/>
        <v>FALSE</v>
      </c>
      <c r="AM20" s="10" t="str">
        <f t="shared" si="3"/>
        <v>FALSE</v>
      </c>
      <c r="AN20" s="10" t="str">
        <f t="shared" si="3"/>
        <v>FALSE</v>
      </c>
      <c r="AO20" s="10" t="str">
        <f t="shared" si="4"/>
        <v>FALSE</v>
      </c>
      <c r="AP20" s="10" t="str">
        <f t="shared" si="4"/>
        <v>FALSE</v>
      </c>
      <c r="AQ20" s="10" t="b">
        <f>IF(AND(I20="TP",S20&lt;=150),VLOOKUP(AF20,TPCalibEq150!$AZ$2:$BB$166,3,),IF(AND(I20="TDP",S20&lt;=150),VLOOKUP(AF20,TPCalibEq150!$AZ$2:$BB$166,3,)))</f>
        <v>0</v>
      </c>
      <c r="AR20" s="10" t="b">
        <f>IF(AND(I20="TP",S20&lt;=300),VLOOKUP(AF20,TPCalibEq300!$AZ$2:$BB$166,3,),IF(AND(I20="TDP",S20&lt;=300),VLOOKUP(AF20,TPCalibEq300!$AZ$2:$BB$166,3,)))</f>
        <v>0</v>
      </c>
      <c r="AS20" s="10" t="b">
        <f>IF(AND(I20="TP",S20&lt;=500),VLOOKUP(AF20,TPCalibEq500!$AZ$2:$BB$165,3,),IF(AND(I20="TDP",S20&lt;=500),VLOOKUP(AF20,TPCalibEq500!$AZ$2:$BB$165,3,)))</f>
        <v>0</v>
      </c>
      <c r="AT20" s="10" t="b">
        <f>IF(AND(I20="TN",S20&lt;=2800),VLOOKUP(AF20,TNCalibEq2500!$AZ$2:$BB$165,3,),IF(AND(I20="TDN",S20&lt;=2800),VLOOKUP(AF20,TNCalibEq2500!$AZ$2:$BB$165,3,)))</f>
        <v>0</v>
      </c>
      <c r="AU20" s="10" t="b">
        <f>IF(I20="TP",VLOOKUP(AF20,TPCalibEqFull!$AZ$2:$BB$165,3),IF(I20="TDP",VLOOKUP(AF20,TPCalibEqFull!$AZ$2:$BB$165,3),IF(I20="TDN",VLOOKUP(AF20,TNCalibEqFull!$AZ$2:$BB$164,3),IF(I20="TN",VLOOKUP(AF20,TNCalibEqFull!$AZ$2:$BB$164,3),FALSE))))</f>
        <v>0</v>
      </c>
      <c r="AV20" s="10" t="str">
        <f t="shared" si="7"/>
        <v>20240803 00:00:00-1000-9-Dp-1-SW-UKN</v>
      </c>
    </row>
    <row r="21" spans="1:48" s="10" customFormat="1" x14ac:dyDescent="0.3">
      <c r="A21" s="32">
        <v>45507</v>
      </c>
      <c r="B21" s="33">
        <v>0</v>
      </c>
      <c r="C21" s="10">
        <v>1000</v>
      </c>
      <c r="D21" s="10">
        <v>9</v>
      </c>
      <c r="E21" s="10" t="s">
        <v>954</v>
      </c>
      <c r="F21" s="10">
        <v>1</v>
      </c>
      <c r="G21" s="10" t="s">
        <v>229</v>
      </c>
      <c r="H21" s="10" t="s">
        <v>320</v>
      </c>
      <c r="I21" s="10" t="s">
        <v>74</v>
      </c>
      <c r="J21" s="10">
        <v>19</v>
      </c>
      <c r="K21" s="12">
        <v>45687</v>
      </c>
      <c r="L21" s="33">
        <v>0.51243055555555561</v>
      </c>
      <c r="M21" s="10">
        <v>10</v>
      </c>
      <c r="N21" s="10" t="s">
        <v>75</v>
      </c>
      <c r="O21" s="10">
        <v>5.62</v>
      </c>
      <c r="P21" s="10">
        <v>0.627</v>
      </c>
      <c r="Q21" s="10">
        <v>347</v>
      </c>
      <c r="R21" s="10" t="s">
        <v>76</v>
      </c>
      <c r="S21" s="34">
        <f t="shared" si="0"/>
        <v>3470</v>
      </c>
      <c r="T21" s="10" t="s">
        <v>952</v>
      </c>
      <c r="U21" s="34" t="str">
        <f t="shared" si="6"/>
        <v/>
      </c>
      <c r="V21" s="31" t="str">
        <f>IF(H21="CHK",VLOOKUP(I21,QCCHK,3,),IF(H21="GUP",VLOOKUP(E21,QCGUP,2,),IF(AND(H21="ATP",OR(I21="TN",I21="TDN",I21="TNO2-3",I21="NO2-3")),VLOOKUP(E21,QCREC_N,2,),IF(AND(H21="NIC",OR(I21="TN",I21="TDN",I21="TNO2-3",I21="NO2-3")),VLOOKUP(E21,QCNIC_N,2,),IF(AND(H21="UREA",OR(I21="TN",I21="TDN",I21="TNO2-3",I21="NO2-3")),VLOOKUP(E21,QCUREA_N,2,),IF(H21="PER",VLOOKUP(I21,QCPER,MATCH(E21,QCACTUAL!$J$25:$AA$25,0),),IF(H21="SPK",VLOOKUP(I21,QCSPK,3,),IF(AND(H21="ATP",OR(I21="TP",I21="TDP")),VLOOKUP(E21,QCATP_P,2,),""))))))))</f>
        <v/>
      </c>
      <c r="W21" s="31" t="str">
        <f t="shared" si="1"/>
        <v>TRUE</v>
      </c>
      <c r="X21" s="31" t="str">
        <f t="shared" si="2"/>
        <v/>
      </c>
      <c r="Y21" s="10" t="s">
        <v>951</v>
      </c>
      <c r="AL21" s="10" t="str">
        <f t="shared" si="3"/>
        <v>FALSE</v>
      </c>
      <c r="AM21" s="10" t="str">
        <f t="shared" si="3"/>
        <v>FALSE</v>
      </c>
      <c r="AN21" s="10" t="str">
        <f t="shared" si="3"/>
        <v>FALSE</v>
      </c>
      <c r="AO21" s="10" t="str">
        <f t="shared" si="4"/>
        <v>FALSE</v>
      </c>
      <c r="AP21" s="10" t="str">
        <f t="shared" si="4"/>
        <v>FALSE</v>
      </c>
      <c r="AQ21" s="10" t="b">
        <f>IF(AND(I21="TP",S21&lt;=150),VLOOKUP(AF21,TPCalibEq150!$AZ$2:$BB$166,3,),IF(AND(I21="TDP",S21&lt;=150),VLOOKUP(AF21,TPCalibEq150!$AZ$2:$BB$166,3,)))</f>
        <v>0</v>
      </c>
      <c r="AR21" s="10" t="b">
        <f>IF(AND(I21="TP",S21&lt;=300),VLOOKUP(AF21,TPCalibEq300!$AZ$2:$BB$166,3,),IF(AND(I21="TDP",S21&lt;=300),VLOOKUP(AF21,TPCalibEq300!$AZ$2:$BB$166,3,)))</f>
        <v>0</v>
      </c>
      <c r="AS21" s="10" t="b">
        <f>IF(AND(I21="TP",S21&lt;=500),VLOOKUP(AF21,TPCalibEq500!$AZ$2:$BB$165,3,),IF(AND(I21="TDP",S21&lt;=500),VLOOKUP(AF21,TPCalibEq500!$AZ$2:$BB$165,3,)))</f>
        <v>0</v>
      </c>
      <c r="AT21" s="10" t="b">
        <f>IF(AND(I21="TN",S21&lt;=2800),VLOOKUP(AF21,TNCalibEq2500!$AZ$2:$BB$165,3,),IF(AND(I21="TDN",S21&lt;=2800),VLOOKUP(AF21,TNCalibEq2500!$AZ$2:$BB$165,3,)))</f>
        <v>0</v>
      </c>
      <c r="AU21" s="10" t="b">
        <f>IF(I21="TP",VLOOKUP(AF21,TPCalibEqFull!$AZ$2:$BB$165,3),IF(I21="TDP",VLOOKUP(AF21,TPCalibEqFull!$AZ$2:$BB$165,3),IF(I21="TDN",VLOOKUP(AF21,TNCalibEqFull!$AZ$2:$BB$164,3),IF(I21="TN",VLOOKUP(AF21,TNCalibEqFull!$AZ$2:$BB$164,3),FALSE))))</f>
        <v>0</v>
      </c>
      <c r="AV21" s="10" t="str">
        <f t="shared" si="7"/>
        <v>20240803 00:00:00-1000-9-Dp-1-SW-UKN</v>
      </c>
    </row>
    <row r="22" spans="1:48" s="10" customFormat="1" x14ac:dyDescent="0.3">
      <c r="A22" s="32">
        <v>45507</v>
      </c>
      <c r="B22" s="33">
        <v>0</v>
      </c>
      <c r="C22" s="10">
        <v>1000</v>
      </c>
      <c r="D22" s="10">
        <v>16</v>
      </c>
      <c r="E22" s="10" t="s">
        <v>953</v>
      </c>
      <c r="F22" s="10">
        <v>1</v>
      </c>
      <c r="G22" s="10" t="s">
        <v>72</v>
      </c>
      <c r="H22" s="10" t="s">
        <v>239</v>
      </c>
      <c r="I22" s="10" t="s">
        <v>74</v>
      </c>
      <c r="J22" s="10">
        <v>20</v>
      </c>
      <c r="K22" s="12">
        <v>45687</v>
      </c>
      <c r="L22" s="33">
        <v>0.49607638888888889</v>
      </c>
      <c r="M22" s="10">
        <v>1</v>
      </c>
      <c r="N22" s="10" t="s">
        <v>75</v>
      </c>
      <c r="O22" s="10">
        <v>0.154</v>
      </c>
      <c r="P22" s="10">
        <v>1.38E-2</v>
      </c>
      <c r="Q22" s="10">
        <v>9.3699999999999992</v>
      </c>
      <c r="R22" s="10" t="s">
        <v>76</v>
      </c>
      <c r="S22" s="34">
        <f t="shared" si="0"/>
        <v>9.3699999999999992</v>
      </c>
      <c r="T22" s="10" t="s">
        <v>952</v>
      </c>
      <c r="U22" s="34" t="str">
        <f t="shared" si="6"/>
        <v/>
      </c>
      <c r="V22" s="31" t="str">
        <f>IF(H22="CHK",VLOOKUP(I22,QCCHK,3,),IF(H22="GUP",VLOOKUP(E22,QCGUP,2,),IF(AND(H22="ATP",OR(I22="TN",I22="TDN",I22="TNO2-3",I22="NO2-3")),VLOOKUP(E22,QCREC_N,2,),IF(AND(H22="NIC",OR(I22="TN",I22="TDN",I22="TNO2-3",I22="NO2-3")),VLOOKUP(E22,QCNIC_N,2,),IF(AND(H22="UREA",OR(I22="TN",I22="TDN",I22="TNO2-3",I22="NO2-3")),VLOOKUP(E22,QCUREA_N,2,),IF(H22="PER",VLOOKUP(I22,QCPER,MATCH(E22,QCACTUAL!$J$25:$AA$25,0),),IF(H22="SPK",VLOOKUP(I22,QCSPK,3,),IF(AND(H22="ATP",OR(I22="TP",I22="TDP")),VLOOKUP(E22,QCATP_P,2,),""))))))))</f>
        <v/>
      </c>
      <c r="W22" s="31" t="str">
        <f t="shared" si="1"/>
        <v>TRUE</v>
      </c>
      <c r="X22" s="31" t="str">
        <f t="shared" si="2"/>
        <v/>
      </c>
      <c r="Y22" s="10" t="s">
        <v>951</v>
      </c>
      <c r="AL22" s="10" t="str">
        <f t="shared" si="3"/>
        <v>FALSE</v>
      </c>
      <c r="AM22" s="10" t="str">
        <f t="shared" si="3"/>
        <v>FALSE</v>
      </c>
      <c r="AN22" s="10" t="str">
        <f t="shared" si="3"/>
        <v>FALSE</v>
      </c>
      <c r="AO22" s="10" t="str">
        <f t="shared" si="4"/>
        <v>FALSE</v>
      </c>
      <c r="AP22" s="10" t="str">
        <f t="shared" si="4"/>
        <v>FALSE</v>
      </c>
      <c r="AQ22" s="10" t="b">
        <f>IF(AND(I22="TP",S22&lt;=150),VLOOKUP(AF22,TPCalibEq150!$AZ$2:$BB$166,3,),IF(AND(I22="TDP",S22&lt;=150),VLOOKUP(AF22,TPCalibEq150!$AZ$2:$BB$166,3,)))</f>
        <v>0</v>
      </c>
      <c r="AR22" s="10" t="b">
        <f>IF(AND(I22="TP",S22&lt;=300),VLOOKUP(AF22,TPCalibEq300!$AZ$2:$BB$166,3,),IF(AND(I22="TDP",S22&lt;=300),VLOOKUP(AF22,TPCalibEq300!$AZ$2:$BB$166,3,)))</f>
        <v>0</v>
      </c>
      <c r="AS22" s="10" t="b">
        <f>IF(AND(I22="TP",S22&lt;=500),VLOOKUP(AF22,TPCalibEq500!$AZ$2:$BB$165,3,),IF(AND(I22="TDP",S22&lt;=500),VLOOKUP(AF22,TPCalibEq500!$AZ$2:$BB$165,3,)))</f>
        <v>0</v>
      </c>
      <c r="AT22" s="10" t="b">
        <f>IF(AND(I22="TN",S22&lt;=2800),VLOOKUP(AF22,TNCalibEq2500!$AZ$2:$BB$165,3,),IF(AND(I22="TDN",S22&lt;=2800),VLOOKUP(AF22,TNCalibEq2500!$AZ$2:$BB$165,3,)))</f>
        <v>0</v>
      </c>
      <c r="AU22" s="10" t="b">
        <f>IF(I22="TP",VLOOKUP(AF22,TPCalibEqFull!$AZ$2:$BB$165,3),IF(I22="TDP",VLOOKUP(AF22,TPCalibEqFull!$AZ$2:$BB$165,3),IF(I22="TDN",VLOOKUP(AF22,TNCalibEqFull!$AZ$2:$BB$164,3),IF(I22="TN",VLOOKUP(AF22,TNCalibEqFull!$AZ$2:$BB$164,3),FALSE))))</f>
        <v>0</v>
      </c>
      <c r="AV22" s="10" t="str">
        <f t="shared" si="7"/>
        <v>20240803 00:00:00-1000-16-Sh-1-DI-BLK</v>
      </c>
    </row>
    <row r="23" spans="1:48" s="10" customFormat="1" x14ac:dyDescent="0.3">
      <c r="A23" s="32">
        <v>45507</v>
      </c>
      <c r="B23" s="33">
        <v>0</v>
      </c>
      <c r="C23" s="10">
        <v>1000</v>
      </c>
      <c r="D23" s="10">
        <v>16</v>
      </c>
      <c r="E23" s="10" t="s">
        <v>953</v>
      </c>
      <c r="F23" s="10">
        <v>1</v>
      </c>
      <c r="G23" s="10" t="s">
        <v>229</v>
      </c>
      <c r="H23" s="10" t="s">
        <v>320</v>
      </c>
      <c r="I23" s="10" t="s">
        <v>74</v>
      </c>
      <c r="J23" s="10">
        <v>21</v>
      </c>
      <c r="K23" s="12">
        <v>45687</v>
      </c>
      <c r="L23" s="33">
        <v>0.49692129629629633</v>
      </c>
      <c r="M23" s="10">
        <v>1</v>
      </c>
      <c r="N23" s="10" t="s">
        <v>75</v>
      </c>
      <c r="O23" s="10">
        <v>0.26400000000000001</v>
      </c>
      <c r="P23" s="10">
        <v>2.35E-2</v>
      </c>
      <c r="Q23" s="10">
        <v>16.100000000000001</v>
      </c>
      <c r="R23" s="10" t="s">
        <v>76</v>
      </c>
      <c r="S23" s="34">
        <f t="shared" si="0"/>
        <v>16.100000000000001</v>
      </c>
      <c r="T23" s="10" t="s">
        <v>952</v>
      </c>
      <c r="U23" s="34" t="str">
        <f t="shared" si="6"/>
        <v/>
      </c>
      <c r="V23" s="31" t="str">
        <f>IF(H23="CHK",VLOOKUP(I23,QCCHK,3,),IF(H23="GUP",VLOOKUP(E23,QCGUP,2,),IF(AND(H23="ATP",OR(I23="TN",I23="TDN",I23="TNO2-3",I23="NO2-3")),VLOOKUP(E23,QCREC_N,2,),IF(AND(H23="NIC",OR(I23="TN",I23="TDN",I23="TNO2-3",I23="NO2-3")),VLOOKUP(E23,QCNIC_N,2,),IF(AND(H23="UREA",OR(I23="TN",I23="TDN",I23="TNO2-3",I23="NO2-3")),VLOOKUP(E23,QCUREA_N,2,),IF(H23="PER",VLOOKUP(I23,QCPER,MATCH(E23,QCACTUAL!$J$25:$AA$25,0),),IF(H23="SPK",VLOOKUP(I23,QCSPK,3,),IF(AND(H23="ATP",OR(I23="TP",I23="TDP")),VLOOKUP(E23,QCATP_P,2,),""))))))))</f>
        <v/>
      </c>
      <c r="W23" s="31" t="str">
        <f t="shared" si="1"/>
        <v>TRUE</v>
      </c>
      <c r="X23" s="31" t="str">
        <f t="shared" si="2"/>
        <v/>
      </c>
      <c r="Y23" s="10" t="s">
        <v>951</v>
      </c>
      <c r="AL23" s="10" t="str">
        <f t="shared" si="3"/>
        <v>FALSE</v>
      </c>
      <c r="AM23" s="10" t="str">
        <f t="shared" si="3"/>
        <v>FALSE</v>
      </c>
      <c r="AN23" s="10" t="str">
        <f t="shared" si="3"/>
        <v>FALSE</v>
      </c>
      <c r="AO23" s="10" t="str">
        <f t="shared" si="4"/>
        <v>FALSE</v>
      </c>
      <c r="AP23" s="10" t="str">
        <f t="shared" si="4"/>
        <v>FALSE</v>
      </c>
      <c r="AQ23" s="10" t="b">
        <f>IF(AND(I23="TP",S23&lt;=150),VLOOKUP(AF23,TPCalibEq150!$AZ$2:$BB$166,3,),IF(AND(I23="TDP",S23&lt;=150),VLOOKUP(AF23,TPCalibEq150!$AZ$2:$BB$166,3,)))</f>
        <v>0</v>
      </c>
      <c r="AR23" s="10" t="b">
        <f>IF(AND(I23="TP",S23&lt;=300),VLOOKUP(AF23,TPCalibEq300!$AZ$2:$BB$166,3,),IF(AND(I23="TDP",S23&lt;=300),VLOOKUP(AF23,TPCalibEq300!$AZ$2:$BB$166,3,)))</f>
        <v>0</v>
      </c>
      <c r="AS23" s="10" t="b">
        <f>IF(AND(I23="TP",S23&lt;=500),VLOOKUP(AF23,TPCalibEq500!$AZ$2:$BB$165,3,),IF(AND(I23="TDP",S23&lt;=500),VLOOKUP(AF23,TPCalibEq500!$AZ$2:$BB$165,3,)))</f>
        <v>0</v>
      </c>
      <c r="AT23" s="10" t="b">
        <f>IF(AND(I23="TN",S23&lt;=2800),VLOOKUP(AF23,TNCalibEq2500!$AZ$2:$BB$165,3,),IF(AND(I23="TDN",S23&lt;=2800),VLOOKUP(AF23,TNCalibEq2500!$AZ$2:$BB$165,3,)))</f>
        <v>0</v>
      </c>
      <c r="AU23" s="10" t="b">
        <f>IF(I23="TP",VLOOKUP(AF23,TPCalibEqFull!$AZ$2:$BB$165,3),IF(I23="TDP",VLOOKUP(AF23,TPCalibEqFull!$AZ$2:$BB$165,3),IF(I23="TDN",VLOOKUP(AF23,TNCalibEqFull!$AZ$2:$BB$164,3),IF(I23="TN",VLOOKUP(AF23,TNCalibEqFull!$AZ$2:$BB$164,3),FALSE))))</f>
        <v>0</v>
      </c>
      <c r="AV23" s="10" t="str">
        <f t="shared" si="7"/>
        <v>20240803 00:00:00-1000-16-Sh-1-SW-UKN</v>
      </c>
    </row>
    <row r="24" spans="1:48" s="10" customFormat="1" x14ac:dyDescent="0.3">
      <c r="A24" s="32">
        <v>45507</v>
      </c>
      <c r="B24" s="33">
        <v>0</v>
      </c>
      <c r="C24" s="10">
        <v>1000</v>
      </c>
      <c r="D24" s="10">
        <v>16</v>
      </c>
      <c r="E24" s="10" t="s">
        <v>953</v>
      </c>
      <c r="F24" s="10">
        <v>2</v>
      </c>
      <c r="G24" s="10" t="s">
        <v>229</v>
      </c>
      <c r="H24" s="10" t="s">
        <v>320</v>
      </c>
      <c r="I24" s="10" t="s">
        <v>74</v>
      </c>
      <c r="J24" s="10">
        <v>22</v>
      </c>
      <c r="K24" s="12">
        <v>45687</v>
      </c>
      <c r="L24" s="33">
        <v>0.4977314814814815</v>
      </c>
      <c r="M24" s="10">
        <v>1</v>
      </c>
      <c r="N24" s="10" t="s">
        <v>75</v>
      </c>
      <c r="O24" s="10">
        <v>1.2E-2</v>
      </c>
      <c r="P24" s="10">
        <v>1.9300000000000001E-3</v>
      </c>
      <c r="Q24" s="10">
        <v>0.72599999999999998</v>
      </c>
      <c r="R24" s="10" t="s">
        <v>76</v>
      </c>
      <c r="S24" s="34">
        <f t="shared" si="0"/>
        <v>0.72599999999999998</v>
      </c>
      <c r="T24" s="10" t="s">
        <v>952</v>
      </c>
      <c r="U24" s="34" t="str">
        <f t="shared" si="6"/>
        <v/>
      </c>
      <c r="V24" s="31" t="str">
        <f>IF(H24="CHK",VLOOKUP(I24,QCCHK,3,),IF(H24="GUP",VLOOKUP(E24,QCGUP,2,),IF(AND(H24="ATP",OR(I24="TN",I24="TDN",I24="TNO2-3",I24="NO2-3")),VLOOKUP(E24,QCREC_N,2,),IF(AND(H24="NIC",OR(I24="TN",I24="TDN",I24="TNO2-3",I24="NO2-3")),VLOOKUP(E24,QCNIC_N,2,),IF(AND(H24="UREA",OR(I24="TN",I24="TDN",I24="TNO2-3",I24="NO2-3")),VLOOKUP(E24,QCUREA_N,2,),IF(H24="PER",VLOOKUP(I24,QCPER,MATCH(E24,QCACTUAL!$J$25:$AA$25,0),),IF(H24="SPK",VLOOKUP(I24,QCSPK,3,),IF(AND(H24="ATP",OR(I24="TP",I24="TDP")),VLOOKUP(E24,QCATP_P,2,),""))))))))</f>
        <v/>
      </c>
      <c r="W24" s="31" t="str">
        <f t="shared" si="1"/>
        <v>TRUE</v>
      </c>
      <c r="X24" s="31" t="str">
        <f t="shared" si="2"/>
        <v/>
      </c>
      <c r="Y24" s="10" t="s">
        <v>951</v>
      </c>
      <c r="AL24" s="10" t="str">
        <f t="shared" si="3"/>
        <v>FALSE</v>
      </c>
      <c r="AM24" s="10" t="str">
        <f t="shared" si="3"/>
        <v>FALSE</v>
      </c>
      <c r="AN24" s="10" t="str">
        <f t="shared" si="3"/>
        <v>FALSE</v>
      </c>
      <c r="AO24" s="10" t="str">
        <f t="shared" si="4"/>
        <v>FALSE</v>
      </c>
      <c r="AP24" s="10" t="str">
        <f t="shared" si="4"/>
        <v>FALSE</v>
      </c>
      <c r="AQ24" s="10" t="b">
        <f>IF(AND(I24="TP",S24&lt;=150),VLOOKUP(AF24,TPCalibEq150!$AZ$2:$BB$166,3,),IF(AND(I24="TDP",S24&lt;=150),VLOOKUP(AF24,TPCalibEq150!$AZ$2:$BB$166,3,)))</f>
        <v>0</v>
      </c>
      <c r="AR24" s="10" t="b">
        <f>IF(AND(I24="TP",S24&lt;=300),VLOOKUP(AF24,TPCalibEq300!$AZ$2:$BB$166,3,),IF(AND(I24="TDP",S24&lt;=300),VLOOKUP(AF24,TPCalibEq300!$AZ$2:$BB$166,3,)))</f>
        <v>0</v>
      </c>
      <c r="AS24" s="10" t="b">
        <f>IF(AND(I24="TP",S24&lt;=500),VLOOKUP(AF24,TPCalibEq500!$AZ$2:$BB$165,3,),IF(AND(I24="TDP",S24&lt;=500),VLOOKUP(AF24,TPCalibEq500!$AZ$2:$BB$165,3,)))</f>
        <v>0</v>
      </c>
      <c r="AT24" s="10" t="b">
        <f>IF(AND(I24="TN",S24&lt;=2800),VLOOKUP(AF24,TNCalibEq2500!$AZ$2:$BB$165,3,),IF(AND(I24="TDN",S24&lt;=2800),VLOOKUP(AF24,TNCalibEq2500!$AZ$2:$BB$165,3,)))</f>
        <v>0</v>
      </c>
      <c r="AU24" s="10" t="b">
        <f>IF(I24="TP",VLOOKUP(AF24,TPCalibEqFull!$AZ$2:$BB$165,3),IF(I24="TDP",VLOOKUP(AF24,TPCalibEqFull!$AZ$2:$BB$165,3),IF(I24="TDN",VLOOKUP(AF24,TNCalibEqFull!$AZ$2:$BB$164,3),IF(I24="TN",VLOOKUP(AF24,TNCalibEqFull!$AZ$2:$BB$164,3),FALSE))))</f>
        <v>0</v>
      </c>
      <c r="AV24" s="10" t="str">
        <f t="shared" si="7"/>
        <v>20240803 00:00:00-1000-16-Sh-2-SW-UKN</v>
      </c>
    </row>
    <row r="25" spans="1:48" s="10" customFormat="1" x14ac:dyDescent="0.3">
      <c r="A25" s="32">
        <v>45507</v>
      </c>
      <c r="B25" s="33">
        <v>0</v>
      </c>
      <c r="C25" s="10">
        <v>1000</v>
      </c>
      <c r="D25" s="10">
        <v>16</v>
      </c>
      <c r="E25" s="10" t="s">
        <v>953</v>
      </c>
      <c r="F25" s="10">
        <v>2</v>
      </c>
      <c r="G25" s="10" t="s">
        <v>229</v>
      </c>
      <c r="H25" s="10" t="s">
        <v>231</v>
      </c>
      <c r="I25" s="10" t="s">
        <v>74</v>
      </c>
      <c r="J25" s="10">
        <v>22</v>
      </c>
      <c r="K25" s="12">
        <v>45687</v>
      </c>
      <c r="L25" s="33">
        <v>0.49855324074074076</v>
      </c>
      <c r="M25" s="10">
        <v>1</v>
      </c>
      <c r="N25" s="10" t="s">
        <v>75</v>
      </c>
      <c r="O25" s="10">
        <v>1.6199999999999999E-2</v>
      </c>
      <c r="P25" s="10">
        <v>1.7799999999999999E-3</v>
      </c>
      <c r="Q25" s="10">
        <v>0.98199999999999998</v>
      </c>
      <c r="R25" s="10" t="s">
        <v>76</v>
      </c>
      <c r="S25" s="34">
        <f t="shared" si="0"/>
        <v>0.98199999999999998</v>
      </c>
      <c r="T25" s="10" t="s">
        <v>952</v>
      </c>
      <c r="U25" s="34">
        <f t="shared" si="6"/>
        <v>29.976580796252929</v>
      </c>
      <c r="V25" s="31" t="str">
        <f>IF(H25="CHK",VLOOKUP(I25,QCCHK,3,),IF(H25="GUP",VLOOKUP(E25,QCGUP,2,),IF(AND(H25="ATP",OR(I25="TN",I25="TDN",I25="TNO2-3",I25="NO2-3")),VLOOKUP(E25,QCREC_N,2,),IF(AND(H25="NIC",OR(I25="TN",I25="TDN",I25="TNO2-3",I25="NO2-3")),VLOOKUP(E25,QCNIC_N,2,),IF(AND(H25="UREA",OR(I25="TN",I25="TDN",I25="TNO2-3",I25="NO2-3")),VLOOKUP(E25,QCUREA_N,2,),IF(H25="PER",VLOOKUP(I25,QCPER,MATCH(E25,QCACTUAL!$J$25:$AA$25,0),),IF(H25="SPK",VLOOKUP(I25,QCSPK,3,),IF(AND(H25="ATP",OR(I25="TP",I25="TDP")),VLOOKUP(E25,QCATP_P,2,),""))))))))</f>
        <v/>
      </c>
      <c r="W25" s="31" t="b">
        <v>1</v>
      </c>
      <c r="X25" s="31" t="str">
        <f t="shared" si="2"/>
        <v>((ABS(rep1-rep2))/((rep1+rep2)/2)*100</v>
      </c>
      <c r="Y25" s="10" t="s">
        <v>951</v>
      </c>
      <c r="Z25" s="10" t="s">
        <v>931</v>
      </c>
      <c r="AL25" s="10" t="str">
        <f t="shared" si="3"/>
        <v>FALSE</v>
      </c>
      <c r="AM25" s="10" t="str">
        <f t="shared" si="3"/>
        <v>FALSE</v>
      </c>
      <c r="AN25" s="10" t="str">
        <f t="shared" si="3"/>
        <v>FALSE</v>
      </c>
      <c r="AO25" s="10" t="str">
        <f t="shared" si="4"/>
        <v>FALSE</v>
      </c>
      <c r="AP25" s="10" t="str">
        <f t="shared" si="4"/>
        <v>FALSE</v>
      </c>
      <c r="AQ25" s="10" t="b">
        <f>IF(AND(I25="TP",S25&lt;=150),VLOOKUP(AF25,TPCalibEq150!$AZ$2:$BB$166,3,),IF(AND(I25="TDP",S25&lt;=150),VLOOKUP(AF25,TPCalibEq150!$AZ$2:$BB$166,3,)))</f>
        <v>0</v>
      </c>
      <c r="AR25" s="10" t="b">
        <f>IF(AND(I25="TP",S25&lt;=300),VLOOKUP(AF25,TPCalibEq300!$AZ$2:$BB$166,3,),IF(AND(I25="TDP",S25&lt;=300),VLOOKUP(AF25,TPCalibEq300!$AZ$2:$BB$166,3,)))</f>
        <v>0</v>
      </c>
      <c r="AS25" s="10" t="b">
        <f>IF(AND(I25="TP",S25&lt;=500),VLOOKUP(AF25,TPCalibEq500!$AZ$2:$BB$165,3,),IF(AND(I25="TDP",S25&lt;=500),VLOOKUP(AF25,TPCalibEq500!$AZ$2:$BB$165,3,)))</f>
        <v>0</v>
      </c>
      <c r="AT25" s="10" t="b">
        <f>IF(AND(I25="TN",S25&lt;=2800),VLOOKUP(AF25,TNCalibEq2500!$AZ$2:$BB$165,3,),IF(AND(I25="TDN",S25&lt;=2800),VLOOKUP(AF25,TNCalibEq2500!$AZ$2:$BB$165,3,)))</f>
        <v>0</v>
      </c>
      <c r="AU25" s="10" t="b">
        <f>IF(I25="TP",VLOOKUP(AF25,TPCalibEqFull!$AZ$2:$BB$165,3),IF(I25="TDP",VLOOKUP(AF25,TPCalibEqFull!$AZ$2:$BB$165,3),IF(I25="TDN",VLOOKUP(AF25,TNCalibEqFull!$AZ$2:$BB$164,3),IF(I25="TN",VLOOKUP(AF25,TNCalibEqFull!$AZ$2:$BB$164,3),FALSE))))</f>
        <v>0</v>
      </c>
      <c r="AV25" s="10" t="str">
        <f t="shared" si="7"/>
        <v>20240803 00:00:00-1000-16-Sh-2-SW-DUP</v>
      </c>
    </row>
    <row r="26" spans="1:48" s="10" customFormat="1" x14ac:dyDescent="0.3">
      <c r="A26" s="32">
        <v>45514</v>
      </c>
      <c r="B26" s="33">
        <v>0</v>
      </c>
      <c r="C26" s="10">
        <v>1000</v>
      </c>
      <c r="D26" s="10">
        <v>17</v>
      </c>
      <c r="E26" s="10" t="s">
        <v>953</v>
      </c>
      <c r="F26" s="10">
        <v>1</v>
      </c>
      <c r="G26" s="10" t="s">
        <v>72</v>
      </c>
      <c r="H26" s="10" t="s">
        <v>239</v>
      </c>
      <c r="I26" s="10" t="s">
        <v>74</v>
      </c>
      <c r="J26" s="10">
        <v>23</v>
      </c>
      <c r="K26" s="12">
        <v>45687</v>
      </c>
      <c r="L26" s="33">
        <v>0.50101851851851853</v>
      </c>
      <c r="M26" s="10">
        <v>1</v>
      </c>
      <c r="N26" s="10" t="s">
        <v>75</v>
      </c>
      <c r="O26" s="10">
        <v>0.215</v>
      </c>
      <c r="P26" s="10">
        <v>4.4400000000000002E-2</v>
      </c>
      <c r="Q26" s="10">
        <v>13.1</v>
      </c>
      <c r="R26" s="10" t="s">
        <v>76</v>
      </c>
      <c r="S26" s="34">
        <f t="shared" si="0"/>
        <v>13.1</v>
      </c>
      <c r="T26" s="10" t="s">
        <v>952</v>
      </c>
      <c r="U26" s="34" t="str">
        <f>IF(OR(H26="CHK",H26="ATP",H26="GUP",H26="PER", H26="NIC", H26="UREA"),(S26/V26*100),IF(H26="DUP",((ABS(S26-#REF!))/((#REF!+S26)/2))*100,IF(H26="SPK",((S26-#REF!)/V26*100),IF(OR(H26="LAB",H26="FLD",H26="ESF"),S26,""))))</f>
        <v/>
      </c>
      <c r="V26" s="31" t="str">
        <f>IF(H26="CHK",VLOOKUP(I26,QCCHK,3,),IF(H26="GUP",VLOOKUP(E26,QCGUP,2,),IF(AND(H26="ATP",OR(I26="TN",I26="TDN",I26="TNO2-3",I26="NO2-3")),VLOOKUP(E26,QCREC_N,2,),IF(AND(H26="NIC",OR(I26="TN",I26="TDN",I26="TNO2-3",I26="NO2-3")),VLOOKUP(E26,QCNIC_N,2,),IF(AND(H26="UREA",OR(I26="TN",I26="TDN",I26="TNO2-3",I26="NO2-3")),VLOOKUP(E26,QCUREA_N,2,),IF(H26="PER",VLOOKUP(I26,QCPER,MATCH(E26,QCACTUAL!$J$25:$AA$25,0),),IF(H26="SPK",VLOOKUP(I26,QCSPK,3,),IF(AND(H26="ATP",OR(I26="TP",I26="TDP")),VLOOKUP(E26,QCATP_P,2,),""))))))))</f>
        <v/>
      </c>
      <c r="W26" s="31" t="str">
        <f t="shared" si="1"/>
        <v>TRUE</v>
      </c>
      <c r="X26" s="31" t="str">
        <f t="shared" si="2"/>
        <v/>
      </c>
      <c r="Y26" s="10" t="s">
        <v>951</v>
      </c>
      <c r="AL26" s="10" t="str">
        <f t="shared" si="3"/>
        <v>FALSE</v>
      </c>
      <c r="AM26" s="10" t="str">
        <f t="shared" si="3"/>
        <v>FALSE</v>
      </c>
      <c r="AN26" s="10" t="str">
        <f t="shared" si="3"/>
        <v>FALSE</v>
      </c>
      <c r="AO26" s="10" t="str">
        <f t="shared" si="4"/>
        <v>FALSE</v>
      </c>
      <c r="AP26" s="10" t="str">
        <f t="shared" si="4"/>
        <v>FALSE</v>
      </c>
      <c r="AQ26" s="10" t="b">
        <f>IF(AND(I26="TP",S26&lt;=150),VLOOKUP(AF26,TPCalibEq150!$AZ$2:$BB$166,3,),IF(AND(I26="TDP",S26&lt;=150),VLOOKUP(AF26,TPCalibEq150!$AZ$2:$BB$166,3,)))</f>
        <v>0</v>
      </c>
      <c r="AR26" s="10" t="b">
        <f>IF(AND(I26="TP",S26&lt;=300),VLOOKUP(AF26,TPCalibEq300!$AZ$2:$BB$166,3,),IF(AND(I26="TDP",S26&lt;=300),VLOOKUP(AF26,TPCalibEq300!$AZ$2:$BB$166,3,)))</f>
        <v>0</v>
      </c>
      <c r="AS26" s="10" t="b">
        <f>IF(AND(I26="TP",S26&lt;=500),VLOOKUP(AF26,TPCalibEq500!$AZ$2:$BB$165,3,),IF(AND(I26="TDP",S26&lt;=500),VLOOKUP(AF26,TPCalibEq500!$AZ$2:$BB$165,3,)))</f>
        <v>0</v>
      </c>
      <c r="AT26" s="10" t="b">
        <f>IF(AND(I26="TN",S26&lt;=2800),VLOOKUP(AF26,TNCalibEq2500!$AZ$2:$BB$165,3,),IF(AND(I26="TDN",S26&lt;=2800),VLOOKUP(AF26,TNCalibEq2500!$AZ$2:$BB$165,3,)))</f>
        <v>0</v>
      </c>
      <c r="AU26" s="10" t="b">
        <f>IF(I26="TP",VLOOKUP(AF26,TPCalibEqFull!$AZ$2:$BB$165,3),IF(I26="TDP",VLOOKUP(AF26,TPCalibEqFull!$AZ$2:$BB$165,3),IF(I26="TDN",VLOOKUP(AF26,TNCalibEqFull!$AZ$2:$BB$164,3),IF(I26="TN",VLOOKUP(AF26,TNCalibEqFull!$AZ$2:$BB$164,3),FALSE))))</f>
        <v>0</v>
      </c>
      <c r="AV26" s="10" t="str">
        <f t="shared" si="7"/>
        <v>20240810 00:00:00-1000-17-Sh-1-DI-BLK</v>
      </c>
    </row>
    <row r="27" spans="1:48" s="10" customFormat="1" x14ac:dyDescent="0.3">
      <c r="A27" s="32">
        <v>45514</v>
      </c>
      <c r="B27" s="33">
        <v>0</v>
      </c>
      <c r="C27" s="10">
        <v>1000</v>
      </c>
      <c r="D27" s="10">
        <v>17</v>
      </c>
      <c r="E27" s="10" t="s">
        <v>953</v>
      </c>
      <c r="F27" s="10">
        <v>1</v>
      </c>
      <c r="G27" s="10" t="s">
        <v>229</v>
      </c>
      <c r="H27" s="10" t="s">
        <v>320</v>
      </c>
      <c r="I27" s="10" t="s">
        <v>74</v>
      </c>
      <c r="J27" s="10">
        <v>24</v>
      </c>
      <c r="K27" s="12">
        <v>45687</v>
      </c>
      <c r="L27" s="33">
        <v>0.5018055555555555</v>
      </c>
      <c r="M27" s="10">
        <v>1</v>
      </c>
      <c r="N27" s="10" t="s">
        <v>75</v>
      </c>
      <c r="O27" s="10">
        <v>2.0500000000000001E-2</v>
      </c>
      <c r="P27" s="10">
        <v>1.6100000000000001E-3</v>
      </c>
      <c r="Q27" s="10">
        <v>1.25</v>
      </c>
      <c r="R27" s="10" t="s">
        <v>76</v>
      </c>
      <c r="S27" s="34">
        <f t="shared" si="0"/>
        <v>1.25</v>
      </c>
      <c r="T27" s="10" t="s">
        <v>952</v>
      </c>
      <c r="U27" s="34" t="str">
        <f t="shared" si="6"/>
        <v/>
      </c>
      <c r="V27" s="31" t="str">
        <f>IF(H27="CHK",VLOOKUP(I27,QCCHK,3,),IF(H27="GUP",VLOOKUP(E27,QCGUP,2,),IF(AND(H27="ATP",OR(I27="TN",I27="TDN",I27="TNO2-3",I27="NO2-3")),VLOOKUP(E27,QCREC_N,2,),IF(AND(H27="NIC",OR(I27="TN",I27="TDN",I27="TNO2-3",I27="NO2-3")),VLOOKUP(E27,QCNIC_N,2,),IF(AND(H27="UREA",OR(I27="TN",I27="TDN",I27="TNO2-3",I27="NO2-3")),VLOOKUP(E27,QCUREA_N,2,),IF(H27="PER",VLOOKUP(I27,QCPER,MATCH(E27,QCACTUAL!$J$25:$AA$25,0),),IF(H27="SPK",VLOOKUP(I27,QCSPK,3,),IF(AND(H27="ATP",OR(I27="TP",I27="TDP")),VLOOKUP(E27,QCATP_P,2,),""))))))))</f>
        <v/>
      </c>
      <c r="W27" s="31" t="str">
        <f t="shared" si="1"/>
        <v>TRUE</v>
      </c>
      <c r="X27" s="31" t="str">
        <f t="shared" si="2"/>
        <v/>
      </c>
      <c r="Y27" s="10" t="s">
        <v>951</v>
      </c>
      <c r="AL27" s="10" t="str">
        <f t="shared" si="3"/>
        <v>FALSE</v>
      </c>
      <c r="AM27" s="10" t="str">
        <f t="shared" si="3"/>
        <v>FALSE</v>
      </c>
      <c r="AN27" s="10" t="str">
        <f t="shared" si="3"/>
        <v>FALSE</v>
      </c>
      <c r="AO27" s="10" t="str">
        <f t="shared" si="4"/>
        <v>FALSE</v>
      </c>
      <c r="AP27" s="10" t="str">
        <f t="shared" si="4"/>
        <v>FALSE</v>
      </c>
      <c r="AQ27" s="10" t="b">
        <f>IF(AND(I27="TP",S27&lt;=150),VLOOKUP(AF27,TPCalibEq150!$AZ$2:$BB$166,3,),IF(AND(I27="TDP",S27&lt;=150),VLOOKUP(AF27,TPCalibEq150!$AZ$2:$BB$166,3,)))</f>
        <v>0</v>
      </c>
      <c r="AR27" s="10" t="b">
        <f>IF(AND(I27="TP",S27&lt;=300),VLOOKUP(AF27,TPCalibEq300!$AZ$2:$BB$166,3,),IF(AND(I27="TDP",S27&lt;=300),VLOOKUP(AF27,TPCalibEq300!$AZ$2:$BB$166,3,)))</f>
        <v>0</v>
      </c>
      <c r="AS27" s="10" t="b">
        <f>IF(AND(I27="TP",S27&lt;=500),VLOOKUP(AF27,TPCalibEq500!$AZ$2:$BB$165,3,),IF(AND(I27="TDP",S27&lt;=500),VLOOKUP(AF27,TPCalibEq500!$AZ$2:$BB$165,3,)))</f>
        <v>0</v>
      </c>
      <c r="AT27" s="10" t="b">
        <f>IF(AND(I27="TN",S27&lt;=2800),VLOOKUP(AF27,TNCalibEq2500!$AZ$2:$BB$165,3,),IF(AND(I27="TDN",S27&lt;=2800),VLOOKUP(AF27,TNCalibEq2500!$AZ$2:$BB$165,3,)))</f>
        <v>0</v>
      </c>
      <c r="AU27" s="10" t="b">
        <f>IF(I27="TP",VLOOKUP(AF27,TPCalibEqFull!$AZ$2:$BB$165,3),IF(I27="TDP",VLOOKUP(AF27,TPCalibEqFull!$AZ$2:$BB$165,3),IF(I27="TDN",VLOOKUP(AF27,TNCalibEqFull!$AZ$2:$BB$164,3),IF(I27="TN",VLOOKUP(AF27,TNCalibEqFull!$AZ$2:$BB$164,3),FALSE))))</f>
        <v>0</v>
      </c>
      <c r="AV27" s="10" t="str">
        <f t="shared" si="7"/>
        <v>20240810 00:00:00-1000-17-Sh-1-SW-UKN</v>
      </c>
    </row>
    <row r="28" spans="1:48" s="10" customFormat="1" x14ac:dyDescent="0.3">
      <c r="A28" s="32">
        <v>45514</v>
      </c>
      <c r="B28" s="33">
        <v>0</v>
      </c>
      <c r="C28" s="10">
        <v>1000</v>
      </c>
      <c r="D28" s="10">
        <v>17</v>
      </c>
      <c r="E28" s="10" t="s">
        <v>953</v>
      </c>
      <c r="F28" s="10">
        <v>2</v>
      </c>
      <c r="G28" s="10" t="s">
        <v>229</v>
      </c>
      <c r="H28" s="10" t="s">
        <v>320</v>
      </c>
      <c r="I28" s="10" t="s">
        <v>74</v>
      </c>
      <c r="J28" s="10">
        <v>25</v>
      </c>
      <c r="K28" s="12">
        <v>45687</v>
      </c>
      <c r="L28" s="33">
        <v>0.50263888888888886</v>
      </c>
      <c r="M28" s="10">
        <v>1</v>
      </c>
      <c r="N28" s="10" t="s">
        <v>75</v>
      </c>
      <c r="O28" s="10">
        <v>1.47E-2</v>
      </c>
      <c r="P28" s="10">
        <v>1.74E-3</v>
      </c>
      <c r="Q28" s="10">
        <v>0.89600000000000002</v>
      </c>
      <c r="R28" s="10" t="s">
        <v>76</v>
      </c>
      <c r="S28" s="34">
        <f t="shared" si="0"/>
        <v>0.89600000000000002</v>
      </c>
      <c r="T28" s="10" t="s">
        <v>952</v>
      </c>
      <c r="U28" s="34" t="str">
        <f t="shared" si="6"/>
        <v/>
      </c>
      <c r="V28" s="31" t="str">
        <f>IF(H28="CHK",VLOOKUP(I28,QCCHK,3,),IF(H28="GUP",VLOOKUP(E28,QCGUP,2,),IF(AND(H28="ATP",OR(I28="TN",I28="TDN",I28="TNO2-3",I28="NO2-3")),VLOOKUP(E28,QCREC_N,2,),IF(AND(H28="NIC",OR(I28="TN",I28="TDN",I28="TNO2-3",I28="NO2-3")),VLOOKUP(E28,QCNIC_N,2,),IF(AND(H28="UREA",OR(I28="TN",I28="TDN",I28="TNO2-3",I28="NO2-3")),VLOOKUP(E28,QCUREA_N,2,),IF(H28="PER",VLOOKUP(I28,QCPER,MATCH(E28,QCACTUAL!$J$25:$AA$25,0),),IF(H28="SPK",VLOOKUP(I28,QCSPK,3,),IF(AND(H28="ATP",OR(I28="TP",I28="TDP")),VLOOKUP(E28,QCATP_P,2,),""))))))))</f>
        <v/>
      </c>
      <c r="W28" s="31" t="str">
        <f t="shared" si="1"/>
        <v>TRUE</v>
      </c>
      <c r="X28" s="31" t="str">
        <f t="shared" si="2"/>
        <v/>
      </c>
      <c r="Y28" s="10" t="s">
        <v>951</v>
      </c>
      <c r="AL28" s="10" t="str">
        <f t="shared" si="3"/>
        <v>FALSE</v>
      </c>
      <c r="AM28" s="10" t="str">
        <f t="shared" si="3"/>
        <v>FALSE</v>
      </c>
      <c r="AN28" s="10" t="str">
        <f t="shared" si="3"/>
        <v>FALSE</v>
      </c>
      <c r="AO28" s="10" t="str">
        <f t="shared" si="4"/>
        <v>FALSE</v>
      </c>
      <c r="AP28" s="10" t="str">
        <f t="shared" si="4"/>
        <v>FALSE</v>
      </c>
      <c r="AQ28" s="10" t="b">
        <f>IF(AND(I28="TP",S28&lt;=150),VLOOKUP(AF28,TPCalibEq150!$AZ$2:$BB$166,3,),IF(AND(I28="TDP",S28&lt;=150),VLOOKUP(AF28,TPCalibEq150!$AZ$2:$BB$166,3,)))</f>
        <v>0</v>
      </c>
      <c r="AR28" s="10" t="b">
        <f>IF(AND(I28="TP",S28&lt;=300),VLOOKUP(AF28,TPCalibEq300!$AZ$2:$BB$166,3,),IF(AND(I28="TDP",S28&lt;=300),VLOOKUP(AF28,TPCalibEq300!$AZ$2:$BB$166,3,)))</f>
        <v>0</v>
      </c>
      <c r="AS28" s="10" t="b">
        <f>IF(AND(I28="TP",S28&lt;=500),VLOOKUP(AF28,TPCalibEq500!$AZ$2:$BB$165,3,),IF(AND(I28="TDP",S28&lt;=500),VLOOKUP(AF28,TPCalibEq500!$AZ$2:$BB$165,3,)))</f>
        <v>0</v>
      </c>
      <c r="AT28" s="10" t="b">
        <f>IF(AND(I28="TN",S28&lt;=2800),VLOOKUP(AF28,TNCalibEq2500!$AZ$2:$BB$165,3,),IF(AND(I28="TDN",S28&lt;=2800),VLOOKUP(AF28,TNCalibEq2500!$AZ$2:$BB$165,3,)))</f>
        <v>0</v>
      </c>
      <c r="AU28" s="10" t="b">
        <f>IF(I28="TP",VLOOKUP(AF28,TPCalibEqFull!$AZ$2:$BB$165,3),IF(I28="TDP",VLOOKUP(AF28,TPCalibEqFull!$AZ$2:$BB$165,3),IF(I28="TDN",VLOOKUP(AF28,TNCalibEqFull!$AZ$2:$BB$164,3),IF(I28="TN",VLOOKUP(AF28,TNCalibEqFull!$AZ$2:$BB$164,3),FALSE))))</f>
        <v>0</v>
      </c>
      <c r="AV28" s="10" t="str">
        <f t="shared" si="7"/>
        <v>20240810 00:00:00-1000-17-Sh-2-SW-UKN</v>
      </c>
    </row>
    <row r="29" spans="1:48" s="10" customFormat="1" x14ac:dyDescent="0.3">
      <c r="A29" s="32">
        <v>45514</v>
      </c>
      <c r="B29" s="33">
        <v>0</v>
      </c>
      <c r="C29" s="10">
        <v>1000</v>
      </c>
      <c r="D29" s="10">
        <v>17</v>
      </c>
      <c r="E29" s="10" t="s">
        <v>954</v>
      </c>
      <c r="F29" s="10">
        <v>1</v>
      </c>
      <c r="G29" s="10" t="s">
        <v>229</v>
      </c>
      <c r="H29" s="10" t="s">
        <v>320</v>
      </c>
      <c r="I29" s="10" t="s">
        <v>74</v>
      </c>
      <c r="J29" s="10">
        <v>26</v>
      </c>
      <c r="K29" s="12">
        <v>45687</v>
      </c>
      <c r="L29" s="33">
        <v>0.50342592592592594</v>
      </c>
      <c r="M29" s="10">
        <v>1</v>
      </c>
      <c r="N29" s="10" t="s">
        <v>75</v>
      </c>
      <c r="O29" s="10">
        <v>1.8499999999999999E-2</v>
      </c>
      <c r="P29" s="10">
        <v>1.6999999999999999E-3</v>
      </c>
      <c r="Q29" s="10">
        <v>1.1200000000000001</v>
      </c>
      <c r="R29" s="10" t="s">
        <v>76</v>
      </c>
      <c r="S29" s="34">
        <f t="shared" si="0"/>
        <v>1.1200000000000001</v>
      </c>
      <c r="T29" s="10" t="s">
        <v>952</v>
      </c>
      <c r="U29" s="34" t="str">
        <f t="shared" si="6"/>
        <v/>
      </c>
      <c r="V29" s="31" t="str">
        <f>IF(H29="CHK",VLOOKUP(I29,QCCHK,3,),IF(H29="GUP",VLOOKUP(E29,QCGUP,2,),IF(AND(H29="ATP",OR(I29="TN",I29="TDN",I29="TNO2-3",I29="NO2-3")),VLOOKUP(E29,QCREC_N,2,),IF(AND(H29="NIC",OR(I29="TN",I29="TDN",I29="TNO2-3",I29="NO2-3")),VLOOKUP(E29,QCNIC_N,2,),IF(AND(H29="UREA",OR(I29="TN",I29="TDN",I29="TNO2-3",I29="NO2-3")),VLOOKUP(E29,QCUREA_N,2,),IF(H29="PER",VLOOKUP(I29,QCPER,MATCH(E29,QCACTUAL!$J$25:$AA$25,0),),IF(H29="SPK",VLOOKUP(I29,QCSPK,3,),IF(AND(H29="ATP",OR(I29="TP",I29="TDP")),VLOOKUP(E29,QCATP_P,2,),""))))))))</f>
        <v/>
      </c>
      <c r="W29" s="31" t="str">
        <f t="shared" si="1"/>
        <v>TRUE</v>
      </c>
      <c r="X29" s="31" t="str">
        <f t="shared" si="2"/>
        <v/>
      </c>
      <c r="Y29" s="10" t="s">
        <v>951</v>
      </c>
      <c r="AL29" s="10" t="str">
        <f t="shared" si="3"/>
        <v>FALSE</v>
      </c>
      <c r="AM29" s="10" t="str">
        <f t="shared" si="3"/>
        <v>FALSE</v>
      </c>
      <c r="AN29" s="10" t="str">
        <f t="shared" si="3"/>
        <v>FALSE</v>
      </c>
      <c r="AO29" s="10" t="str">
        <f t="shared" si="4"/>
        <v>FALSE</v>
      </c>
      <c r="AP29" s="10" t="str">
        <f t="shared" si="4"/>
        <v>FALSE</v>
      </c>
      <c r="AQ29" s="10" t="b">
        <f>IF(AND(I29="TP",S29&lt;=150),VLOOKUP(AF29,TPCalibEq150!$AZ$2:$BB$166,3,),IF(AND(I29="TDP",S29&lt;=150),VLOOKUP(AF29,TPCalibEq150!$AZ$2:$BB$166,3,)))</f>
        <v>0</v>
      </c>
      <c r="AR29" s="10" t="b">
        <f>IF(AND(I29="TP",S29&lt;=300),VLOOKUP(AF29,TPCalibEq300!$AZ$2:$BB$166,3,),IF(AND(I29="TDP",S29&lt;=300),VLOOKUP(AF29,TPCalibEq300!$AZ$2:$BB$166,3,)))</f>
        <v>0</v>
      </c>
      <c r="AS29" s="10" t="b">
        <f>IF(AND(I29="TP",S29&lt;=500),VLOOKUP(AF29,TPCalibEq500!$AZ$2:$BB$165,3,),IF(AND(I29="TDP",S29&lt;=500),VLOOKUP(AF29,TPCalibEq500!$AZ$2:$BB$165,3,)))</f>
        <v>0</v>
      </c>
      <c r="AT29" s="10" t="b">
        <f>IF(AND(I29="TN",S29&lt;=2800),VLOOKUP(AF29,TNCalibEq2500!$AZ$2:$BB$165,3,),IF(AND(I29="TDN",S29&lt;=2800),VLOOKUP(AF29,TNCalibEq2500!$AZ$2:$BB$165,3,)))</f>
        <v>0</v>
      </c>
      <c r="AU29" s="10" t="b">
        <f>IF(I29="TP",VLOOKUP(AF29,TPCalibEqFull!$AZ$2:$BB$165,3),IF(I29="TDP",VLOOKUP(AF29,TPCalibEqFull!$AZ$2:$BB$165,3),IF(I29="TDN",VLOOKUP(AF29,TNCalibEqFull!$AZ$2:$BB$164,3),IF(I29="TN",VLOOKUP(AF29,TNCalibEqFull!$AZ$2:$BB$164,3),FALSE))))</f>
        <v>0</v>
      </c>
      <c r="AV29" s="10" t="str">
        <f t="shared" si="7"/>
        <v>20240810 00:00:00-1000-17-Dp-1-SW-UKN</v>
      </c>
    </row>
    <row r="30" spans="1:48" s="10" customFormat="1" x14ac:dyDescent="0.3">
      <c r="A30" s="32">
        <v>45514</v>
      </c>
      <c r="B30" s="33">
        <v>0</v>
      </c>
      <c r="C30" s="10">
        <v>1000</v>
      </c>
      <c r="D30" s="10">
        <v>18</v>
      </c>
      <c r="E30" s="10" t="s">
        <v>953</v>
      </c>
      <c r="F30" s="10">
        <v>1</v>
      </c>
      <c r="G30" s="10" t="s">
        <v>72</v>
      </c>
      <c r="H30" s="10" t="s">
        <v>239</v>
      </c>
      <c r="I30" s="10" t="s">
        <v>74</v>
      </c>
      <c r="J30" s="10">
        <v>27</v>
      </c>
      <c r="K30" s="12">
        <v>45687</v>
      </c>
      <c r="L30" s="33">
        <v>0.50424768518518526</v>
      </c>
      <c r="M30" s="10">
        <v>1</v>
      </c>
      <c r="N30" s="10" t="s">
        <v>75</v>
      </c>
      <c r="O30" s="10">
        <v>0.111</v>
      </c>
      <c r="P30" s="10">
        <v>9.3600000000000003E-3</v>
      </c>
      <c r="Q30" s="10">
        <v>6.72</v>
      </c>
      <c r="R30" s="10" t="s">
        <v>76</v>
      </c>
      <c r="S30" s="34">
        <f t="shared" si="0"/>
        <v>6.72</v>
      </c>
      <c r="T30" s="10" t="s">
        <v>952</v>
      </c>
      <c r="U30" s="34" t="str">
        <f t="shared" si="6"/>
        <v/>
      </c>
      <c r="V30" s="31" t="str">
        <f>IF(H30="CHK",VLOOKUP(I30,QCCHK,3,),IF(H30="GUP",VLOOKUP(E30,QCGUP,2,),IF(AND(H30="ATP",OR(I30="TN",I30="TDN",I30="TNO2-3",I30="NO2-3")),VLOOKUP(E30,QCREC_N,2,),IF(AND(H30="NIC",OR(I30="TN",I30="TDN",I30="TNO2-3",I30="NO2-3")),VLOOKUP(E30,QCNIC_N,2,),IF(AND(H30="UREA",OR(I30="TN",I30="TDN",I30="TNO2-3",I30="NO2-3")),VLOOKUP(E30,QCUREA_N,2,),IF(H30="PER",VLOOKUP(I30,QCPER,MATCH(E30,QCACTUAL!$J$25:$AA$25,0),),IF(H30="SPK",VLOOKUP(I30,QCSPK,3,),IF(AND(H30="ATP",OR(I30="TP",I30="TDP")),VLOOKUP(E30,QCATP_P,2,),""))))))))</f>
        <v/>
      </c>
      <c r="W30" s="31" t="str">
        <f t="shared" si="1"/>
        <v>TRUE</v>
      </c>
      <c r="X30" s="31" t="str">
        <f t="shared" si="2"/>
        <v/>
      </c>
      <c r="Y30" s="10" t="s">
        <v>951</v>
      </c>
      <c r="AL30" s="10" t="str">
        <f t="shared" si="3"/>
        <v>FALSE</v>
      </c>
      <c r="AM30" s="10" t="str">
        <f t="shared" si="3"/>
        <v>FALSE</v>
      </c>
      <c r="AN30" s="10" t="str">
        <f t="shared" si="3"/>
        <v>FALSE</v>
      </c>
      <c r="AO30" s="10" t="str">
        <f t="shared" si="4"/>
        <v>FALSE</v>
      </c>
      <c r="AP30" s="10" t="str">
        <f t="shared" si="4"/>
        <v>FALSE</v>
      </c>
      <c r="AQ30" s="10" t="b">
        <f>IF(AND(I30="TP",S30&lt;=150),VLOOKUP(AF30,TPCalibEq150!$AZ$2:$BB$166,3,),IF(AND(I30="TDP",S30&lt;=150),VLOOKUP(AF30,TPCalibEq150!$AZ$2:$BB$166,3,)))</f>
        <v>0</v>
      </c>
      <c r="AR30" s="10" t="b">
        <f>IF(AND(I30="TP",S30&lt;=300),VLOOKUP(AF30,TPCalibEq300!$AZ$2:$BB$166,3,),IF(AND(I30="TDP",S30&lt;=300),VLOOKUP(AF30,TPCalibEq300!$AZ$2:$BB$166,3,)))</f>
        <v>0</v>
      </c>
      <c r="AS30" s="10" t="b">
        <f>IF(AND(I30="TP",S30&lt;=500),VLOOKUP(AF30,TPCalibEq500!$AZ$2:$BB$165,3,),IF(AND(I30="TDP",S30&lt;=500),VLOOKUP(AF30,TPCalibEq500!$AZ$2:$BB$165,3,)))</f>
        <v>0</v>
      </c>
      <c r="AT30" s="10" t="b">
        <f>IF(AND(I30="TN",S30&lt;=2800),VLOOKUP(AF30,TNCalibEq2500!$AZ$2:$BB$165,3,),IF(AND(I30="TDN",S30&lt;=2800),VLOOKUP(AF30,TNCalibEq2500!$AZ$2:$BB$165,3,)))</f>
        <v>0</v>
      </c>
      <c r="AU30" s="10" t="b">
        <f>IF(I30="TP",VLOOKUP(AF30,TPCalibEqFull!$AZ$2:$BB$165,3),IF(I30="TDP",VLOOKUP(AF30,TPCalibEqFull!$AZ$2:$BB$165,3),IF(I30="TDN",VLOOKUP(AF30,TNCalibEqFull!$AZ$2:$BB$164,3),IF(I30="TN",VLOOKUP(AF30,TNCalibEqFull!$AZ$2:$BB$164,3),FALSE))))</f>
        <v>0</v>
      </c>
      <c r="AV30" s="10" t="str">
        <f t="shared" si="7"/>
        <v>20240810 00:00:00-1000-18-Sh-1-DI-BLK</v>
      </c>
    </row>
    <row r="31" spans="1:48" s="10" customFormat="1" x14ac:dyDescent="0.3">
      <c r="A31" s="32">
        <v>45514</v>
      </c>
      <c r="B31" s="33">
        <v>0</v>
      </c>
      <c r="C31" s="10">
        <v>1000</v>
      </c>
      <c r="D31" s="10">
        <v>18</v>
      </c>
      <c r="E31" s="10" t="s">
        <v>953</v>
      </c>
      <c r="F31" s="10">
        <v>1</v>
      </c>
      <c r="G31" s="10" t="s">
        <v>229</v>
      </c>
      <c r="H31" s="10" t="s">
        <v>320</v>
      </c>
      <c r="I31" s="10" t="s">
        <v>74</v>
      </c>
      <c r="J31" s="10">
        <v>28</v>
      </c>
      <c r="K31" s="12">
        <v>45687</v>
      </c>
      <c r="L31" s="33">
        <v>0.50504629629629627</v>
      </c>
      <c r="M31" s="10">
        <v>1</v>
      </c>
      <c r="N31" s="10" t="s">
        <v>75</v>
      </c>
      <c r="O31" s="10">
        <v>2.93E-2</v>
      </c>
      <c r="P31" s="10">
        <v>2.2300000000000002E-3</v>
      </c>
      <c r="Q31" s="10">
        <v>1.78</v>
      </c>
      <c r="R31" s="10" t="s">
        <v>76</v>
      </c>
      <c r="S31" s="34">
        <f t="shared" si="0"/>
        <v>1.78</v>
      </c>
      <c r="T31" s="10" t="s">
        <v>952</v>
      </c>
      <c r="U31" s="34" t="str">
        <f t="shared" si="6"/>
        <v/>
      </c>
      <c r="V31" s="31" t="str">
        <f>IF(H31="CHK",VLOOKUP(I31,QCCHK,3,),IF(H31="GUP",VLOOKUP(E31,QCGUP,2,),IF(AND(H31="ATP",OR(I31="TN",I31="TDN",I31="TNO2-3",I31="NO2-3")),VLOOKUP(E31,QCREC_N,2,),IF(AND(H31="NIC",OR(I31="TN",I31="TDN",I31="TNO2-3",I31="NO2-3")),VLOOKUP(E31,QCNIC_N,2,),IF(AND(H31="UREA",OR(I31="TN",I31="TDN",I31="TNO2-3",I31="NO2-3")),VLOOKUP(E31,QCUREA_N,2,),IF(H31="PER",VLOOKUP(I31,QCPER,MATCH(E31,QCACTUAL!$J$25:$AA$25,0),),IF(H31="SPK",VLOOKUP(I31,QCSPK,3,),IF(AND(H31="ATP",OR(I31="TP",I31="TDP")),VLOOKUP(E31,QCATP_P,2,),""))))))))</f>
        <v/>
      </c>
      <c r="W31" s="31" t="str">
        <f t="shared" si="1"/>
        <v>TRUE</v>
      </c>
      <c r="X31" s="31" t="str">
        <f t="shared" si="2"/>
        <v/>
      </c>
      <c r="Y31" s="10" t="s">
        <v>951</v>
      </c>
      <c r="AL31" s="10" t="str">
        <f t="shared" si="3"/>
        <v>FALSE</v>
      </c>
      <c r="AM31" s="10" t="str">
        <f t="shared" si="3"/>
        <v>FALSE</v>
      </c>
      <c r="AN31" s="10" t="str">
        <f t="shared" si="3"/>
        <v>FALSE</v>
      </c>
      <c r="AO31" s="10" t="str">
        <f t="shared" si="4"/>
        <v>FALSE</v>
      </c>
      <c r="AP31" s="10" t="str">
        <f t="shared" si="4"/>
        <v>FALSE</v>
      </c>
      <c r="AQ31" s="10" t="b">
        <f>IF(AND(I31="TP",S31&lt;=150),VLOOKUP(AF31,TPCalibEq150!$AZ$2:$BB$166,3,),IF(AND(I31="TDP",S31&lt;=150),VLOOKUP(AF31,TPCalibEq150!$AZ$2:$BB$166,3,)))</f>
        <v>0</v>
      </c>
      <c r="AR31" s="10" t="b">
        <f>IF(AND(I31="TP",S31&lt;=300),VLOOKUP(AF31,TPCalibEq300!$AZ$2:$BB$166,3,),IF(AND(I31="TDP",S31&lt;=300),VLOOKUP(AF31,TPCalibEq300!$AZ$2:$BB$166,3,)))</f>
        <v>0</v>
      </c>
      <c r="AS31" s="10" t="b">
        <f>IF(AND(I31="TP",S31&lt;=500),VLOOKUP(AF31,TPCalibEq500!$AZ$2:$BB$165,3,),IF(AND(I31="TDP",S31&lt;=500),VLOOKUP(AF31,TPCalibEq500!$AZ$2:$BB$165,3,)))</f>
        <v>0</v>
      </c>
      <c r="AT31" s="10" t="b">
        <f>IF(AND(I31="TN",S31&lt;=2800),VLOOKUP(AF31,TNCalibEq2500!$AZ$2:$BB$165,3,),IF(AND(I31="TDN",S31&lt;=2800),VLOOKUP(AF31,TNCalibEq2500!$AZ$2:$BB$165,3,)))</f>
        <v>0</v>
      </c>
      <c r="AU31" s="10" t="b">
        <f>IF(I31="TP",VLOOKUP(AF31,TPCalibEqFull!$AZ$2:$BB$165,3),IF(I31="TDP",VLOOKUP(AF31,TPCalibEqFull!$AZ$2:$BB$165,3),IF(I31="TDN",VLOOKUP(AF31,TNCalibEqFull!$AZ$2:$BB$164,3),IF(I31="TN",VLOOKUP(AF31,TNCalibEqFull!$AZ$2:$BB$164,3),FALSE))))</f>
        <v>0</v>
      </c>
      <c r="AV31" s="10" t="str">
        <f t="shared" si="7"/>
        <v>20240810 00:00:00-1000-18-Sh-1-SW-UKN</v>
      </c>
    </row>
    <row r="32" spans="1:48" s="10" customFormat="1" x14ac:dyDescent="0.3">
      <c r="A32" s="32">
        <v>45514</v>
      </c>
      <c r="B32" s="33">
        <v>0</v>
      </c>
      <c r="C32" s="10">
        <v>1000</v>
      </c>
      <c r="D32" s="10">
        <v>18</v>
      </c>
      <c r="E32" s="10" t="s">
        <v>953</v>
      </c>
      <c r="F32" s="10">
        <v>2</v>
      </c>
      <c r="G32" s="10" t="s">
        <v>229</v>
      </c>
      <c r="H32" s="10" t="s">
        <v>320</v>
      </c>
      <c r="I32" s="10" t="s">
        <v>74</v>
      </c>
      <c r="J32" s="10">
        <v>29</v>
      </c>
      <c r="K32" s="12">
        <v>45687</v>
      </c>
      <c r="L32" s="33">
        <v>0.50587962962962962</v>
      </c>
      <c r="M32" s="10">
        <v>1</v>
      </c>
      <c r="N32" s="10" t="s">
        <v>75</v>
      </c>
      <c r="O32" s="10">
        <v>1.1399999999999999</v>
      </c>
      <c r="P32" s="10">
        <v>0.156</v>
      </c>
      <c r="Q32" s="10">
        <v>69.400000000000006</v>
      </c>
      <c r="R32" s="10" t="s">
        <v>76</v>
      </c>
      <c r="S32" s="34">
        <f t="shared" si="0"/>
        <v>69.400000000000006</v>
      </c>
      <c r="T32" s="10" t="s">
        <v>952</v>
      </c>
      <c r="U32" s="34" t="str">
        <f t="shared" si="6"/>
        <v/>
      </c>
      <c r="V32" s="31" t="str">
        <f>IF(H32="CHK",VLOOKUP(I32,QCCHK,3,),IF(H32="GUP",VLOOKUP(E32,QCGUP,2,),IF(AND(H32="ATP",OR(I32="TN",I32="TDN",I32="TNO2-3",I32="NO2-3")),VLOOKUP(E32,QCREC_N,2,),IF(AND(H32="NIC",OR(I32="TN",I32="TDN",I32="TNO2-3",I32="NO2-3")),VLOOKUP(E32,QCNIC_N,2,),IF(AND(H32="UREA",OR(I32="TN",I32="TDN",I32="TNO2-3",I32="NO2-3")),VLOOKUP(E32,QCUREA_N,2,),IF(H32="PER",VLOOKUP(I32,QCPER,MATCH(E32,QCACTUAL!$J$25:$AA$25,0),),IF(H32="SPK",VLOOKUP(I32,QCSPK,3,),IF(AND(H32="ATP",OR(I32="TP",I32="TDP")),VLOOKUP(E32,QCATP_P,2,),""))))))))</f>
        <v/>
      </c>
      <c r="W32" s="31" t="str">
        <f t="shared" si="1"/>
        <v>TRUE</v>
      </c>
      <c r="X32" s="31" t="str">
        <f t="shared" si="2"/>
        <v/>
      </c>
      <c r="Y32" s="10" t="s">
        <v>951</v>
      </c>
      <c r="AL32" s="10" t="str">
        <f t="shared" si="3"/>
        <v>FALSE</v>
      </c>
      <c r="AM32" s="10" t="str">
        <f t="shared" si="3"/>
        <v>FALSE</v>
      </c>
      <c r="AN32" s="10" t="str">
        <f t="shared" si="3"/>
        <v>FALSE</v>
      </c>
      <c r="AO32" s="10" t="str">
        <f t="shared" si="4"/>
        <v>FALSE</v>
      </c>
      <c r="AP32" s="10" t="str">
        <f t="shared" si="4"/>
        <v>FALSE</v>
      </c>
      <c r="AQ32" s="10" t="b">
        <f>IF(AND(I32="TP",S32&lt;=150),VLOOKUP(AF32,TPCalibEq150!$AZ$2:$BB$166,3,),IF(AND(I32="TDP",S32&lt;=150),VLOOKUP(AF32,TPCalibEq150!$AZ$2:$BB$166,3,)))</f>
        <v>0</v>
      </c>
      <c r="AR32" s="10" t="b">
        <f>IF(AND(I32="TP",S32&lt;=300),VLOOKUP(AF32,TPCalibEq300!$AZ$2:$BB$166,3,),IF(AND(I32="TDP",S32&lt;=300),VLOOKUP(AF32,TPCalibEq300!$AZ$2:$BB$166,3,)))</f>
        <v>0</v>
      </c>
      <c r="AS32" s="10" t="b">
        <f>IF(AND(I32="TP",S32&lt;=500),VLOOKUP(AF32,TPCalibEq500!$AZ$2:$BB$165,3,),IF(AND(I32="TDP",S32&lt;=500),VLOOKUP(AF32,TPCalibEq500!$AZ$2:$BB$165,3,)))</f>
        <v>0</v>
      </c>
      <c r="AT32" s="10" t="b">
        <f>IF(AND(I32="TN",S32&lt;=2800),VLOOKUP(AF32,TNCalibEq2500!$AZ$2:$BB$165,3,),IF(AND(I32="TDN",S32&lt;=2800),VLOOKUP(AF32,TNCalibEq2500!$AZ$2:$BB$165,3,)))</f>
        <v>0</v>
      </c>
      <c r="AU32" s="10" t="b">
        <f>IF(I32="TP",VLOOKUP(AF32,TPCalibEqFull!$AZ$2:$BB$165,3),IF(I32="TDP",VLOOKUP(AF32,TPCalibEqFull!$AZ$2:$BB$165,3),IF(I32="TDN",VLOOKUP(AF32,TNCalibEqFull!$AZ$2:$BB$164,3),IF(I32="TN",VLOOKUP(AF32,TNCalibEqFull!$AZ$2:$BB$164,3),FALSE))))</f>
        <v>0</v>
      </c>
      <c r="AV32" s="10" t="str">
        <f t="shared" si="7"/>
        <v>20240810 00:00:00-1000-18-Sh-2-SW-UKN</v>
      </c>
    </row>
    <row r="33" spans="1:48" s="10" customFormat="1" x14ac:dyDescent="0.3">
      <c r="A33" s="32">
        <v>45514</v>
      </c>
      <c r="B33" s="33">
        <v>0</v>
      </c>
      <c r="C33" s="10">
        <v>1000</v>
      </c>
      <c r="D33" s="10">
        <v>18</v>
      </c>
      <c r="E33" s="10" t="s">
        <v>954</v>
      </c>
      <c r="F33" s="10">
        <v>1</v>
      </c>
      <c r="G33" s="10" t="s">
        <v>229</v>
      </c>
      <c r="H33" s="10" t="s">
        <v>320</v>
      </c>
      <c r="I33" s="10" t="s">
        <v>74</v>
      </c>
      <c r="J33" s="10">
        <v>30</v>
      </c>
      <c r="K33" s="12">
        <v>45687</v>
      </c>
      <c r="L33" s="33">
        <v>0.50667824074074075</v>
      </c>
      <c r="M33" s="10">
        <v>1</v>
      </c>
      <c r="N33" s="10" t="s">
        <v>75</v>
      </c>
      <c r="O33" s="10">
        <v>0.51600000000000001</v>
      </c>
      <c r="P33" s="10">
        <v>6.1199999999999997E-2</v>
      </c>
      <c r="Q33" s="10">
        <v>31.4</v>
      </c>
      <c r="R33" s="10" t="s">
        <v>76</v>
      </c>
      <c r="S33" s="34">
        <f t="shared" si="0"/>
        <v>31.4</v>
      </c>
      <c r="T33" s="10" t="s">
        <v>952</v>
      </c>
      <c r="U33" s="34" t="str">
        <f t="shared" si="6"/>
        <v/>
      </c>
      <c r="V33" s="31" t="str">
        <f>IF(H33="CHK",VLOOKUP(I33,QCCHK,3,),IF(H33="GUP",VLOOKUP(E33,QCGUP,2,),IF(AND(H33="ATP",OR(I33="TN",I33="TDN",I33="TNO2-3",I33="NO2-3")),VLOOKUP(E33,QCREC_N,2,),IF(AND(H33="NIC",OR(I33="TN",I33="TDN",I33="TNO2-3",I33="NO2-3")),VLOOKUP(E33,QCNIC_N,2,),IF(AND(H33="UREA",OR(I33="TN",I33="TDN",I33="TNO2-3",I33="NO2-3")),VLOOKUP(E33,QCUREA_N,2,),IF(H33="PER",VLOOKUP(I33,QCPER,MATCH(E33,QCACTUAL!$J$25:$AA$25,0),),IF(H33="SPK",VLOOKUP(I33,QCSPK,3,),IF(AND(H33="ATP",OR(I33="TP",I33="TDP")),VLOOKUP(E33,QCATP_P,2,),""))))))))</f>
        <v/>
      </c>
      <c r="W33" s="31" t="str">
        <f t="shared" si="1"/>
        <v>TRUE</v>
      </c>
      <c r="X33" s="31" t="str">
        <f t="shared" si="2"/>
        <v/>
      </c>
      <c r="Y33" s="10" t="s">
        <v>951</v>
      </c>
      <c r="AL33" s="10" t="str">
        <f t="shared" si="3"/>
        <v>FALSE</v>
      </c>
      <c r="AM33" s="10" t="str">
        <f t="shared" si="3"/>
        <v>FALSE</v>
      </c>
      <c r="AN33" s="10" t="str">
        <f t="shared" si="3"/>
        <v>FALSE</v>
      </c>
      <c r="AO33" s="10" t="str">
        <f t="shared" si="4"/>
        <v>FALSE</v>
      </c>
      <c r="AP33" s="10" t="str">
        <f t="shared" si="4"/>
        <v>FALSE</v>
      </c>
      <c r="AQ33" s="10" t="b">
        <f>IF(AND(I33="TP",S33&lt;=150),VLOOKUP(AF33,TPCalibEq150!$AZ$2:$BB$166,3,),IF(AND(I33="TDP",S33&lt;=150),VLOOKUP(AF33,TPCalibEq150!$AZ$2:$BB$166,3,)))</f>
        <v>0</v>
      </c>
      <c r="AR33" s="10" t="b">
        <f>IF(AND(I33="TP",S33&lt;=300),VLOOKUP(AF33,TPCalibEq300!$AZ$2:$BB$166,3,),IF(AND(I33="TDP",S33&lt;=300),VLOOKUP(AF33,TPCalibEq300!$AZ$2:$BB$166,3,)))</f>
        <v>0</v>
      </c>
      <c r="AS33" s="10" t="b">
        <f>IF(AND(I33="TP",S33&lt;=500),VLOOKUP(AF33,TPCalibEq500!$AZ$2:$BB$165,3,),IF(AND(I33="TDP",S33&lt;=500),VLOOKUP(AF33,TPCalibEq500!$AZ$2:$BB$165,3,)))</f>
        <v>0</v>
      </c>
      <c r="AT33" s="10" t="b">
        <f>IF(AND(I33="TN",S33&lt;=2800),VLOOKUP(AF33,TNCalibEq2500!$AZ$2:$BB$165,3,),IF(AND(I33="TDN",S33&lt;=2800),VLOOKUP(AF33,TNCalibEq2500!$AZ$2:$BB$165,3,)))</f>
        <v>0</v>
      </c>
      <c r="AU33" s="10" t="b">
        <f>IF(I33="TP",VLOOKUP(AF33,TPCalibEqFull!$AZ$2:$BB$165,3),IF(I33="TDP",VLOOKUP(AF33,TPCalibEqFull!$AZ$2:$BB$165,3),IF(I33="TDN",VLOOKUP(AF33,TNCalibEqFull!$AZ$2:$BB$164,3),IF(I33="TN",VLOOKUP(AF33,TNCalibEqFull!$AZ$2:$BB$164,3),FALSE))))</f>
        <v>0</v>
      </c>
      <c r="AV33" s="10" t="str">
        <f t="shared" si="7"/>
        <v>20240810 00:00:00-1000-18-Dp-1-SW-UKN</v>
      </c>
    </row>
    <row r="34" spans="1:48" s="10" customFormat="1" x14ac:dyDescent="0.3">
      <c r="A34" s="32">
        <v>45514</v>
      </c>
      <c r="B34" s="33">
        <v>0</v>
      </c>
      <c r="C34" s="10">
        <v>1000</v>
      </c>
      <c r="D34" s="10">
        <v>26</v>
      </c>
      <c r="E34" s="10" t="s">
        <v>953</v>
      </c>
      <c r="F34" s="10">
        <v>1</v>
      </c>
      <c r="G34" s="10" t="s">
        <v>72</v>
      </c>
      <c r="H34" s="10" t="s">
        <v>239</v>
      </c>
      <c r="I34" s="10" t="s">
        <v>74</v>
      </c>
      <c r="J34" s="10">
        <v>31</v>
      </c>
      <c r="K34" s="12">
        <v>45687</v>
      </c>
      <c r="L34" s="33">
        <v>0.50749999999999995</v>
      </c>
      <c r="M34" s="10">
        <v>1</v>
      </c>
      <c r="N34" s="10" t="s">
        <v>75</v>
      </c>
      <c r="O34" s="10">
        <v>9.9000000000000005E-2</v>
      </c>
      <c r="P34" s="10">
        <v>8.8100000000000001E-3</v>
      </c>
      <c r="Q34" s="10">
        <v>6.02</v>
      </c>
      <c r="R34" s="10" t="s">
        <v>76</v>
      </c>
      <c r="S34" s="34">
        <f t="shared" si="0"/>
        <v>6.02</v>
      </c>
      <c r="T34" s="10" t="s">
        <v>952</v>
      </c>
      <c r="U34" s="34" t="str">
        <f t="shared" si="6"/>
        <v/>
      </c>
      <c r="V34" s="31" t="str">
        <f>IF(H34="CHK",VLOOKUP(I34,QCCHK,3,),IF(H34="GUP",VLOOKUP(E34,QCGUP,2,),IF(AND(H34="ATP",OR(I34="TN",I34="TDN",I34="TNO2-3",I34="NO2-3")),VLOOKUP(E34,QCREC_N,2,),IF(AND(H34="NIC",OR(I34="TN",I34="TDN",I34="TNO2-3",I34="NO2-3")),VLOOKUP(E34,QCNIC_N,2,),IF(AND(H34="UREA",OR(I34="TN",I34="TDN",I34="TNO2-3",I34="NO2-3")),VLOOKUP(E34,QCUREA_N,2,),IF(H34="PER",VLOOKUP(I34,QCPER,MATCH(E34,QCACTUAL!$J$25:$AA$25,0),),IF(H34="SPK",VLOOKUP(I34,QCSPK,3,),IF(AND(H34="ATP",OR(I34="TP",I34="TDP")),VLOOKUP(E34,QCATP_P,2,),""))))))))</f>
        <v/>
      </c>
      <c r="W34" s="31" t="str">
        <f t="shared" si="1"/>
        <v>TRUE</v>
      </c>
      <c r="X34" s="31" t="str">
        <f t="shared" si="2"/>
        <v/>
      </c>
      <c r="Y34" s="10" t="s">
        <v>951</v>
      </c>
      <c r="AL34" s="10" t="str">
        <f t="shared" si="3"/>
        <v>FALSE</v>
      </c>
      <c r="AM34" s="10" t="str">
        <f t="shared" si="3"/>
        <v>FALSE</v>
      </c>
      <c r="AN34" s="10" t="str">
        <f t="shared" si="3"/>
        <v>FALSE</v>
      </c>
      <c r="AO34" s="10" t="str">
        <f t="shared" si="4"/>
        <v>FALSE</v>
      </c>
      <c r="AP34" s="10" t="str">
        <f t="shared" si="4"/>
        <v>FALSE</v>
      </c>
      <c r="AQ34" s="10" t="b">
        <f>IF(AND(I34="TP",S34&lt;=150),VLOOKUP(AF34,TPCalibEq150!$AZ$2:$BB$166,3,),IF(AND(I34="TDP",S34&lt;=150),VLOOKUP(AF34,TPCalibEq150!$AZ$2:$BB$166,3,)))</f>
        <v>0</v>
      </c>
      <c r="AR34" s="10" t="b">
        <f>IF(AND(I34="TP",S34&lt;=300),VLOOKUP(AF34,TPCalibEq300!$AZ$2:$BB$166,3,),IF(AND(I34="TDP",S34&lt;=300),VLOOKUP(AF34,TPCalibEq300!$AZ$2:$BB$166,3,)))</f>
        <v>0</v>
      </c>
      <c r="AS34" s="10" t="b">
        <f>IF(AND(I34="TP",S34&lt;=500),VLOOKUP(AF34,TPCalibEq500!$AZ$2:$BB$165,3,),IF(AND(I34="TDP",S34&lt;=500),VLOOKUP(AF34,TPCalibEq500!$AZ$2:$BB$165,3,)))</f>
        <v>0</v>
      </c>
      <c r="AT34" s="10" t="b">
        <f>IF(AND(I34="TN",S34&lt;=2800),VLOOKUP(AF34,TNCalibEq2500!$AZ$2:$BB$165,3,),IF(AND(I34="TDN",S34&lt;=2800),VLOOKUP(AF34,TNCalibEq2500!$AZ$2:$BB$165,3,)))</f>
        <v>0</v>
      </c>
      <c r="AU34" s="10" t="b">
        <f>IF(I34="TP",VLOOKUP(AF34,TPCalibEqFull!$AZ$2:$BB$165,3),IF(I34="TDP",VLOOKUP(AF34,TPCalibEqFull!$AZ$2:$BB$165,3),IF(I34="TDN",VLOOKUP(AF34,TNCalibEqFull!$AZ$2:$BB$164,3),IF(I34="TN",VLOOKUP(AF34,TNCalibEqFull!$AZ$2:$BB$164,3),FALSE))))</f>
        <v>0</v>
      </c>
      <c r="AV34" s="10" t="str">
        <f t="shared" si="7"/>
        <v>20240810 00:00:00-1000-26-Sh-1-DI-BLK</v>
      </c>
    </row>
    <row r="35" spans="1:48" s="10" customFormat="1" x14ac:dyDescent="0.3">
      <c r="A35" s="32">
        <v>45514</v>
      </c>
      <c r="B35" s="33">
        <v>0</v>
      </c>
      <c r="C35" s="10">
        <v>1000</v>
      </c>
      <c r="D35" s="10">
        <v>26</v>
      </c>
      <c r="E35" s="10" t="s">
        <v>953</v>
      </c>
      <c r="F35" s="10">
        <v>1</v>
      </c>
      <c r="G35" s="10" t="s">
        <v>229</v>
      </c>
      <c r="H35" s="10" t="s">
        <v>320</v>
      </c>
      <c r="I35" s="10" t="s">
        <v>74</v>
      </c>
      <c r="J35" s="10">
        <v>32</v>
      </c>
      <c r="K35" s="12">
        <v>45687</v>
      </c>
      <c r="L35" s="33">
        <v>0.50831018518518511</v>
      </c>
      <c r="M35" s="10">
        <v>1</v>
      </c>
      <c r="N35" s="10" t="s">
        <v>75</v>
      </c>
      <c r="O35" s="10">
        <v>3.3399999999999999E-2</v>
      </c>
      <c r="P35" s="10">
        <v>3.5300000000000002E-3</v>
      </c>
      <c r="Q35" s="10">
        <v>2.0299999999999998</v>
      </c>
      <c r="R35" s="10" t="s">
        <v>76</v>
      </c>
      <c r="S35" s="34">
        <f t="shared" si="0"/>
        <v>2.0299999999999998</v>
      </c>
      <c r="T35" s="10" t="s">
        <v>952</v>
      </c>
      <c r="U35" s="34" t="str">
        <f t="shared" si="6"/>
        <v/>
      </c>
      <c r="V35" s="31" t="str">
        <f>IF(H35="CHK",VLOOKUP(I35,QCCHK,3,),IF(H35="GUP",VLOOKUP(E35,QCGUP,2,),IF(AND(H35="ATP",OR(I35="TN",I35="TDN",I35="TNO2-3",I35="NO2-3")),VLOOKUP(E35,QCREC_N,2,),IF(AND(H35="NIC",OR(I35="TN",I35="TDN",I35="TNO2-3",I35="NO2-3")),VLOOKUP(E35,QCNIC_N,2,),IF(AND(H35="UREA",OR(I35="TN",I35="TDN",I35="TNO2-3",I35="NO2-3")),VLOOKUP(E35,QCUREA_N,2,),IF(H35="PER",VLOOKUP(I35,QCPER,MATCH(E35,QCACTUAL!$J$25:$AA$25,0),),IF(H35="SPK",VLOOKUP(I35,QCSPK,3,),IF(AND(H35="ATP",OR(I35="TP",I35="TDP")),VLOOKUP(E35,QCATP_P,2,),""))))))))</f>
        <v/>
      </c>
      <c r="W35" s="31" t="str">
        <f t="shared" si="1"/>
        <v>TRUE</v>
      </c>
      <c r="X35" s="31" t="str">
        <f t="shared" si="2"/>
        <v/>
      </c>
      <c r="Y35" s="10" t="s">
        <v>951</v>
      </c>
      <c r="AL35" s="10" t="str">
        <f t="shared" si="3"/>
        <v>FALSE</v>
      </c>
      <c r="AM35" s="10" t="str">
        <f t="shared" si="3"/>
        <v>FALSE</v>
      </c>
      <c r="AN35" s="10" t="str">
        <f t="shared" si="3"/>
        <v>FALSE</v>
      </c>
      <c r="AO35" s="10" t="str">
        <f t="shared" si="4"/>
        <v>FALSE</v>
      </c>
      <c r="AP35" s="10" t="str">
        <f t="shared" si="4"/>
        <v>FALSE</v>
      </c>
      <c r="AQ35" s="10" t="b">
        <f>IF(AND(I35="TP",S35&lt;=150),VLOOKUP(AF35,TPCalibEq150!$AZ$2:$BB$166,3,),IF(AND(I35="TDP",S35&lt;=150),VLOOKUP(AF35,TPCalibEq150!$AZ$2:$BB$166,3,)))</f>
        <v>0</v>
      </c>
      <c r="AR35" s="10" t="b">
        <f>IF(AND(I35="TP",S35&lt;=300),VLOOKUP(AF35,TPCalibEq300!$AZ$2:$BB$166,3,),IF(AND(I35="TDP",S35&lt;=300),VLOOKUP(AF35,TPCalibEq300!$AZ$2:$BB$166,3,)))</f>
        <v>0</v>
      </c>
      <c r="AS35" s="10" t="b">
        <f>IF(AND(I35="TP",S35&lt;=500),VLOOKUP(AF35,TPCalibEq500!$AZ$2:$BB$165,3,),IF(AND(I35="TDP",S35&lt;=500),VLOOKUP(AF35,TPCalibEq500!$AZ$2:$BB$165,3,)))</f>
        <v>0</v>
      </c>
      <c r="AT35" s="10" t="b">
        <f>IF(AND(I35="TN",S35&lt;=2800),VLOOKUP(AF35,TNCalibEq2500!$AZ$2:$BB$165,3,),IF(AND(I35="TDN",S35&lt;=2800),VLOOKUP(AF35,TNCalibEq2500!$AZ$2:$BB$165,3,)))</f>
        <v>0</v>
      </c>
      <c r="AU35" s="10" t="b">
        <f>IF(I35="TP",VLOOKUP(AF35,TPCalibEqFull!$AZ$2:$BB$165,3),IF(I35="TDP",VLOOKUP(AF35,TPCalibEqFull!$AZ$2:$BB$165,3),IF(I35="TDN",VLOOKUP(AF35,TNCalibEqFull!$AZ$2:$BB$164,3),IF(I35="TN",VLOOKUP(AF35,TNCalibEqFull!$AZ$2:$BB$164,3),FALSE))))</f>
        <v>0</v>
      </c>
      <c r="AV35" s="10" t="str">
        <f t="shared" si="7"/>
        <v>20240810 00:00:00-1000-26-Sh-1-SW-UKN</v>
      </c>
    </row>
    <row r="36" spans="1:48" s="10" customFormat="1" x14ac:dyDescent="0.3">
      <c r="A36" s="32">
        <v>45514</v>
      </c>
      <c r="B36" s="33">
        <v>0</v>
      </c>
      <c r="C36" s="10">
        <v>1000</v>
      </c>
      <c r="D36" s="10">
        <v>26</v>
      </c>
      <c r="E36" s="10" t="s">
        <v>953</v>
      </c>
      <c r="F36" s="10">
        <v>2</v>
      </c>
      <c r="G36" s="10" t="s">
        <v>229</v>
      </c>
      <c r="H36" s="10" t="s">
        <v>320</v>
      </c>
      <c r="I36" s="10" t="s">
        <v>74</v>
      </c>
      <c r="J36" s="10">
        <v>33</v>
      </c>
      <c r="K36" s="12">
        <v>45687</v>
      </c>
      <c r="L36" s="33">
        <v>0.50915509259259262</v>
      </c>
      <c r="M36" s="10">
        <v>1</v>
      </c>
      <c r="N36" s="10" t="s">
        <v>75</v>
      </c>
      <c r="O36" s="10">
        <v>0.43</v>
      </c>
      <c r="P36" s="10">
        <v>4.0099999999999997E-2</v>
      </c>
      <c r="Q36" s="10">
        <v>26.2</v>
      </c>
      <c r="R36" s="10" t="s">
        <v>76</v>
      </c>
      <c r="S36" s="34">
        <f t="shared" si="0"/>
        <v>26.2</v>
      </c>
      <c r="T36" s="10" t="s">
        <v>952</v>
      </c>
      <c r="U36" s="34" t="str">
        <f t="shared" si="6"/>
        <v/>
      </c>
      <c r="V36" s="31" t="str">
        <f>IF(H36="CHK",VLOOKUP(I36,QCCHK,3,),IF(H36="GUP",VLOOKUP(E36,QCGUP,2,),IF(AND(H36="ATP",OR(I36="TN",I36="TDN",I36="TNO2-3",I36="NO2-3")),VLOOKUP(E36,QCREC_N,2,),IF(AND(H36="NIC",OR(I36="TN",I36="TDN",I36="TNO2-3",I36="NO2-3")),VLOOKUP(E36,QCNIC_N,2,),IF(AND(H36="UREA",OR(I36="TN",I36="TDN",I36="TNO2-3",I36="NO2-3")),VLOOKUP(E36,QCUREA_N,2,),IF(H36="PER",VLOOKUP(I36,QCPER,MATCH(E36,QCACTUAL!$J$25:$AA$25,0),),IF(H36="SPK",VLOOKUP(I36,QCSPK,3,),IF(AND(H36="ATP",OR(I36="TP",I36="TDP")),VLOOKUP(E36,QCATP_P,2,),""))))))))</f>
        <v/>
      </c>
      <c r="W36" s="31" t="str">
        <f t="shared" si="1"/>
        <v>TRUE</v>
      </c>
      <c r="X36" s="31" t="str">
        <f t="shared" si="2"/>
        <v/>
      </c>
      <c r="Y36" s="10" t="s">
        <v>951</v>
      </c>
      <c r="AL36" s="10" t="str">
        <f t="shared" si="3"/>
        <v>FALSE</v>
      </c>
      <c r="AM36" s="10" t="str">
        <f t="shared" si="3"/>
        <v>FALSE</v>
      </c>
      <c r="AN36" s="10" t="str">
        <f t="shared" si="3"/>
        <v>FALSE</v>
      </c>
      <c r="AO36" s="10" t="str">
        <f t="shared" si="4"/>
        <v>FALSE</v>
      </c>
      <c r="AP36" s="10" t="str">
        <f t="shared" si="4"/>
        <v>FALSE</v>
      </c>
      <c r="AQ36" s="10" t="b">
        <f>IF(AND(I36="TP",S36&lt;=150),VLOOKUP(AF36,TPCalibEq150!$AZ$2:$BB$166,3,),IF(AND(I36="TDP",S36&lt;=150),VLOOKUP(AF36,TPCalibEq150!$AZ$2:$BB$166,3,)))</f>
        <v>0</v>
      </c>
      <c r="AR36" s="10" t="b">
        <f>IF(AND(I36="TP",S36&lt;=300),VLOOKUP(AF36,TPCalibEq300!$AZ$2:$BB$166,3,),IF(AND(I36="TDP",S36&lt;=300),VLOOKUP(AF36,TPCalibEq300!$AZ$2:$BB$166,3,)))</f>
        <v>0</v>
      </c>
      <c r="AS36" s="10" t="b">
        <f>IF(AND(I36="TP",S36&lt;=500),VLOOKUP(AF36,TPCalibEq500!$AZ$2:$BB$165,3,),IF(AND(I36="TDP",S36&lt;=500),VLOOKUP(AF36,TPCalibEq500!$AZ$2:$BB$165,3,)))</f>
        <v>0</v>
      </c>
      <c r="AT36" s="10" t="b">
        <f>IF(AND(I36="TN",S36&lt;=2800),VLOOKUP(AF36,TNCalibEq2500!$AZ$2:$BB$165,3,),IF(AND(I36="TDN",S36&lt;=2800),VLOOKUP(AF36,TNCalibEq2500!$AZ$2:$BB$165,3,)))</f>
        <v>0</v>
      </c>
      <c r="AU36" s="10" t="b">
        <f>IF(I36="TP",VLOOKUP(AF36,TPCalibEqFull!$AZ$2:$BB$165,3),IF(I36="TDP",VLOOKUP(AF36,TPCalibEqFull!$AZ$2:$BB$165,3),IF(I36="TDN",VLOOKUP(AF36,TNCalibEqFull!$AZ$2:$BB$164,3),IF(I36="TN",VLOOKUP(AF36,TNCalibEqFull!$AZ$2:$BB$164,3),FALSE))))</f>
        <v>0</v>
      </c>
      <c r="AV36" s="10" t="str">
        <f t="shared" si="7"/>
        <v>20240810 00:00:00-1000-26-Sh-2-SW-UKN</v>
      </c>
    </row>
    <row r="37" spans="1:48" s="10" customFormat="1" x14ac:dyDescent="0.3">
      <c r="A37" s="32">
        <v>45514</v>
      </c>
      <c r="B37" s="33">
        <v>0</v>
      </c>
      <c r="C37" s="10">
        <v>1000</v>
      </c>
      <c r="D37" s="10">
        <v>26</v>
      </c>
      <c r="E37" s="10" t="s">
        <v>954</v>
      </c>
      <c r="F37" s="10">
        <v>1</v>
      </c>
      <c r="G37" s="10" t="s">
        <v>229</v>
      </c>
      <c r="H37" s="10" t="s">
        <v>320</v>
      </c>
      <c r="I37" s="10" t="s">
        <v>74</v>
      </c>
      <c r="J37" s="10">
        <v>34</v>
      </c>
      <c r="K37" s="12">
        <v>45687</v>
      </c>
      <c r="L37" s="33">
        <v>0.50996527777777778</v>
      </c>
      <c r="M37" s="10">
        <v>1</v>
      </c>
      <c r="N37" s="10" t="s">
        <v>75</v>
      </c>
      <c r="O37" s="10">
        <v>6.09</v>
      </c>
      <c r="P37" s="10">
        <v>0.58099999999999996</v>
      </c>
      <c r="Q37" s="10">
        <v>377</v>
      </c>
      <c r="R37" s="10" t="s">
        <v>76</v>
      </c>
      <c r="S37" s="34">
        <f t="shared" si="0"/>
        <v>377</v>
      </c>
      <c r="T37" s="10" t="s">
        <v>952</v>
      </c>
      <c r="U37" s="34" t="str">
        <f t="shared" si="6"/>
        <v/>
      </c>
      <c r="V37" s="31" t="str">
        <f>IF(H37="CHK",VLOOKUP(I37,QCCHK,3,),IF(H37="GUP",VLOOKUP(E37,QCGUP,2,),IF(AND(H37="ATP",OR(I37="TN",I37="TDN",I37="TNO2-3",I37="NO2-3")),VLOOKUP(E37,QCREC_N,2,),IF(AND(H37="NIC",OR(I37="TN",I37="TDN",I37="TNO2-3",I37="NO2-3")),VLOOKUP(E37,QCNIC_N,2,),IF(AND(H37="UREA",OR(I37="TN",I37="TDN",I37="TNO2-3",I37="NO2-3")),VLOOKUP(E37,QCUREA_N,2,),IF(H37="PER",VLOOKUP(I37,QCPER,MATCH(E37,QCACTUAL!$J$25:$AA$25,0),),IF(H37="SPK",VLOOKUP(I37,QCSPK,3,),IF(AND(H37="ATP",OR(I37="TP",I37="TDP")),VLOOKUP(E37,QCATP_P,2,),""))))))))</f>
        <v/>
      </c>
      <c r="W37" s="31" t="str">
        <f t="shared" si="1"/>
        <v>TRUE</v>
      </c>
      <c r="X37" s="31" t="str">
        <f t="shared" si="2"/>
        <v/>
      </c>
      <c r="Y37" s="10" t="s">
        <v>951</v>
      </c>
      <c r="AL37" s="10" t="str">
        <f t="shared" si="3"/>
        <v>FALSE</v>
      </c>
      <c r="AM37" s="10" t="str">
        <f t="shared" si="3"/>
        <v>FALSE</v>
      </c>
      <c r="AN37" s="10" t="str">
        <f t="shared" si="3"/>
        <v>FALSE</v>
      </c>
      <c r="AO37" s="10" t="str">
        <f t="shared" si="4"/>
        <v>FALSE</v>
      </c>
      <c r="AP37" s="10" t="str">
        <f t="shared" si="4"/>
        <v>FALSE</v>
      </c>
      <c r="AQ37" s="10" t="b">
        <f>IF(AND(I37="TP",S37&lt;=150),VLOOKUP(AF37,TPCalibEq150!$AZ$2:$BB$166,3,),IF(AND(I37="TDP",S37&lt;=150),VLOOKUP(AF37,TPCalibEq150!$AZ$2:$BB$166,3,)))</f>
        <v>0</v>
      </c>
      <c r="AR37" s="10" t="b">
        <f>IF(AND(I37="TP",S37&lt;=300),VLOOKUP(AF37,TPCalibEq300!$AZ$2:$BB$166,3,),IF(AND(I37="TDP",S37&lt;=300),VLOOKUP(AF37,TPCalibEq300!$AZ$2:$BB$166,3,)))</f>
        <v>0</v>
      </c>
      <c r="AS37" s="10" t="b">
        <f>IF(AND(I37="TP",S37&lt;=500),VLOOKUP(AF37,TPCalibEq500!$AZ$2:$BB$165,3,),IF(AND(I37="TDP",S37&lt;=500),VLOOKUP(AF37,TPCalibEq500!$AZ$2:$BB$165,3,)))</f>
        <v>0</v>
      </c>
      <c r="AT37" s="10" t="b">
        <f>IF(AND(I37="TN",S37&lt;=2800),VLOOKUP(AF37,TNCalibEq2500!$AZ$2:$BB$165,3,),IF(AND(I37="TDN",S37&lt;=2800),VLOOKUP(AF37,TNCalibEq2500!$AZ$2:$BB$165,3,)))</f>
        <v>0</v>
      </c>
      <c r="AU37" s="10" t="b">
        <f>IF(I37="TP",VLOOKUP(AF37,TPCalibEqFull!$AZ$2:$BB$165,3),IF(I37="TDP",VLOOKUP(AF37,TPCalibEqFull!$AZ$2:$BB$165,3),IF(I37="TDN",VLOOKUP(AF37,TNCalibEqFull!$AZ$2:$BB$164,3),IF(I37="TN",VLOOKUP(AF37,TNCalibEqFull!$AZ$2:$BB$164,3),FALSE))))</f>
        <v>0</v>
      </c>
      <c r="AV37" s="10" t="str">
        <f t="shared" si="7"/>
        <v>20240810 00:00:00-1000-26-Dp-1-SW-UKN</v>
      </c>
    </row>
    <row r="38" spans="1:48" s="10" customFormat="1" x14ac:dyDescent="0.3">
      <c r="A38" s="32">
        <v>45514</v>
      </c>
      <c r="B38" s="33">
        <v>0</v>
      </c>
      <c r="C38" s="10">
        <v>1000</v>
      </c>
      <c r="D38" s="10">
        <v>26</v>
      </c>
      <c r="E38" s="10" t="s">
        <v>954</v>
      </c>
      <c r="F38" s="10">
        <v>1</v>
      </c>
      <c r="G38" s="10" t="s">
        <v>229</v>
      </c>
      <c r="H38" s="10" t="s">
        <v>231</v>
      </c>
      <c r="I38" s="10" t="s">
        <v>74</v>
      </c>
      <c r="J38" s="10">
        <v>34</v>
      </c>
      <c r="K38" s="12">
        <v>45687</v>
      </c>
      <c r="L38" s="33">
        <v>0.51078703703703698</v>
      </c>
      <c r="M38" s="10">
        <v>1</v>
      </c>
      <c r="N38" s="10" t="s">
        <v>75</v>
      </c>
      <c r="O38" s="10">
        <v>5.87</v>
      </c>
      <c r="P38" s="10">
        <v>0.61099999999999999</v>
      </c>
      <c r="Q38" s="10">
        <v>362</v>
      </c>
      <c r="R38" s="10" t="s">
        <v>76</v>
      </c>
      <c r="S38" s="34">
        <f t="shared" si="0"/>
        <v>362</v>
      </c>
      <c r="T38" s="10" t="s">
        <v>952</v>
      </c>
      <c r="U38" s="34">
        <f t="shared" si="6"/>
        <v>4.0595399188092021</v>
      </c>
      <c r="V38" s="31" t="str">
        <f>IF(H38="CHK",VLOOKUP(I38,QCCHK,3,),IF(H38="GUP",VLOOKUP(E38,QCGUP,2,),IF(AND(H38="ATP",OR(I38="TN",I38="TDN",I38="TNO2-3",I38="NO2-3")),VLOOKUP(E38,QCREC_N,2,),IF(AND(H38="NIC",OR(I38="TN",I38="TDN",I38="TNO2-3",I38="NO2-3")),VLOOKUP(E38,QCNIC_N,2,),IF(AND(H38="UREA",OR(I38="TN",I38="TDN",I38="TNO2-3",I38="NO2-3")),VLOOKUP(E38,QCUREA_N,2,),IF(H38="PER",VLOOKUP(I38,QCPER,MATCH(E38,QCACTUAL!$J$25:$AA$25,0),),IF(H38="SPK",VLOOKUP(I38,QCSPK,3,),IF(AND(H38="ATP",OR(I38="TP",I38="TDP")),VLOOKUP(E38,QCATP_P,2,),""))))))))</f>
        <v/>
      </c>
      <c r="W38" s="31" t="str">
        <f t="shared" si="1"/>
        <v>TRUE</v>
      </c>
      <c r="X38" s="31" t="str">
        <f t="shared" si="2"/>
        <v>((ABS(rep1-rep2))/((rep1+rep2)/2)*100</v>
      </c>
      <c r="Y38" s="10" t="s">
        <v>951</v>
      </c>
      <c r="AL38" s="10" t="str">
        <f t="shared" si="3"/>
        <v>FALSE</v>
      </c>
      <c r="AM38" s="10" t="str">
        <f t="shared" si="3"/>
        <v>FALSE</v>
      </c>
      <c r="AN38" s="10" t="str">
        <f t="shared" si="3"/>
        <v>FALSE</v>
      </c>
      <c r="AO38" s="10" t="str">
        <f t="shared" si="4"/>
        <v>FALSE</v>
      </c>
      <c r="AP38" s="10" t="str">
        <f t="shared" si="4"/>
        <v>FALSE</v>
      </c>
      <c r="AQ38" s="10" t="b">
        <f>IF(AND(I38="TP",S38&lt;=150),VLOOKUP(AF38,TPCalibEq150!$AZ$2:$BB$166,3,),IF(AND(I38="TDP",S38&lt;=150),VLOOKUP(AF38,TPCalibEq150!$AZ$2:$BB$166,3,)))</f>
        <v>0</v>
      </c>
      <c r="AR38" s="10" t="b">
        <f>IF(AND(I38="TP",S38&lt;=300),VLOOKUP(AF38,TPCalibEq300!$AZ$2:$BB$166,3,),IF(AND(I38="TDP",S38&lt;=300),VLOOKUP(AF38,TPCalibEq300!$AZ$2:$BB$166,3,)))</f>
        <v>0</v>
      </c>
      <c r="AS38" s="10" t="b">
        <f>IF(AND(I38="TP",S38&lt;=500),VLOOKUP(AF38,TPCalibEq500!$AZ$2:$BB$165,3,),IF(AND(I38="TDP",S38&lt;=500),VLOOKUP(AF38,TPCalibEq500!$AZ$2:$BB$165,3,)))</f>
        <v>0</v>
      </c>
      <c r="AT38" s="10" t="b">
        <f>IF(AND(I38="TN",S38&lt;=2800),VLOOKUP(AF38,TNCalibEq2500!$AZ$2:$BB$165,3,),IF(AND(I38="TDN",S38&lt;=2800),VLOOKUP(AF38,TNCalibEq2500!$AZ$2:$BB$165,3,)))</f>
        <v>0</v>
      </c>
      <c r="AU38" s="10" t="b">
        <f>IF(I38="TP",VLOOKUP(AF38,TPCalibEqFull!$AZ$2:$BB$165,3),IF(I38="TDP",VLOOKUP(AF38,TPCalibEqFull!$AZ$2:$BB$165,3),IF(I38="TDN",VLOOKUP(AF38,TNCalibEqFull!$AZ$2:$BB$164,3),IF(I38="TN",VLOOKUP(AF38,TNCalibEqFull!$AZ$2:$BB$164,3),FALSE))))</f>
        <v>0</v>
      </c>
      <c r="AV38" s="10" t="str">
        <f t="shared" si="7"/>
        <v>20240810 00:00:00-1000-26-Dp-1-SW-DUP</v>
      </c>
    </row>
    <row r="39" spans="1:48" x14ac:dyDescent="0.3">
      <c r="A39" s="32">
        <v>45500</v>
      </c>
      <c r="B39" s="33">
        <v>0</v>
      </c>
      <c r="C39" s="10">
        <v>1000</v>
      </c>
      <c r="D39" s="10">
        <v>1</v>
      </c>
      <c r="E39" s="10" t="s">
        <v>953</v>
      </c>
      <c r="F39" s="10">
        <v>1</v>
      </c>
      <c r="G39" s="10" t="s">
        <v>72</v>
      </c>
      <c r="H39" s="10" t="s">
        <v>239</v>
      </c>
      <c r="I39" s="10" t="s">
        <v>283</v>
      </c>
      <c r="J39" s="10">
        <v>1</v>
      </c>
      <c r="K39" s="12">
        <v>45687</v>
      </c>
      <c r="L39" s="33">
        <v>0.46931712962962963</v>
      </c>
      <c r="M39" s="10">
        <v>1</v>
      </c>
      <c r="N39" s="10" t="s">
        <v>209</v>
      </c>
      <c r="O39" s="10">
        <v>5.8199999999999997E-3</v>
      </c>
      <c r="P39" s="10">
        <v>7.4299999999999995E-4</v>
      </c>
      <c r="Q39" s="10">
        <v>4.5199999999999996</v>
      </c>
      <c r="R39" s="10" t="s">
        <v>930</v>
      </c>
      <c r="S39" s="34">
        <f t="shared" ref="S39:S55" si="8">IF(OR(AND(I39&lt;&gt;"TP", I39&lt;&gt;"TDP",I39&lt;&gt;"TN", I39&lt;&gt;"TDN"),H39="CAL"), Q39*M39, IF(OR(AND(I39="TN", Q39&gt;2500), AND(I39="TDN", Q39&gt;2500)),MAX(Q39, AK39)*M39, IF(OR(AND(I39="TN", Q39&lt;=2500), AND(I39="TDN", Q39&lt;=2500)),MAX(Q39, AJ39,AK39)*M39, IF(OR(AND(I39="TP",Q39&gt;500), AND(I39="TDP", Q39&gt;500)),MAX(Q39,AK39)*M39,IF(OR(AND(I39="TP",Q39&lt;=150), AND(I39="TDP", Q39&lt;=150)),MAX(Q39,AG39:AI39,AK39)*M39,IF(OR(AND(I39="TP",Q39&lt;=300), AND(I39="TDP", Q39&lt;=300)),MAX(Q39,AH39,AI39,AK39)*M39,IF(OR(AND(I39="TP",Q39&lt;=500), AND(I39="TDP", Q39&lt;=500)),MAX(Q39,AI39,AK39)*M39,"")))))))</f>
        <v>4.5199999999999996</v>
      </c>
      <c r="T39" s="10" t="s">
        <v>955</v>
      </c>
      <c r="U39" s="34" t="str">
        <f>IF(OR(H39="CHK",H39="ATP",H39="GUP",H39="PER", H39="NIC", H39="UREA"),(S39/V39*100),IF(H39="DUP",((ABS(S39-#REF!))/((#REF!+S39)/2))*100,IF(H39="SPK",((S39-#REF!)/V39*100),IF(OR(H39="LAB",H39="FLD",H39="ESF"),S39,""))))</f>
        <v/>
      </c>
      <c r="V39" s="31" t="str">
        <f>IF(H39="CHK",VLOOKUP(I39,QCCHK,3,),IF(H39="GUP",VLOOKUP(E39,QCGUP,2,),IF(AND(H39="ATP",OR(I39="TN",I39="TDN",I39="TNO2-3",I39="NO2-3")),VLOOKUP(E39,QCREC_N,2,),IF(AND(H39="NIC",OR(I39="TN",I39="TDN",I39="TNO2-3",I39="NO2-3")),VLOOKUP(E39,QCNIC_N,2,),IF(AND(H39="UREA",OR(I39="TN",I39="TDN",I39="TNO2-3",I39="NO2-3")),VLOOKUP(E39,QCUREA_N,2,),IF(H39="PER",VLOOKUP(I39,QCPER,MATCH(E39,QCACTUAL!$J$25:$AA$25,0),),IF(H39="SPK",VLOOKUP(I39,QCSPK,3,),IF(AND(H39="ATP",OR(I39="TP",I39="TDP")),VLOOKUP(E39,QCATP_P,2,),""))))))))</f>
        <v/>
      </c>
      <c r="W39" s="31" t="str">
        <f t="shared" ref="W39:W55" si="9">IF(AND(OR(H39="PER",H39="ATP",H39="GUP",H39="CHK",H39="SPK", H39="NIC"),OR(U39&gt;125,U39&lt;75)),"FALSE",IF(AND(H39="DUP",OR(U39&gt;25, U39&lt;-25)),"FALSE",IF(AND(OR(H39="LAB",H39="FLD",H39="ESF"),U39&gt;15),"FALSE","TRUE")))</f>
        <v>TRUE</v>
      </c>
      <c r="X39" s="31" t="str">
        <f t="shared" ref="X39:X55" si="10">IF(ISNA(VLOOKUP(H39,QCEQUATIONS,2,)),"",(VLOOKUP(H39,QCEQUATIONS,2,)))</f>
        <v/>
      </c>
      <c r="Y39" s="10" t="s">
        <v>951</v>
      </c>
      <c r="Z39" s="10"/>
      <c r="AL39" s="10" t="str">
        <f t="shared" ref="AL39:AN56" si="11">IF($O39="", "", IF(AQ39&lt;&gt;"", SUBSTITUTE(SUBSTITUTE(AQ39, "x", "*"&amp;$O39&amp;"^", 1), "x", "*"&amp;$O39, 1), ""))</f>
        <v>FALSE</v>
      </c>
      <c r="AM39" s="10" t="str">
        <f t="shared" si="11"/>
        <v>FALSE</v>
      </c>
      <c r="AN39" s="10" t="str">
        <f t="shared" si="11"/>
        <v>FALSE</v>
      </c>
      <c r="AO39" s="10" t="str">
        <f t="shared" ref="AO39:AP56" si="12">IF($O39="", "FALSE", IF(AT39&lt;&gt;"FALSE", SUBSTITUTE(SUBSTITUTE(AT39, "x", "*"&amp;$O39&amp;"^", 1), "x", "*"&amp;$O39, 1), ""))</f>
        <v>FALSE</v>
      </c>
      <c r="AP39" s="10" t="str">
        <f t="shared" si="12"/>
        <v>FALSE</v>
      </c>
      <c r="AQ39" s="10" t="b">
        <f>IF(AND(I39="TP",S39&lt;=150),VLOOKUP(AF39,TPCalibEq150!$AZ$2:$BB$166,3,),IF(AND(I39="TDP",S39&lt;=150),VLOOKUP(AF39,TPCalibEq150!$AZ$2:$BB$166,3,)))</f>
        <v>0</v>
      </c>
      <c r="AR39" s="10" t="b">
        <f>IF(AND(I39="TP",S39&lt;=300),VLOOKUP(AF39,TPCalibEq300!$AZ$2:$BB$166,3,),IF(AND(I39="TDP",S39&lt;=300),VLOOKUP(AF39,TPCalibEq300!$AZ$2:$BB$166,3,)))</f>
        <v>0</v>
      </c>
      <c r="AS39" s="10" t="b">
        <f>IF(AND(I39="TP",S39&lt;=500),VLOOKUP(AF39,TPCalibEq500!$AZ$2:$BB$165,3,),IF(AND(I39="TDP",S39&lt;=500),VLOOKUP(AF39,TPCalibEq500!$AZ$2:$BB$165,3,)))</f>
        <v>0</v>
      </c>
      <c r="AT39" s="10" t="b">
        <f>IF(AND(I39="TN",S39&lt;=2800),VLOOKUP(AF39,TNCalibEq2500!$AZ$2:$BB$165,3,),IF(AND(I39="TDN",S39&lt;=2800),VLOOKUP(AF39,TNCalibEq2500!$AZ$2:$BB$165,3,)))</f>
        <v>0</v>
      </c>
      <c r="AU39" s="10" t="b">
        <f>IF(I39="TP",VLOOKUP(AF39,TPCalibEqFull!$AZ$2:$BB$165,3),IF(I39="TDP",VLOOKUP(AF39,TPCalibEqFull!$AZ$2:$BB$165,3),IF(I39="TDN",VLOOKUP(AF39,TNCalibEqFull!$AZ$2:$BB$164,3),IF(I39="TN",VLOOKUP(AF39,TNCalibEqFull!$AZ$2:$BB$164,3),FALSE))))</f>
        <v>0</v>
      </c>
      <c r="AV39" s="10" t="str">
        <f t="shared" ref="AV39:AV62" si="13">TEXT(A39, "YYYYMMDD")&amp;" "&amp;TEXT(B39, "HH:MM:SS")&amp;"-"&amp;C39&amp;"-"&amp;D39&amp;"-"&amp;E39&amp;"-"&amp;F39&amp;"-"&amp;G39&amp;"-"&amp;H39</f>
        <v>20240727 00:00:00-1000-1-Sh-1-DI-BLK</v>
      </c>
    </row>
    <row r="40" spans="1:48" x14ac:dyDescent="0.3">
      <c r="A40" s="32">
        <v>45500</v>
      </c>
      <c r="B40" s="33">
        <v>0</v>
      </c>
      <c r="C40" s="10">
        <v>1000</v>
      </c>
      <c r="D40" s="10">
        <v>1</v>
      </c>
      <c r="E40" s="10" t="s">
        <v>953</v>
      </c>
      <c r="F40" s="10">
        <v>1</v>
      </c>
      <c r="G40" s="10" t="s">
        <v>229</v>
      </c>
      <c r="H40" s="10" t="s">
        <v>320</v>
      </c>
      <c r="I40" s="10" t="s">
        <v>283</v>
      </c>
      <c r="J40" s="10">
        <v>2</v>
      </c>
      <c r="K40" s="12">
        <v>45687</v>
      </c>
      <c r="L40" s="33">
        <v>0.47015046296296298</v>
      </c>
      <c r="M40" s="10">
        <v>1</v>
      </c>
      <c r="N40" s="10" t="s">
        <v>209</v>
      </c>
      <c r="O40" s="10">
        <v>0.10100000000000001</v>
      </c>
      <c r="P40" s="10">
        <v>8.9999999999999993E-3</v>
      </c>
      <c r="Q40" s="10">
        <v>23.2</v>
      </c>
      <c r="R40" s="10" t="s">
        <v>930</v>
      </c>
      <c r="S40" s="34">
        <f t="shared" si="8"/>
        <v>23.2</v>
      </c>
      <c r="T40" s="10" t="s">
        <v>955</v>
      </c>
      <c r="U40" s="34" t="str">
        <f t="shared" ref="U40:U55" si="14">IF(OR(H40="CHK",H40="ATP",H40="GUP",H40="PER", H40="NIC", H40="UREA"),(S40/V40*100),IF(H40="DUP",((ABS(S40-S39))/((S39+S40)/2))*100,IF(H40="SPK",((S40-S39)/V40*100),IF(OR(H40="LAB",H40="FLD",H40="ESF"),S40,""))))</f>
        <v/>
      </c>
      <c r="V40" s="31" t="str">
        <f>IF(H40="CHK",VLOOKUP(I40,QCCHK,3,),IF(H40="GUP",VLOOKUP(E40,QCGUP,2,),IF(AND(H40="ATP",OR(I40="TN",I40="TDN",I40="TNO2-3",I40="NO2-3")),VLOOKUP(E40,QCREC_N,2,),IF(AND(H40="NIC",OR(I40="TN",I40="TDN",I40="TNO2-3",I40="NO2-3")),VLOOKUP(E40,QCNIC_N,2,),IF(AND(H40="UREA",OR(I40="TN",I40="TDN",I40="TNO2-3",I40="NO2-3")),VLOOKUP(E40,QCUREA_N,2,),IF(H40="PER",VLOOKUP(I40,QCPER,MATCH(E40,QCACTUAL!$J$25:$AA$25,0),),IF(H40="SPK",VLOOKUP(I40,QCSPK,3,),IF(AND(H40="ATP",OR(I40="TP",I40="TDP")),VLOOKUP(E40,QCATP_P,2,),""))))))))</f>
        <v/>
      </c>
      <c r="W40" s="31" t="str">
        <f t="shared" si="9"/>
        <v>TRUE</v>
      </c>
      <c r="X40" s="31" t="str">
        <f t="shared" si="10"/>
        <v/>
      </c>
      <c r="Y40" s="10" t="s">
        <v>951</v>
      </c>
      <c r="Z40" s="10"/>
      <c r="AL40" s="10" t="str">
        <f t="shared" si="11"/>
        <v>FALSE</v>
      </c>
      <c r="AM40" s="10" t="str">
        <f t="shared" si="11"/>
        <v>FALSE</v>
      </c>
      <c r="AN40" s="10" t="str">
        <f t="shared" si="11"/>
        <v>FALSE</v>
      </c>
      <c r="AO40" s="10" t="str">
        <f t="shared" si="12"/>
        <v>FALSE</v>
      </c>
      <c r="AP40" s="10" t="str">
        <f t="shared" si="12"/>
        <v>FALSE</v>
      </c>
      <c r="AQ40" s="10" t="b">
        <f>IF(AND(I40="TP",S40&lt;=150),VLOOKUP(AF40,TPCalibEq150!$AZ$2:$BB$166,3,),IF(AND(I40="TDP",S40&lt;=150),VLOOKUP(AF40,TPCalibEq150!$AZ$2:$BB$166,3,)))</f>
        <v>0</v>
      </c>
      <c r="AR40" s="10" t="b">
        <f>IF(AND(I40="TP",S40&lt;=300),VLOOKUP(AF40,TPCalibEq300!$AZ$2:$BB$166,3,),IF(AND(I40="TDP",S40&lt;=300),VLOOKUP(AF40,TPCalibEq300!$AZ$2:$BB$166,3,)))</f>
        <v>0</v>
      </c>
      <c r="AS40" s="10" t="b">
        <f>IF(AND(I40="TP",S40&lt;=500),VLOOKUP(AF40,TPCalibEq500!$AZ$2:$BB$165,3,),IF(AND(I40="TDP",S40&lt;=500),VLOOKUP(AF40,TPCalibEq500!$AZ$2:$BB$165,3,)))</f>
        <v>0</v>
      </c>
      <c r="AT40" s="10" t="b">
        <f>IF(AND(I40="TN",S40&lt;=2800),VLOOKUP(AF40,TNCalibEq2500!$AZ$2:$BB$165,3,),IF(AND(I40="TDN",S40&lt;=2800),VLOOKUP(AF40,TNCalibEq2500!$AZ$2:$BB$165,3,)))</f>
        <v>0</v>
      </c>
      <c r="AU40" s="10" t="b">
        <f>IF(I40="TP",VLOOKUP(AF40,TPCalibEqFull!$AZ$2:$BB$165,3),IF(I40="TDP",VLOOKUP(AF40,TPCalibEqFull!$AZ$2:$BB$165,3),IF(I40="TDN",VLOOKUP(AF40,TNCalibEqFull!$AZ$2:$BB$164,3),IF(I40="TN",VLOOKUP(AF40,TNCalibEqFull!$AZ$2:$BB$164,3),FALSE))))</f>
        <v>0</v>
      </c>
      <c r="AV40" s="10" t="str">
        <f t="shared" si="13"/>
        <v>20240727 00:00:00-1000-1-Sh-1-SW-UKN</v>
      </c>
    </row>
    <row r="41" spans="1:48" x14ac:dyDescent="0.3">
      <c r="A41" s="32">
        <v>45507</v>
      </c>
      <c r="B41" s="33">
        <v>0</v>
      </c>
      <c r="C41" s="10">
        <v>1000</v>
      </c>
      <c r="D41" s="10">
        <v>1</v>
      </c>
      <c r="E41" s="10" t="s">
        <v>954</v>
      </c>
      <c r="F41" s="10">
        <v>1</v>
      </c>
      <c r="G41" s="10" t="s">
        <v>229</v>
      </c>
      <c r="H41" s="10" t="s">
        <v>320</v>
      </c>
      <c r="I41" s="10" t="s">
        <v>283</v>
      </c>
      <c r="J41" s="10">
        <v>3</v>
      </c>
      <c r="K41" s="12">
        <v>45687</v>
      </c>
      <c r="L41" s="33">
        <v>0.47097222222222218</v>
      </c>
      <c r="M41" s="10">
        <v>1</v>
      </c>
      <c r="N41" s="10" t="s">
        <v>209</v>
      </c>
      <c r="O41" s="10">
        <v>9.3899999999999997E-2</v>
      </c>
      <c r="P41" s="10">
        <v>9.5499999999999995E-3</v>
      </c>
      <c r="Q41" s="10">
        <v>21.9</v>
      </c>
      <c r="R41" s="10" t="s">
        <v>930</v>
      </c>
      <c r="S41" s="34">
        <f t="shared" si="8"/>
        <v>21.9</v>
      </c>
      <c r="T41" s="10" t="s">
        <v>955</v>
      </c>
      <c r="U41" s="34" t="str">
        <f t="shared" si="14"/>
        <v/>
      </c>
      <c r="V41" s="31" t="str">
        <f>IF(H41="CHK",VLOOKUP(I41,QCCHK,3,),IF(H41="GUP",VLOOKUP(E41,QCGUP,2,),IF(AND(H41="ATP",OR(I41="TN",I41="TDN",I41="TNO2-3",I41="NO2-3")),VLOOKUP(E41,QCREC_N,2,),IF(AND(H41="NIC",OR(I41="TN",I41="TDN",I41="TNO2-3",I41="NO2-3")),VLOOKUP(E41,QCNIC_N,2,),IF(AND(H41="UREA",OR(I41="TN",I41="TDN",I41="TNO2-3",I41="NO2-3")),VLOOKUP(E41,QCUREA_N,2,),IF(H41="PER",VLOOKUP(I41,QCPER,MATCH(E41,QCACTUAL!$J$25:$AA$25,0),),IF(H41="SPK",VLOOKUP(I41,QCSPK,3,),IF(AND(H41="ATP",OR(I41="TP",I41="TDP")),VLOOKUP(E41,QCATP_P,2,),""))))))))</f>
        <v/>
      </c>
      <c r="W41" s="31" t="str">
        <f t="shared" si="9"/>
        <v>TRUE</v>
      </c>
      <c r="X41" s="31" t="str">
        <f t="shared" si="10"/>
        <v/>
      </c>
      <c r="Y41" s="10" t="s">
        <v>951</v>
      </c>
      <c r="Z41" s="10"/>
      <c r="AL41" s="10" t="str">
        <f t="shared" si="11"/>
        <v>FALSE</v>
      </c>
      <c r="AM41" s="10" t="str">
        <f t="shared" si="11"/>
        <v>FALSE</v>
      </c>
      <c r="AN41" s="10" t="str">
        <f t="shared" si="11"/>
        <v>FALSE</v>
      </c>
      <c r="AO41" s="10" t="str">
        <f t="shared" si="12"/>
        <v>FALSE</v>
      </c>
      <c r="AP41" s="10" t="str">
        <f t="shared" si="12"/>
        <v>FALSE</v>
      </c>
      <c r="AQ41" s="10" t="b">
        <f>IF(AND(I41="TP",S41&lt;=150),VLOOKUP(AF41,TPCalibEq150!$AZ$2:$BB$166,3,),IF(AND(I41="TDP",S41&lt;=150),VLOOKUP(AF41,TPCalibEq150!$AZ$2:$BB$166,3,)))</f>
        <v>0</v>
      </c>
      <c r="AR41" s="10" t="b">
        <f>IF(AND(I41="TP",S41&lt;=300),VLOOKUP(AF41,TPCalibEq300!$AZ$2:$BB$166,3,),IF(AND(I41="TDP",S41&lt;=300),VLOOKUP(AF41,TPCalibEq300!$AZ$2:$BB$166,3,)))</f>
        <v>0</v>
      </c>
      <c r="AS41" s="10" t="b">
        <f>IF(AND(I41="TP",S41&lt;=500),VLOOKUP(AF41,TPCalibEq500!$AZ$2:$BB$165,3,),IF(AND(I41="TDP",S41&lt;=500),VLOOKUP(AF41,TPCalibEq500!$AZ$2:$BB$165,3,)))</f>
        <v>0</v>
      </c>
      <c r="AT41" s="10" t="b">
        <f>IF(AND(I41="TN",S41&lt;=2800),VLOOKUP(AF41,TNCalibEq2500!$AZ$2:$BB$165,3,),IF(AND(I41="TDN",S41&lt;=2800),VLOOKUP(AF41,TNCalibEq2500!$AZ$2:$BB$165,3,)))</f>
        <v>0</v>
      </c>
      <c r="AU41" s="10" t="b">
        <f>IF(I41="TP",VLOOKUP(AF41,TPCalibEqFull!$AZ$2:$BB$165,3),IF(I41="TDP",VLOOKUP(AF41,TPCalibEqFull!$AZ$2:$BB$165,3),IF(I41="TDN",VLOOKUP(AF41,TNCalibEqFull!$AZ$2:$BB$164,3),IF(I41="TN",VLOOKUP(AF41,TNCalibEqFull!$AZ$2:$BB$164,3),FALSE))))</f>
        <v>0</v>
      </c>
      <c r="AV41" s="10" t="str">
        <f t="shared" si="13"/>
        <v>20240803 00:00:00-1000-1-Dp-1-SW-UKN</v>
      </c>
    </row>
    <row r="42" spans="1:48" x14ac:dyDescent="0.3">
      <c r="A42" s="32">
        <v>45507</v>
      </c>
      <c r="B42" s="33">
        <v>0</v>
      </c>
      <c r="C42" s="10">
        <v>1000</v>
      </c>
      <c r="D42" s="10">
        <v>2</v>
      </c>
      <c r="E42" s="10" t="s">
        <v>953</v>
      </c>
      <c r="F42" s="10">
        <v>1</v>
      </c>
      <c r="G42" s="10" t="s">
        <v>72</v>
      </c>
      <c r="H42" s="10" t="s">
        <v>239</v>
      </c>
      <c r="I42" s="10" t="s">
        <v>283</v>
      </c>
      <c r="J42" s="10">
        <v>4</v>
      </c>
      <c r="K42" s="12">
        <v>45687</v>
      </c>
      <c r="L42" s="33">
        <v>0.47179398148148149</v>
      </c>
      <c r="M42" s="10">
        <v>1</v>
      </c>
      <c r="N42" s="10" t="s">
        <v>209</v>
      </c>
      <c r="O42" s="10">
        <v>1.5800000000000002E-2</v>
      </c>
      <c r="P42" s="10">
        <v>9.3199999999999999E-4</v>
      </c>
      <c r="Q42" s="10">
        <v>6.48</v>
      </c>
      <c r="R42" s="10" t="s">
        <v>930</v>
      </c>
      <c r="S42" s="34">
        <f t="shared" si="8"/>
        <v>6.48</v>
      </c>
      <c r="T42" s="10" t="s">
        <v>955</v>
      </c>
      <c r="U42" s="34" t="str">
        <f t="shared" si="14"/>
        <v/>
      </c>
      <c r="V42" s="31" t="str">
        <f>IF(H42="CHK",VLOOKUP(I42,QCCHK,3,),IF(H42="GUP",VLOOKUP(E42,QCGUP,2,),IF(AND(H42="ATP",OR(I42="TN",I42="TDN",I42="TNO2-3",I42="NO2-3")),VLOOKUP(E42,QCREC_N,2,),IF(AND(H42="NIC",OR(I42="TN",I42="TDN",I42="TNO2-3",I42="NO2-3")),VLOOKUP(E42,QCNIC_N,2,),IF(AND(H42="UREA",OR(I42="TN",I42="TDN",I42="TNO2-3",I42="NO2-3")),VLOOKUP(E42,QCUREA_N,2,),IF(H42="PER",VLOOKUP(I42,QCPER,MATCH(E42,QCACTUAL!$J$25:$AA$25,0),),IF(H42="SPK",VLOOKUP(I42,QCSPK,3,),IF(AND(H42="ATP",OR(I42="TP",I42="TDP")),VLOOKUP(E42,QCATP_P,2,),""))))))))</f>
        <v/>
      </c>
      <c r="W42" s="31" t="str">
        <f t="shared" si="9"/>
        <v>TRUE</v>
      </c>
      <c r="X42" s="31" t="str">
        <f t="shared" si="10"/>
        <v/>
      </c>
      <c r="Y42" s="10" t="s">
        <v>951</v>
      </c>
      <c r="Z42" s="10"/>
      <c r="AL42" s="10" t="str">
        <f t="shared" si="11"/>
        <v>FALSE</v>
      </c>
      <c r="AM42" s="10" t="str">
        <f t="shared" si="11"/>
        <v>FALSE</v>
      </c>
      <c r="AN42" s="10" t="str">
        <f t="shared" si="11"/>
        <v>FALSE</v>
      </c>
      <c r="AO42" s="10" t="str">
        <f t="shared" si="12"/>
        <v>FALSE</v>
      </c>
      <c r="AP42" s="10" t="str">
        <f t="shared" si="12"/>
        <v>FALSE</v>
      </c>
      <c r="AQ42" s="10" t="b">
        <f>IF(AND(I42="TP",S42&lt;=150),VLOOKUP(AF42,TPCalibEq150!$AZ$2:$BB$166,3,),IF(AND(I42="TDP",S42&lt;=150),VLOOKUP(AF42,TPCalibEq150!$AZ$2:$BB$166,3,)))</f>
        <v>0</v>
      </c>
      <c r="AR42" s="10" t="b">
        <f>IF(AND(I42="TP",S42&lt;=300),VLOOKUP(AF42,TPCalibEq300!$AZ$2:$BB$166,3,),IF(AND(I42="TDP",S42&lt;=300),VLOOKUP(AF42,TPCalibEq300!$AZ$2:$BB$166,3,)))</f>
        <v>0</v>
      </c>
      <c r="AS42" s="10" t="b">
        <f>IF(AND(I42="TP",S42&lt;=500),VLOOKUP(AF42,TPCalibEq500!$AZ$2:$BB$165,3,),IF(AND(I42="TDP",S42&lt;=500),VLOOKUP(AF42,TPCalibEq500!$AZ$2:$BB$165,3,)))</f>
        <v>0</v>
      </c>
      <c r="AT42" s="10" t="b">
        <f>IF(AND(I42="TN",S42&lt;=2800),VLOOKUP(AF42,TNCalibEq2500!$AZ$2:$BB$165,3,),IF(AND(I42="TDN",S42&lt;=2800),VLOOKUP(AF42,TNCalibEq2500!$AZ$2:$BB$165,3,)))</f>
        <v>0</v>
      </c>
      <c r="AU42" s="10" t="b">
        <f>IF(I42="TP",VLOOKUP(AF42,TPCalibEqFull!$AZ$2:$BB$165,3),IF(I42="TDP",VLOOKUP(AF42,TPCalibEqFull!$AZ$2:$BB$165,3),IF(I42="TDN",VLOOKUP(AF42,TNCalibEqFull!$AZ$2:$BB$164,3),IF(I42="TN",VLOOKUP(AF42,TNCalibEqFull!$AZ$2:$BB$164,3),FALSE))))</f>
        <v>0</v>
      </c>
      <c r="AV42" s="10" t="str">
        <f t="shared" si="13"/>
        <v>20240803 00:00:00-1000-2-Sh-1-DI-BLK</v>
      </c>
    </row>
    <row r="43" spans="1:48" x14ac:dyDescent="0.3">
      <c r="A43" s="32">
        <v>45507</v>
      </c>
      <c r="B43" s="33">
        <v>0</v>
      </c>
      <c r="C43" s="10">
        <v>1000</v>
      </c>
      <c r="D43" s="10">
        <v>2</v>
      </c>
      <c r="E43" s="10" t="s">
        <v>953</v>
      </c>
      <c r="F43" s="10">
        <v>1</v>
      </c>
      <c r="G43" s="10" t="s">
        <v>229</v>
      </c>
      <c r="H43" s="10" t="s">
        <v>320</v>
      </c>
      <c r="I43" s="10" t="s">
        <v>283</v>
      </c>
      <c r="J43" s="10">
        <v>5</v>
      </c>
      <c r="K43" s="12">
        <v>45687</v>
      </c>
      <c r="L43" s="33">
        <v>0.47259259259259262</v>
      </c>
      <c r="M43" s="10">
        <v>1</v>
      </c>
      <c r="N43" s="10" t="s">
        <v>209</v>
      </c>
      <c r="O43" s="10">
        <v>8.1199999999999994E-2</v>
      </c>
      <c r="P43" s="10">
        <v>8.5900000000000004E-3</v>
      </c>
      <c r="Q43" s="10">
        <v>19.399999999999999</v>
      </c>
      <c r="R43" s="10" t="s">
        <v>930</v>
      </c>
      <c r="S43" s="34">
        <f t="shared" si="8"/>
        <v>19.399999999999999</v>
      </c>
      <c r="T43" s="10" t="s">
        <v>955</v>
      </c>
      <c r="U43" s="34" t="str">
        <f t="shared" si="14"/>
        <v/>
      </c>
      <c r="V43" s="31" t="str">
        <f>IF(H43="CHK",VLOOKUP(I43,QCCHK,3,),IF(H43="GUP",VLOOKUP(E43,QCGUP,2,),IF(AND(H43="ATP",OR(I43="TN",I43="TDN",I43="TNO2-3",I43="NO2-3")),VLOOKUP(E43,QCREC_N,2,),IF(AND(H43="NIC",OR(I43="TN",I43="TDN",I43="TNO2-3",I43="NO2-3")),VLOOKUP(E43,QCNIC_N,2,),IF(AND(H43="UREA",OR(I43="TN",I43="TDN",I43="TNO2-3",I43="NO2-3")),VLOOKUP(E43,QCUREA_N,2,),IF(H43="PER",VLOOKUP(I43,QCPER,MATCH(E43,QCACTUAL!$J$25:$AA$25,0),),IF(H43="SPK",VLOOKUP(I43,QCSPK,3,),IF(AND(H43="ATP",OR(I43="TP",I43="TDP")),VLOOKUP(E43,QCATP_P,2,),""))))))))</f>
        <v/>
      </c>
      <c r="W43" s="31" t="str">
        <f t="shared" si="9"/>
        <v>TRUE</v>
      </c>
      <c r="X43" s="31" t="str">
        <f t="shared" si="10"/>
        <v/>
      </c>
      <c r="Y43" s="10" t="s">
        <v>951</v>
      </c>
      <c r="Z43" s="10"/>
      <c r="AL43" s="10" t="str">
        <f t="shared" si="11"/>
        <v>FALSE</v>
      </c>
      <c r="AM43" s="10" t="str">
        <f t="shared" si="11"/>
        <v>FALSE</v>
      </c>
      <c r="AN43" s="10" t="str">
        <f t="shared" si="11"/>
        <v>FALSE</v>
      </c>
      <c r="AO43" s="10" t="str">
        <f t="shared" si="12"/>
        <v>FALSE</v>
      </c>
      <c r="AP43" s="10" t="str">
        <f t="shared" si="12"/>
        <v>FALSE</v>
      </c>
      <c r="AQ43" s="10" t="b">
        <f>IF(AND(I43="TP",S43&lt;=150),VLOOKUP(AF43,TPCalibEq150!$AZ$2:$BB$166,3,),IF(AND(I43="TDP",S43&lt;=150),VLOOKUP(AF43,TPCalibEq150!$AZ$2:$BB$166,3,)))</f>
        <v>0</v>
      </c>
      <c r="AR43" s="10" t="b">
        <f>IF(AND(I43="TP",S43&lt;=300),VLOOKUP(AF43,TPCalibEq300!$AZ$2:$BB$166,3,),IF(AND(I43="TDP",S43&lt;=300),VLOOKUP(AF43,TPCalibEq300!$AZ$2:$BB$166,3,)))</f>
        <v>0</v>
      </c>
      <c r="AS43" s="10" t="b">
        <f>IF(AND(I43="TP",S43&lt;=500),VLOOKUP(AF43,TPCalibEq500!$AZ$2:$BB$165,3,),IF(AND(I43="TDP",S43&lt;=500),VLOOKUP(AF43,TPCalibEq500!$AZ$2:$BB$165,3,)))</f>
        <v>0</v>
      </c>
      <c r="AT43" s="10" t="b">
        <f>IF(AND(I43="TN",S43&lt;=2800),VLOOKUP(AF43,TNCalibEq2500!$AZ$2:$BB$165,3,),IF(AND(I43="TDN",S43&lt;=2800),VLOOKUP(AF43,TNCalibEq2500!$AZ$2:$BB$165,3,)))</f>
        <v>0</v>
      </c>
      <c r="AU43" s="10" t="b">
        <f>IF(I43="TP",VLOOKUP(AF43,TPCalibEqFull!$AZ$2:$BB$165,3),IF(I43="TDP",VLOOKUP(AF43,TPCalibEqFull!$AZ$2:$BB$165,3),IF(I43="TDN",VLOOKUP(AF43,TNCalibEqFull!$AZ$2:$BB$164,3),IF(I43="TN",VLOOKUP(AF43,TNCalibEqFull!$AZ$2:$BB$164,3),FALSE))))</f>
        <v>0</v>
      </c>
      <c r="AV43" s="10" t="str">
        <f t="shared" si="13"/>
        <v>20240803 00:00:00-1000-2-Sh-1-SW-UKN</v>
      </c>
    </row>
    <row r="44" spans="1:48" x14ac:dyDescent="0.3">
      <c r="A44" s="32">
        <v>45507</v>
      </c>
      <c r="B44" s="33">
        <v>0</v>
      </c>
      <c r="C44" s="10">
        <v>1000</v>
      </c>
      <c r="D44" s="10">
        <v>2</v>
      </c>
      <c r="E44" s="10" t="s">
        <v>953</v>
      </c>
      <c r="F44" s="10">
        <v>2</v>
      </c>
      <c r="G44" s="10" t="s">
        <v>229</v>
      </c>
      <c r="H44" s="10" t="s">
        <v>320</v>
      </c>
      <c r="I44" s="10" t="s">
        <v>283</v>
      </c>
      <c r="J44" s="10">
        <v>6</v>
      </c>
      <c r="K44" s="12">
        <v>45687</v>
      </c>
      <c r="L44" s="33">
        <v>0.47340277777777778</v>
      </c>
      <c r="M44" s="10">
        <v>1</v>
      </c>
      <c r="N44" s="10" t="s">
        <v>209</v>
      </c>
      <c r="O44" s="10">
        <v>7.3300000000000004E-2</v>
      </c>
      <c r="P44" s="10">
        <v>8.3400000000000002E-3</v>
      </c>
      <c r="Q44" s="10">
        <v>17.8</v>
      </c>
      <c r="R44" s="10" t="s">
        <v>930</v>
      </c>
      <c r="S44" s="34">
        <f t="shared" si="8"/>
        <v>17.8</v>
      </c>
      <c r="T44" s="10" t="s">
        <v>955</v>
      </c>
      <c r="U44" s="34" t="str">
        <f t="shared" si="14"/>
        <v/>
      </c>
      <c r="V44" s="31" t="str">
        <f>IF(H44="CHK",VLOOKUP(I44,QCCHK,3,),IF(H44="GUP",VLOOKUP(E44,QCGUP,2,),IF(AND(H44="ATP",OR(I44="TN",I44="TDN",I44="TNO2-3",I44="NO2-3")),VLOOKUP(E44,QCREC_N,2,),IF(AND(H44="NIC",OR(I44="TN",I44="TDN",I44="TNO2-3",I44="NO2-3")),VLOOKUP(E44,QCNIC_N,2,),IF(AND(H44="UREA",OR(I44="TN",I44="TDN",I44="TNO2-3",I44="NO2-3")),VLOOKUP(E44,QCUREA_N,2,),IF(H44="PER",VLOOKUP(I44,QCPER,MATCH(E44,QCACTUAL!$J$25:$AA$25,0),),IF(H44="SPK",VLOOKUP(I44,QCSPK,3,),IF(AND(H44="ATP",OR(I44="TP",I44="TDP")),VLOOKUP(E44,QCATP_P,2,),""))))))))</f>
        <v/>
      </c>
      <c r="W44" s="31" t="str">
        <f t="shared" si="9"/>
        <v>TRUE</v>
      </c>
      <c r="X44" s="31" t="str">
        <f t="shared" si="10"/>
        <v/>
      </c>
      <c r="Y44" s="10" t="s">
        <v>951</v>
      </c>
      <c r="Z44" s="10"/>
      <c r="AL44" s="10" t="str">
        <f t="shared" si="11"/>
        <v>FALSE</v>
      </c>
      <c r="AM44" s="10" t="str">
        <f t="shared" si="11"/>
        <v>FALSE</v>
      </c>
      <c r="AN44" s="10" t="str">
        <f t="shared" si="11"/>
        <v>FALSE</v>
      </c>
      <c r="AO44" s="10" t="str">
        <f t="shared" si="12"/>
        <v>FALSE</v>
      </c>
      <c r="AP44" s="10" t="str">
        <f t="shared" si="12"/>
        <v>FALSE</v>
      </c>
      <c r="AQ44" s="10" t="b">
        <f>IF(AND(I44="TP",S44&lt;=150),VLOOKUP(AF44,TPCalibEq150!$AZ$2:$BB$166,3,),IF(AND(I44="TDP",S44&lt;=150),VLOOKUP(AF44,TPCalibEq150!$AZ$2:$BB$166,3,)))</f>
        <v>0</v>
      </c>
      <c r="AR44" s="10" t="b">
        <f>IF(AND(I44="TP",S44&lt;=300),VLOOKUP(AF44,TPCalibEq300!$AZ$2:$BB$166,3,),IF(AND(I44="TDP",S44&lt;=300),VLOOKUP(AF44,TPCalibEq300!$AZ$2:$BB$166,3,)))</f>
        <v>0</v>
      </c>
      <c r="AS44" s="10" t="b">
        <f>IF(AND(I44="TP",S44&lt;=500),VLOOKUP(AF44,TPCalibEq500!$AZ$2:$BB$165,3,),IF(AND(I44="TDP",S44&lt;=500),VLOOKUP(AF44,TPCalibEq500!$AZ$2:$BB$165,3,)))</f>
        <v>0</v>
      </c>
      <c r="AT44" s="10" t="b">
        <f>IF(AND(I44="TN",S44&lt;=2800),VLOOKUP(AF44,TNCalibEq2500!$AZ$2:$BB$165,3,),IF(AND(I44="TDN",S44&lt;=2800),VLOOKUP(AF44,TNCalibEq2500!$AZ$2:$BB$165,3,)))</f>
        <v>0</v>
      </c>
      <c r="AU44" s="10" t="b">
        <f>IF(I44="TP",VLOOKUP(AF44,TPCalibEqFull!$AZ$2:$BB$165,3),IF(I44="TDP",VLOOKUP(AF44,TPCalibEqFull!$AZ$2:$BB$165,3),IF(I44="TDN",VLOOKUP(AF44,TNCalibEqFull!$AZ$2:$BB$164,3),IF(I44="TN",VLOOKUP(AF44,TNCalibEqFull!$AZ$2:$BB$164,3),FALSE))))</f>
        <v>0</v>
      </c>
      <c r="AV44" s="10" t="str">
        <f t="shared" si="13"/>
        <v>20240803 00:00:00-1000-2-Sh-2-SW-UKN</v>
      </c>
    </row>
    <row r="45" spans="1:48" x14ac:dyDescent="0.3">
      <c r="A45" s="32">
        <v>45500</v>
      </c>
      <c r="B45" s="33">
        <v>0</v>
      </c>
      <c r="C45" s="10">
        <v>1000</v>
      </c>
      <c r="D45" s="10">
        <v>2</v>
      </c>
      <c r="E45" s="10" t="s">
        <v>954</v>
      </c>
      <c r="F45" s="10">
        <v>1</v>
      </c>
      <c r="G45" s="10" t="s">
        <v>229</v>
      </c>
      <c r="H45" s="10" t="s">
        <v>320</v>
      </c>
      <c r="I45" s="10" t="s">
        <v>283</v>
      </c>
      <c r="J45" s="10">
        <v>7</v>
      </c>
      <c r="K45" s="12">
        <v>45687</v>
      </c>
      <c r="L45" s="33">
        <v>0.47422453703703704</v>
      </c>
      <c r="M45" s="10">
        <v>1</v>
      </c>
      <c r="N45" s="10" t="s">
        <v>209</v>
      </c>
      <c r="O45" s="10">
        <v>7.8899999999999998E-2</v>
      </c>
      <c r="P45" s="10">
        <v>8.6999999999999994E-3</v>
      </c>
      <c r="Q45" s="10">
        <v>18.899999999999999</v>
      </c>
      <c r="R45" s="10" t="s">
        <v>930</v>
      </c>
      <c r="S45" s="34">
        <f t="shared" si="8"/>
        <v>18.899999999999999</v>
      </c>
      <c r="T45" s="10" t="s">
        <v>955</v>
      </c>
      <c r="U45" s="34" t="str">
        <f t="shared" si="14"/>
        <v/>
      </c>
      <c r="V45" s="31" t="str">
        <f>IF(H45="CHK",VLOOKUP(I45,QCCHK,3,),IF(H45="GUP",VLOOKUP(E45,QCGUP,2,),IF(AND(H45="ATP",OR(I45="TN",I45="TDN",I45="TNO2-3",I45="NO2-3")),VLOOKUP(E45,QCREC_N,2,),IF(AND(H45="NIC",OR(I45="TN",I45="TDN",I45="TNO2-3",I45="NO2-3")),VLOOKUP(E45,QCNIC_N,2,),IF(AND(H45="UREA",OR(I45="TN",I45="TDN",I45="TNO2-3",I45="NO2-3")),VLOOKUP(E45,QCUREA_N,2,),IF(H45="PER",VLOOKUP(I45,QCPER,MATCH(E45,QCACTUAL!$J$25:$AA$25,0),),IF(H45="SPK",VLOOKUP(I45,QCSPK,3,),IF(AND(H45="ATP",OR(I45="TP",I45="TDP")),VLOOKUP(E45,QCATP_P,2,),""))))))))</f>
        <v/>
      </c>
      <c r="W45" s="31" t="str">
        <f t="shared" si="9"/>
        <v>TRUE</v>
      </c>
      <c r="X45" s="31" t="str">
        <f t="shared" si="10"/>
        <v/>
      </c>
      <c r="Y45" s="10" t="s">
        <v>951</v>
      </c>
      <c r="Z45" s="10"/>
      <c r="AL45" s="10" t="str">
        <f t="shared" si="11"/>
        <v>FALSE</v>
      </c>
      <c r="AM45" s="10" t="str">
        <f t="shared" si="11"/>
        <v>FALSE</v>
      </c>
      <c r="AN45" s="10" t="str">
        <f t="shared" si="11"/>
        <v>FALSE</v>
      </c>
      <c r="AO45" s="10" t="str">
        <f t="shared" si="12"/>
        <v>FALSE</v>
      </c>
      <c r="AP45" s="10" t="str">
        <f t="shared" si="12"/>
        <v>FALSE</v>
      </c>
      <c r="AQ45" s="10" t="b">
        <f>IF(AND(I45="TP",S45&lt;=150),VLOOKUP(AF45,TPCalibEq150!$AZ$2:$BB$166,3,),IF(AND(I45="TDP",S45&lt;=150),VLOOKUP(AF45,TPCalibEq150!$AZ$2:$BB$166,3,)))</f>
        <v>0</v>
      </c>
      <c r="AR45" s="10" t="b">
        <f>IF(AND(I45="TP",S45&lt;=300),VLOOKUP(AF45,TPCalibEq300!$AZ$2:$BB$166,3,),IF(AND(I45="TDP",S45&lt;=300),VLOOKUP(AF45,TPCalibEq300!$AZ$2:$BB$166,3,)))</f>
        <v>0</v>
      </c>
      <c r="AS45" s="10" t="b">
        <f>IF(AND(I45="TP",S45&lt;=500),VLOOKUP(AF45,TPCalibEq500!$AZ$2:$BB$165,3,),IF(AND(I45="TDP",S45&lt;=500),VLOOKUP(AF45,TPCalibEq500!$AZ$2:$BB$165,3,)))</f>
        <v>0</v>
      </c>
      <c r="AT45" s="10" t="b">
        <f>IF(AND(I45="TN",S45&lt;=2800),VLOOKUP(AF45,TNCalibEq2500!$AZ$2:$BB$165,3,),IF(AND(I45="TDN",S45&lt;=2800),VLOOKUP(AF45,TNCalibEq2500!$AZ$2:$BB$165,3,)))</f>
        <v>0</v>
      </c>
      <c r="AU45" s="10" t="b">
        <f>IF(I45="TP",VLOOKUP(AF45,TPCalibEqFull!$AZ$2:$BB$165,3),IF(I45="TDP",VLOOKUP(AF45,TPCalibEqFull!$AZ$2:$BB$165,3),IF(I45="TDN",VLOOKUP(AF45,TNCalibEqFull!$AZ$2:$BB$164,3),IF(I45="TN",VLOOKUP(AF45,TNCalibEqFull!$AZ$2:$BB$164,3),FALSE))))</f>
        <v>0</v>
      </c>
      <c r="AV45" s="10" t="str">
        <f t="shared" si="13"/>
        <v>20240727 00:00:00-1000-2-Dp-1-SW-UKN</v>
      </c>
    </row>
    <row r="46" spans="1:48" x14ac:dyDescent="0.3">
      <c r="A46" s="32">
        <v>45500</v>
      </c>
      <c r="B46" s="33">
        <v>0</v>
      </c>
      <c r="C46" s="10">
        <v>1000</v>
      </c>
      <c r="D46" s="10">
        <v>3</v>
      </c>
      <c r="E46" s="10" t="s">
        <v>953</v>
      </c>
      <c r="F46" s="10">
        <v>1</v>
      </c>
      <c r="G46" s="10" t="s">
        <v>72</v>
      </c>
      <c r="H46" s="10" t="s">
        <v>239</v>
      </c>
      <c r="I46" s="10" t="s">
        <v>283</v>
      </c>
      <c r="J46" s="10">
        <v>8</v>
      </c>
      <c r="K46" s="12">
        <v>45687</v>
      </c>
      <c r="L46" s="33">
        <v>0.47505787037037034</v>
      </c>
      <c r="M46" s="10">
        <v>1</v>
      </c>
      <c r="N46" s="10" t="s">
        <v>209</v>
      </c>
      <c r="O46" s="10">
        <v>8.3899999999999999E-3</v>
      </c>
      <c r="P46" s="10">
        <v>6.7299999999999999E-4</v>
      </c>
      <c r="Q46" s="10">
        <v>5.03</v>
      </c>
      <c r="R46" s="10" t="s">
        <v>930</v>
      </c>
      <c r="S46" s="34">
        <f t="shared" si="8"/>
        <v>5.03</v>
      </c>
      <c r="T46" s="10" t="s">
        <v>955</v>
      </c>
      <c r="U46" s="34" t="str">
        <f t="shared" si="14"/>
        <v/>
      </c>
      <c r="V46" s="31" t="str">
        <f>IF(H46="CHK",VLOOKUP(I46,QCCHK,3,),IF(H46="GUP",VLOOKUP(E46,QCGUP,2,),IF(AND(H46="ATP",OR(I46="TN",I46="TDN",I46="TNO2-3",I46="NO2-3")),VLOOKUP(E46,QCREC_N,2,),IF(AND(H46="NIC",OR(I46="TN",I46="TDN",I46="TNO2-3",I46="NO2-3")),VLOOKUP(E46,QCNIC_N,2,),IF(AND(H46="UREA",OR(I46="TN",I46="TDN",I46="TNO2-3",I46="NO2-3")),VLOOKUP(E46,QCUREA_N,2,),IF(H46="PER",VLOOKUP(I46,QCPER,MATCH(E46,QCACTUAL!$J$25:$AA$25,0),),IF(H46="SPK",VLOOKUP(I46,QCSPK,3,),IF(AND(H46="ATP",OR(I46="TP",I46="TDP")),VLOOKUP(E46,QCATP_P,2,),""))))))))</f>
        <v/>
      </c>
      <c r="W46" s="31" t="str">
        <f t="shared" si="9"/>
        <v>TRUE</v>
      </c>
      <c r="X46" s="31" t="str">
        <f t="shared" si="10"/>
        <v/>
      </c>
      <c r="Y46" s="10" t="s">
        <v>951</v>
      </c>
      <c r="Z46" s="10"/>
      <c r="AL46" s="10" t="str">
        <f t="shared" si="11"/>
        <v>FALSE</v>
      </c>
      <c r="AM46" s="10" t="str">
        <f t="shared" si="11"/>
        <v>FALSE</v>
      </c>
      <c r="AN46" s="10" t="str">
        <f t="shared" si="11"/>
        <v>FALSE</v>
      </c>
      <c r="AO46" s="10" t="str">
        <f t="shared" si="12"/>
        <v>FALSE</v>
      </c>
      <c r="AP46" s="10" t="str">
        <f t="shared" si="12"/>
        <v>FALSE</v>
      </c>
      <c r="AQ46" s="10" t="b">
        <f>IF(AND(I46="TP",S46&lt;=150),VLOOKUP(AF46,TPCalibEq150!$AZ$2:$BB$166,3,),IF(AND(I46="TDP",S46&lt;=150),VLOOKUP(AF46,TPCalibEq150!$AZ$2:$BB$166,3,)))</f>
        <v>0</v>
      </c>
      <c r="AR46" s="10" t="b">
        <f>IF(AND(I46="TP",S46&lt;=300),VLOOKUP(AF46,TPCalibEq300!$AZ$2:$BB$166,3,),IF(AND(I46="TDP",S46&lt;=300),VLOOKUP(AF46,TPCalibEq300!$AZ$2:$BB$166,3,)))</f>
        <v>0</v>
      </c>
      <c r="AS46" s="10" t="b">
        <f>IF(AND(I46="TP",S46&lt;=500),VLOOKUP(AF46,TPCalibEq500!$AZ$2:$BB$165,3,),IF(AND(I46="TDP",S46&lt;=500),VLOOKUP(AF46,TPCalibEq500!$AZ$2:$BB$165,3,)))</f>
        <v>0</v>
      </c>
      <c r="AT46" s="10" t="b">
        <f>IF(AND(I46="TN",S46&lt;=2800),VLOOKUP(AF46,TNCalibEq2500!$AZ$2:$BB$165,3,),IF(AND(I46="TDN",S46&lt;=2800),VLOOKUP(AF46,TNCalibEq2500!$AZ$2:$BB$165,3,)))</f>
        <v>0</v>
      </c>
      <c r="AU46" s="10" t="b">
        <f>IF(I46="TP",VLOOKUP(AF46,TPCalibEqFull!$AZ$2:$BB$165,3),IF(I46="TDP",VLOOKUP(AF46,TPCalibEqFull!$AZ$2:$BB$165,3),IF(I46="TDN",VLOOKUP(AF46,TNCalibEqFull!$AZ$2:$BB$164,3),IF(I46="TN",VLOOKUP(AF46,TNCalibEqFull!$AZ$2:$BB$164,3),FALSE))))</f>
        <v>0</v>
      </c>
      <c r="AV46" s="10" t="str">
        <f t="shared" si="13"/>
        <v>20240727 00:00:00-1000-3-Sh-1-DI-BLK</v>
      </c>
    </row>
    <row r="47" spans="1:48" x14ac:dyDescent="0.3">
      <c r="A47" s="32">
        <v>45500</v>
      </c>
      <c r="B47" s="33">
        <v>0</v>
      </c>
      <c r="C47" s="10">
        <v>1000</v>
      </c>
      <c r="D47" s="10">
        <v>3</v>
      </c>
      <c r="E47" s="10" t="s">
        <v>953</v>
      </c>
      <c r="F47" s="10">
        <v>1</v>
      </c>
      <c r="G47" s="10" t="s">
        <v>229</v>
      </c>
      <c r="H47" s="10" t="s">
        <v>320</v>
      </c>
      <c r="I47" s="10" t="s">
        <v>283</v>
      </c>
      <c r="J47" s="10">
        <v>9</v>
      </c>
      <c r="K47" s="12">
        <v>45687</v>
      </c>
      <c r="L47" s="33">
        <v>0.47587962962962965</v>
      </c>
      <c r="M47" s="10">
        <v>1</v>
      </c>
      <c r="N47" s="10" t="s">
        <v>209</v>
      </c>
      <c r="O47" s="10">
        <v>7.7600000000000002E-2</v>
      </c>
      <c r="P47" s="10">
        <v>9.1500000000000001E-3</v>
      </c>
      <c r="Q47" s="10">
        <v>18.7</v>
      </c>
      <c r="R47" s="10" t="s">
        <v>930</v>
      </c>
      <c r="S47" s="34">
        <f t="shared" si="8"/>
        <v>18.7</v>
      </c>
      <c r="T47" s="10" t="s">
        <v>955</v>
      </c>
      <c r="U47" s="34" t="str">
        <f t="shared" si="14"/>
        <v/>
      </c>
      <c r="V47" s="31" t="str">
        <f>IF(H47="CHK",VLOOKUP(I47,QCCHK,3,),IF(H47="GUP",VLOOKUP(E47,QCGUP,2,),IF(AND(H47="ATP",OR(I47="TN",I47="TDN",I47="TNO2-3",I47="NO2-3")),VLOOKUP(E47,QCREC_N,2,),IF(AND(H47="NIC",OR(I47="TN",I47="TDN",I47="TNO2-3",I47="NO2-3")),VLOOKUP(E47,QCNIC_N,2,),IF(AND(H47="UREA",OR(I47="TN",I47="TDN",I47="TNO2-3",I47="NO2-3")),VLOOKUP(E47,QCUREA_N,2,),IF(H47="PER",VLOOKUP(I47,QCPER,MATCH(E47,QCACTUAL!$J$25:$AA$25,0),),IF(H47="SPK",VLOOKUP(I47,QCSPK,3,),IF(AND(H47="ATP",OR(I47="TP",I47="TDP")),VLOOKUP(E47,QCATP_P,2,),""))))))))</f>
        <v/>
      </c>
      <c r="W47" s="31" t="str">
        <f t="shared" si="9"/>
        <v>TRUE</v>
      </c>
      <c r="X47" s="31" t="str">
        <f t="shared" si="10"/>
        <v/>
      </c>
      <c r="Y47" s="10" t="s">
        <v>951</v>
      </c>
      <c r="Z47" s="10"/>
      <c r="AL47" s="10" t="str">
        <f t="shared" si="11"/>
        <v>FALSE</v>
      </c>
      <c r="AM47" s="10" t="str">
        <f t="shared" si="11"/>
        <v>FALSE</v>
      </c>
      <c r="AN47" s="10" t="str">
        <f t="shared" si="11"/>
        <v>FALSE</v>
      </c>
      <c r="AO47" s="10" t="str">
        <f t="shared" si="12"/>
        <v>FALSE</v>
      </c>
      <c r="AP47" s="10" t="str">
        <f t="shared" si="12"/>
        <v>FALSE</v>
      </c>
      <c r="AQ47" s="10" t="b">
        <f>IF(AND(I47="TP",S47&lt;=150),VLOOKUP(AF47,TPCalibEq150!$AZ$2:$BB$166,3,),IF(AND(I47="TDP",S47&lt;=150),VLOOKUP(AF47,TPCalibEq150!$AZ$2:$BB$166,3,)))</f>
        <v>0</v>
      </c>
      <c r="AR47" s="10" t="b">
        <f>IF(AND(I47="TP",S47&lt;=300),VLOOKUP(AF47,TPCalibEq300!$AZ$2:$BB$166,3,),IF(AND(I47="TDP",S47&lt;=300),VLOOKUP(AF47,TPCalibEq300!$AZ$2:$BB$166,3,)))</f>
        <v>0</v>
      </c>
      <c r="AS47" s="10" t="b">
        <f>IF(AND(I47="TP",S47&lt;=500),VLOOKUP(AF47,TPCalibEq500!$AZ$2:$BB$165,3,),IF(AND(I47="TDP",S47&lt;=500),VLOOKUP(AF47,TPCalibEq500!$AZ$2:$BB$165,3,)))</f>
        <v>0</v>
      </c>
      <c r="AT47" s="10" t="b">
        <f>IF(AND(I47="TN",S47&lt;=2800),VLOOKUP(AF47,TNCalibEq2500!$AZ$2:$BB$165,3,),IF(AND(I47="TDN",S47&lt;=2800),VLOOKUP(AF47,TNCalibEq2500!$AZ$2:$BB$165,3,)))</f>
        <v>0</v>
      </c>
      <c r="AU47" s="10" t="b">
        <f>IF(I47="TP",VLOOKUP(AF47,TPCalibEqFull!$AZ$2:$BB$165,3),IF(I47="TDP",VLOOKUP(AF47,TPCalibEqFull!$AZ$2:$BB$165,3),IF(I47="TDN",VLOOKUP(AF47,TNCalibEqFull!$AZ$2:$BB$164,3),IF(I47="TN",VLOOKUP(AF47,TNCalibEqFull!$AZ$2:$BB$164,3),FALSE))))</f>
        <v>0</v>
      </c>
      <c r="AV47" s="10" t="str">
        <f t="shared" si="13"/>
        <v>20240727 00:00:00-1000-3-Sh-1-SW-UKN</v>
      </c>
    </row>
    <row r="48" spans="1:48" x14ac:dyDescent="0.3">
      <c r="A48" s="32">
        <v>45500</v>
      </c>
      <c r="B48" s="33">
        <v>0</v>
      </c>
      <c r="C48" s="10">
        <v>1000</v>
      </c>
      <c r="D48" s="10">
        <v>3</v>
      </c>
      <c r="E48" s="10" t="s">
        <v>953</v>
      </c>
      <c r="F48" s="10">
        <v>2</v>
      </c>
      <c r="G48" s="10" t="s">
        <v>229</v>
      </c>
      <c r="H48" s="10" t="s">
        <v>320</v>
      </c>
      <c r="I48" s="10" t="s">
        <v>283</v>
      </c>
      <c r="J48" s="10">
        <v>10</v>
      </c>
      <c r="K48" s="12">
        <v>45687</v>
      </c>
      <c r="L48" s="33">
        <v>0.47667824074074078</v>
      </c>
      <c r="M48" s="10">
        <v>1</v>
      </c>
      <c r="N48" s="10" t="s">
        <v>209</v>
      </c>
      <c r="O48" s="10">
        <v>8.0699999999999994E-2</v>
      </c>
      <c r="P48" s="10">
        <v>9.0100000000000006E-3</v>
      </c>
      <c r="Q48" s="10">
        <v>19.3</v>
      </c>
      <c r="R48" s="10" t="s">
        <v>930</v>
      </c>
      <c r="S48" s="34">
        <f t="shared" si="8"/>
        <v>19.3</v>
      </c>
      <c r="T48" s="10" t="s">
        <v>955</v>
      </c>
      <c r="U48" s="34" t="str">
        <f t="shared" si="14"/>
        <v/>
      </c>
      <c r="V48" s="31" t="str">
        <f>IF(H48="CHK",VLOOKUP(I48,QCCHK,3,),IF(H48="GUP",VLOOKUP(E48,QCGUP,2,),IF(AND(H48="ATP",OR(I48="TN",I48="TDN",I48="TNO2-3",I48="NO2-3")),VLOOKUP(E48,QCREC_N,2,),IF(AND(H48="NIC",OR(I48="TN",I48="TDN",I48="TNO2-3",I48="NO2-3")),VLOOKUP(E48,QCNIC_N,2,),IF(AND(H48="UREA",OR(I48="TN",I48="TDN",I48="TNO2-3",I48="NO2-3")),VLOOKUP(E48,QCUREA_N,2,),IF(H48="PER",VLOOKUP(I48,QCPER,MATCH(E48,QCACTUAL!$J$25:$AA$25,0),),IF(H48="SPK",VLOOKUP(I48,QCSPK,3,),IF(AND(H48="ATP",OR(I48="TP",I48="TDP")),VLOOKUP(E48,QCATP_P,2,),""))))))))</f>
        <v/>
      </c>
      <c r="W48" s="31" t="str">
        <f t="shared" si="9"/>
        <v>TRUE</v>
      </c>
      <c r="X48" s="31" t="str">
        <f t="shared" si="10"/>
        <v/>
      </c>
      <c r="Y48" s="10" t="s">
        <v>951</v>
      </c>
      <c r="Z48" s="10"/>
      <c r="AL48" s="10" t="str">
        <f t="shared" si="11"/>
        <v>FALSE</v>
      </c>
      <c r="AM48" s="10" t="str">
        <f t="shared" si="11"/>
        <v>FALSE</v>
      </c>
      <c r="AN48" s="10" t="str">
        <f t="shared" si="11"/>
        <v>FALSE</v>
      </c>
      <c r="AO48" s="10" t="str">
        <f t="shared" si="12"/>
        <v>FALSE</v>
      </c>
      <c r="AP48" s="10" t="str">
        <f t="shared" si="12"/>
        <v>FALSE</v>
      </c>
      <c r="AQ48" s="10" t="b">
        <f>IF(AND(I48="TP",S48&lt;=150),VLOOKUP(AF48,TPCalibEq150!$AZ$2:$BB$166,3,),IF(AND(I48="TDP",S48&lt;=150),VLOOKUP(AF48,TPCalibEq150!$AZ$2:$BB$166,3,)))</f>
        <v>0</v>
      </c>
      <c r="AR48" s="10" t="b">
        <f>IF(AND(I48="TP",S48&lt;=300),VLOOKUP(AF48,TPCalibEq300!$AZ$2:$BB$166,3,),IF(AND(I48="TDP",S48&lt;=300),VLOOKUP(AF48,TPCalibEq300!$AZ$2:$BB$166,3,)))</f>
        <v>0</v>
      </c>
      <c r="AS48" s="10" t="b">
        <f>IF(AND(I48="TP",S48&lt;=500),VLOOKUP(AF48,TPCalibEq500!$AZ$2:$BB$165,3,),IF(AND(I48="TDP",S48&lt;=500),VLOOKUP(AF48,TPCalibEq500!$AZ$2:$BB$165,3,)))</f>
        <v>0</v>
      </c>
      <c r="AT48" s="10" t="b">
        <f>IF(AND(I48="TN",S48&lt;=2800),VLOOKUP(AF48,TNCalibEq2500!$AZ$2:$BB$165,3,),IF(AND(I48="TDN",S48&lt;=2800),VLOOKUP(AF48,TNCalibEq2500!$AZ$2:$BB$165,3,)))</f>
        <v>0</v>
      </c>
      <c r="AU48" s="10" t="b">
        <f>IF(I48="TP",VLOOKUP(AF48,TPCalibEqFull!$AZ$2:$BB$165,3),IF(I48="TDP",VLOOKUP(AF48,TPCalibEqFull!$AZ$2:$BB$165,3),IF(I48="TDN",VLOOKUP(AF48,TNCalibEqFull!$AZ$2:$BB$164,3),IF(I48="TN",VLOOKUP(AF48,TNCalibEqFull!$AZ$2:$BB$164,3),FALSE))))</f>
        <v>0</v>
      </c>
      <c r="AV48" s="10" t="str">
        <f t="shared" si="13"/>
        <v>20240727 00:00:00-1000-3-Sh-2-SW-UKN</v>
      </c>
    </row>
    <row r="49" spans="1:48" x14ac:dyDescent="0.3">
      <c r="A49" s="32">
        <v>45500</v>
      </c>
      <c r="B49" s="33">
        <v>0</v>
      </c>
      <c r="C49" s="10">
        <v>1000</v>
      </c>
      <c r="D49" s="10">
        <v>3</v>
      </c>
      <c r="E49" s="10" t="s">
        <v>954</v>
      </c>
      <c r="F49" s="10">
        <v>1</v>
      </c>
      <c r="G49" s="10" t="s">
        <v>229</v>
      </c>
      <c r="H49" s="10" t="s">
        <v>320</v>
      </c>
      <c r="I49" s="10" t="s">
        <v>283</v>
      </c>
      <c r="J49" s="10">
        <v>11</v>
      </c>
      <c r="K49" s="12">
        <v>45687</v>
      </c>
      <c r="L49" s="33">
        <v>0.47750000000000004</v>
      </c>
      <c r="M49" s="10">
        <v>1</v>
      </c>
      <c r="N49" s="10" t="s">
        <v>209</v>
      </c>
      <c r="O49" s="10">
        <v>0.17699999999999999</v>
      </c>
      <c r="P49" s="10">
        <v>2.0299999999999999E-2</v>
      </c>
      <c r="Q49" s="10">
        <v>38.4</v>
      </c>
      <c r="R49" s="10" t="s">
        <v>930</v>
      </c>
      <c r="S49" s="34">
        <f t="shared" si="8"/>
        <v>38.4</v>
      </c>
      <c r="T49" s="10" t="s">
        <v>955</v>
      </c>
      <c r="U49" s="34" t="str">
        <f t="shared" si="14"/>
        <v/>
      </c>
      <c r="V49" s="31" t="str">
        <f>IF(H49="CHK",VLOOKUP(I49,QCCHK,3,),IF(H49="GUP",VLOOKUP(E49,QCGUP,2,),IF(AND(H49="ATP",OR(I49="TN",I49="TDN",I49="TNO2-3",I49="NO2-3")),VLOOKUP(E49,QCREC_N,2,),IF(AND(H49="NIC",OR(I49="TN",I49="TDN",I49="TNO2-3",I49="NO2-3")),VLOOKUP(E49,QCNIC_N,2,),IF(AND(H49="UREA",OR(I49="TN",I49="TDN",I49="TNO2-3",I49="NO2-3")),VLOOKUP(E49,QCUREA_N,2,),IF(H49="PER",VLOOKUP(I49,QCPER,MATCH(E49,QCACTUAL!$J$25:$AA$25,0),),IF(H49="SPK",VLOOKUP(I49,QCSPK,3,),IF(AND(H49="ATP",OR(I49="TP",I49="TDP")),VLOOKUP(E49,QCATP_P,2,),""))))))))</f>
        <v/>
      </c>
      <c r="W49" s="31" t="str">
        <f t="shared" si="9"/>
        <v>TRUE</v>
      </c>
      <c r="X49" s="31" t="str">
        <f t="shared" si="10"/>
        <v/>
      </c>
      <c r="Y49" s="10" t="s">
        <v>951</v>
      </c>
      <c r="Z49" s="10"/>
      <c r="AL49" s="10" t="str">
        <f t="shared" si="11"/>
        <v>FALSE</v>
      </c>
      <c r="AM49" s="10" t="str">
        <f t="shared" si="11"/>
        <v>FALSE</v>
      </c>
      <c r="AN49" s="10" t="str">
        <f t="shared" si="11"/>
        <v>FALSE</v>
      </c>
      <c r="AO49" s="10" t="str">
        <f t="shared" si="12"/>
        <v>FALSE</v>
      </c>
      <c r="AP49" s="10" t="str">
        <f t="shared" si="12"/>
        <v>FALSE</v>
      </c>
      <c r="AQ49" s="10" t="b">
        <f>IF(AND(I49="TP",S49&lt;=150),VLOOKUP(AF49,TPCalibEq150!$AZ$2:$BB$166,3,),IF(AND(I49="TDP",S49&lt;=150),VLOOKUP(AF49,TPCalibEq150!$AZ$2:$BB$166,3,)))</f>
        <v>0</v>
      </c>
      <c r="AR49" s="10" t="b">
        <f>IF(AND(I49="TP",S49&lt;=300),VLOOKUP(AF49,TPCalibEq300!$AZ$2:$BB$166,3,),IF(AND(I49="TDP",S49&lt;=300),VLOOKUP(AF49,TPCalibEq300!$AZ$2:$BB$166,3,)))</f>
        <v>0</v>
      </c>
      <c r="AS49" s="10" t="b">
        <f>IF(AND(I49="TP",S49&lt;=500),VLOOKUP(AF49,TPCalibEq500!$AZ$2:$BB$165,3,),IF(AND(I49="TDP",S49&lt;=500),VLOOKUP(AF49,TPCalibEq500!$AZ$2:$BB$165,3,)))</f>
        <v>0</v>
      </c>
      <c r="AT49" s="10" t="b">
        <f>IF(AND(I49="TN",S49&lt;=2800),VLOOKUP(AF49,TNCalibEq2500!$AZ$2:$BB$165,3,),IF(AND(I49="TDN",S49&lt;=2800),VLOOKUP(AF49,TNCalibEq2500!$AZ$2:$BB$165,3,)))</f>
        <v>0</v>
      </c>
      <c r="AU49" s="10" t="b">
        <f>IF(I49="TP",VLOOKUP(AF49,TPCalibEqFull!$AZ$2:$BB$165,3),IF(I49="TDP",VLOOKUP(AF49,TPCalibEqFull!$AZ$2:$BB$165,3),IF(I49="TDN",VLOOKUP(AF49,TNCalibEqFull!$AZ$2:$BB$164,3),IF(I49="TN",VLOOKUP(AF49,TNCalibEqFull!$AZ$2:$BB$164,3),FALSE))))</f>
        <v>0</v>
      </c>
      <c r="AV49" s="10" t="str">
        <f t="shared" si="13"/>
        <v>20240727 00:00:00-1000-3-Dp-1-SW-UKN</v>
      </c>
    </row>
    <row r="50" spans="1:48" x14ac:dyDescent="0.3">
      <c r="A50" s="32">
        <v>45500</v>
      </c>
      <c r="B50" s="33">
        <v>0</v>
      </c>
      <c r="C50" s="10">
        <v>1000</v>
      </c>
      <c r="D50" s="10">
        <v>3</v>
      </c>
      <c r="E50" s="10" t="s">
        <v>954</v>
      </c>
      <c r="F50" s="10">
        <v>1</v>
      </c>
      <c r="G50" s="10" t="s">
        <v>229</v>
      </c>
      <c r="H50" s="10" t="s">
        <v>231</v>
      </c>
      <c r="I50" s="10" t="s">
        <v>283</v>
      </c>
      <c r="J50" s="10">
        <v>11</v>
      </c>
      <c r="K50" s="12">
        <v>45687</v>
      </c>
      <c r="L50" s="33">
        <v>0.4783101851851852</v>
      </c>
      <c r="M50" s="10">
        <v>1</v>
      </c>
      <c r="N50" s="10" t="s">
        <v>209</v>
      </c>
      <c r="O50" s="10">
        <v>0.17699999999999999</v>
      </c>
      <c r="P50" s="10">
        <v>2.0199999999999999E-2</v>
      </c>
      <c r="Q50" s="10">
        <v>38.4</v>
      </c>
      <c r="R50" s="10" t="s">
        <v>930</v>
      </c>
      <c r="S50" s="34">
        <f t="shared" si="8"/>
        <v>38.4</v>
      </c>
      <c r="T50" s="10" t="s">
        <v>955</v>
      </c>
      <c r="U50" s="34">
        <f t="shared" si="14"/>
        <v>0</v>
      </c>
      <c r="V50" s="31" t="str">
        <f>IF(H50="CHK",VLOOKUP(I50,QCCHK,3,),IF(H50="GUP",VLOOKUP(E50,QCGUP,2,),IF(AND(H50="ATP",OR(I50="TN",I50="TDN",I50="TNO2-3",I50="NO2-3")),VLOOKUP(E50,QCREC_N,2,),IF(AND(H50="NIC",OR(I50="TN",I50="TDN",I50="TNO2-3",I50="NO2-3")),VLOOKUP(E50,QCNIC_N,2,),IF(AND(H50="UREA",OR(I50="TN",I50="TDN",I50="TNO2-3",I50="NO2-3")),VLOOKUP(E50,QCUREA_N,2,),IF(H50="PER",VLOOKUP(I50,QCPER,MATCH(E50,QCACTUAL!$J$25:$AA$25,0),),IF(H50="SPK",VLOOKUP(I50,QCSPK,3,),IF(AND(H50="ATP",OR(I50="TP",I50="TDP")),VLOOKUP(E50,QCATP_P,2,),""))))))))</f>
        <v/>
      </c>
      <c r="W50" s="31" t="str">
        <f t="shared" si="9"/>
        <v>TRUE</v>
      </c>
      <c r="X50" s="31" t="str">
        <f t="shared" si="10"/>
        <v>((ABS(rep1-rep2))/((rep1+rep2)/2)*100</v>
      </c>
      <c r="Y50" s="10" t="s">
        <v>951</v>
      </c>
      <c r="Z50" s="10"/>
      <c r="AL50" s="10" t="str">
        <f t="shared" si="11"/>
        <v>FALSE</v>
      </c>
      <c r="AM50" s="10" t="str">
        <f t="shared" si="11"/>
        <v>FALSE</v>
      </c>
      <c r="AN50" s="10" t="str">
        <f t="shared" si="11"/>
        <v>FALSE</v>
      </c>
      <c r="AO50" s="10" t="str">
        <f t="shared" si="12"/>
        <v>FALSE</v>
      </c>
      <c r="AP50" s="10" t="str">
        <f t="shared" si="12"/>
        <v>FALSE</v>
      </c>
      <c r="AQ50" s="10" t="b">
        <f>IF(AND(I50="TP",S50&lt;=150),VLOOKUP(AF50,TPCalibEq150!$AZ$2:$BB$166,3,),IF(AND(I50="TDP",S50&lt;=150),VLOOKUP(AF50,TPCalibEq150!$AZ$2:$BB$166,3,)))</f>
        <v>0</v>
      </c>
      <c r="AR50" s="10" t="b">
        <f>IF(AND(I50="TP",S50&lt;=300),VLOOKUP(AF50,TPCalibEq300!$AZ$2:$BB$166,3,),IF(AND(I50="TDP",S50&lt;=300),VLOOKUP(AF50,TPCalibEq300!$AZ$2:$BB$166,3,)))</f>
        <v>0</v>
      </c>
      <c r="AS50" s="10" t="b">
        <f>IF(AND(I50="TP",S50&lt;=500),VLOOKUP(AF50,TPCalibEq500!$AZ$2:$BB$165,3,),IF(AND(I50="TDP",S50&lt;=500),VLOOKUP(AF50,TPCalibEq500!$AZ$2:$BB$165,3,)))</f>
        <v>0</v>
      </c>
      <c r="AT50" s="10" t="b">
        <f>IF(AND(I50="TN",S50&lt;=2800),VLOOKUP(AF50,TNCalibEq2500!$AZ$2:$BB$165,3,),IF(AND(I50="TDN",S50&lt;=2800),VLOOKUP(AF50,TNCalibEq2500!$AZ$2:$BB$165,3,)))</f>
        <v>0</v>
      </c>
      <c r="AU50" s="10" t="b">
        <f>IF(I50="TP",VLOOKUP(AF50,TPCalibEqFull!$AZ$2:$BB$165,3),IF(I50="TDP",VLOOKUP(AF50,TPCalibEqFull!$AZ$2:$BB$165,3),IF(I50="TDN",VLOOKUP(AF50,TNCalibEqFull!$AZ$2:$BB$164,3),IF(I50="TN",VLOOKUP(AF50,TNCalibEqFull!$AZ$2:$BB$164,3),FALSE))))</f>
        <v>0</v>
      </c>
      <c r="AV50" s="10" t="str">
        <f t="shared" si="13"/>
        <v>20240727 00:00:00-1000-3-Dp-1-SW-DUP</v>
      </c>
    </row>
    <row r="51" spans="1:48" x14ac:dyDescent="0.3">
      <c r="A51" s="32">
        <v>45500</v>
      </c>
      <c r="B51" s="33">
        <v>0</v>
      </c>
      <c r="C51" s="10">
        <v>1000</v>
      </c>
      <c r="D51" s="10">
        <v>4</v>
      </c>
      <c r="E51" s="10" t="s">
        <v>953</v>
      </c>
      <c r="F51" s="10">
        <v>1</v>
      </c>
      <c r="G51" s="10" t="s">
        <v>72</v>
      </c>
      <c r="H51" s="10" t="s">
        <v>239</v>
      </c>
      <c r="I51" s="10" t="s">
        <v>283</v>
      </c>
      <c r="J51" s="10">
        <v>12</v>
      </c>
      <c r="K51" s="12">
        <v>45687</v>
      </c>
      <c r="L51" s="33">
        <v>0.48076388888888894</v>
      </c>
      <c r="M51" s="10">
        <v>1</v>
      </c>
      <c r="N51" s="10" t="s">
        <v>209</v>
      </c>
      <c r="O51" s="10">
        <v>4.3899999999999998E-3</v>
      </c>
      <c r="P51" s="10">
        <v>6.0499999999999996E-4</v>
      </c>
      <c r="Q51" s="10">
        <v>4.24</v>
      </c>
      <c r="R51" s="10" t="s">
        <v>930</v>
      </c>
      <c r="S51" s="34">
        <f t="shared" si="8"/>
        <v>4.24</v>
      </c>
      <c r="T51" s="10" t="s">
        <v>955</v>
      </c>
      <c r="U51" s="34" t="str">
        <f>IF(OR(H51="CHK",H51="ATP",H51="GUP",H51="PER", H51="NIC", H51="UREA"),(S51/V51*100),IF(H51="DUP",((ABS(S51-#REF!))/((#REF!+S51)/2))*100,IF(H51="SPK",((S51-#REF!)/V51*100),IF(OR(H51="LAB",H51="FLD",H51="ESF"),S51,""))))</f>
        <v/>
      </c>
      <c r="V51" s="31" t="str">
        <f>IF(H51="CHK",VLOOKUP(I51,QCCHK,3,),IF(H51="GUP",VLOOKUP(E51,QCGUP,2,),IF(AND(H51="ATP",OR(I51="TN",I51="TDN",I51="TNO2-3",I51="NO2-3")),VLOOKUP(E51,QCREC_N,2,),IF(AND(H51="NIC",OR(I51="TN",I51="TDN",I51="TNO2-3",I51="NO2-3")),VLOOKUP(E51,QCNIC_N,2,),IF(AND(H51="UREA",OR(I51="TN",I51="TDN",I51="TNO2-3",I51="NO2-3")),VLOOKUP(E51,QCUREA_N,2,),IF(H51="PER",VLOOKUP(I51,QCPER,MATCH(E51,QCACTUAL!$J$25:$AA$25,0),),IF(H51="SPK",VLOOKUP(I51,QCSPK,3,),IF(AND(H51="ATP",OR(I51="TP",I51="TDP")),VLOOKUP(E51,QCATP_P,2,),""))))))))</f>
        <v/>
      </c>
      <c r="W51" s="31" t="str">
        <f t="shared" si="9"/>
        <v>TRUE</v>
      </c>
      <c r="X51" s="31" t="str">
        <f t="shared" si="10"/>
        <v/>
      </c>
      <c r="Y51" s="10" t="s">
        <v>951</v>
      </c>
      <c r="Z51" s="10"/>
      <c r="AL51" s="10" t="str">
        <f t="shared" si="11"/>
        <v>FALSE</v>
      </c>
      <c r="AM51" s="10" t="str">
        <f t="shared" si="11"/>
        <v>FALSE</v>
      </c>
      <c r="AN51" s="10" t="str">
        <f t="shared" si="11"/>
        <v>FALSE</v>
      </c>
      <c r="AO51" s="10" t="str">
        <f t="shared" si="12"/>
        <v>FALSE</v>
      </c>
      <c r="AP51" s="10" t="str">
        <f t="shared" si="12"/>
        <v>FALSE</v>
      </c>
      <c r="AQ51" s="10" t="b">
        <f>IF(AND(I51="TP",S51&lt;=150),VLOOKUP(AF51,TPCalibEq150!$AZ$2:$BB$166,3,),IF(AND(I51="TDP",S51&lt;=150),VLOOKUP(AF51,TPCalibEq150!$AZ$2:$BB$166,3,)))</f>
        <v>0</v>
      </c>
      <c r="AR51" s="10" t="b">
        <f>IF(AND(I51="TP",S51&lt;=300),VLOOKUP(AF51,TPCalibEq300!$AZ$2:$BB$166,3,),IF(AND(I51="TDP",S51&lt;=300),VLOOKUP(AF51,TPCalibEq300!$AZ$2:$BB$166,3,)))</f>
        <v>0</v>
      </c>
      <c r="AS51" s="10" t="b">
        <f>IF(AND(I51="TP",S51&lt;=500),VLOOKUP(AF51,TPCalibEq500!$AZ$2:$BB$165,3,),IF(AND(I51="TDP",S51&lt;=500),VLOOKUP(AF51,TPCalibEq500!$AZ$2:$BB$165,3,)))</f>
        <v>0</v>
      </c>
      <c r="AT51" s="10" t="b">
        <f>IF(AND(I51="TN",S51&lt;=2800),VLOOKUP(AF51,TNCalibEq2500!$AZ$2:$BB$165,3,),IF(AND(I51="TDN",S51&lt;=2800),VLOOKUP(AF51,TNCalibEq2500!$AZ$2:$BB$165,3,)))</f>
        <v>0</v>
      </c>
      <c r="AU51" s="10" t="b">
        <f>IF(I51="TP",VLOOKUP(AF51,TPCalibEqFull!$AZ$2:$BB$165,3),IF(I51="TDP",VLOOKUP(AF51,TPCalibEqFull!$AZ$2:$BB$165,3),IF(I51="TDN",VLOOKUP(AF51,TNCalibEqFull!$AZ$2:$BB$164,3),IF(I51="TN",VLOOKUP(AF51,TNCalibEqFull!$AZ$2:$BB$164,3),FALSE))))</f>
        <v>0</v>
      </c>
      <c r="AV51" s="10" t="str">
        <f t="shared" si="13"/>
        <v>20240727 00:00:00-1000-4-Sh-1-DI-BLK</v>
      </c>
    </row>
    <row r="52" spans="1:48" x14ac:dyDescent="0.3">
      <c r="A52" s="32">
        <v>45500</v>
      </c>
      <c r="B52" s="33">
        <v>0</v>
      </c>
      <c r="C52" s="10">
        <v>1000</v>
      </c>
      <c r="D52" s="10">
        <v>4</v>
      </c>
      <c r="E52" s="10" t="s">
        <v>953</v>
      </c>
      <c r="F52" s="10">
        <v>1</v>
      </c>
      <c r="G52" s="10" t="s">
        <v>229</v>
      </c>
      <c r="H52" s="10" t="s">
        <v>320</v>
      </c>
      <c r="I52" s="10" t="s">
        <v>283</v>
      </c>
      <c r="J52" s="10">
        <v>13</v>
      </c>
      <c r="K52" s="12">
        <v>45687</v>
      </c>
      <c r="L52" s="33">
        <v>0.4815740740740741</v>
      </c>
      <c r="M52" s="10">
        <v>1</v>
      </c>
      <c r="N52" s="10" t="s">
        <v>209</v>
      </c>
      <c r="O52" s="10">
        <v>7.8299999999999995E-2</v>
      </c>
      <c r="P52" s="10">
        <v>8.4200000000000004E-3</v>
      </c>
      <c r="Q52" s="10">
        <v>18.8</v>
      </c>
      <c r="R52" s="10" t="s">
        <v>930</v>
      </c>
      <c r="S52" s="34">
        <f t="shared" si="8"/>
        <v>18.8</v>
      </c>
      <c r="T52" s="10" t="s">
        <v>955</v>
      </c>
      <c r="U52" s="34" t="str">
        <f t="shared" si="14"/>
        <v/>
      </c>
      <c r="V52" s="31" t="str">
        <f>IF(H52="CHK",VLOOKUP(I52,QCCHK,3,),IF(H52="GUP",VLOOKUP(E52,QCGUP,2,),IF(AND(H52="ATP",OR(I52="TN",I52="TDN",I52="TNO2-3",I52="NO2-3")),VLOOKUP(E52,QCREC_N,2,),IF(AND(H52="NIC",OR(I52="TN",I52="TDN",I52="TNO2-3",I52="NO2-3")),VLOOKUP(E52,QCNIC_N,2,),IF(AND(H52="UREA",OR(I52="TN",I52="TDN",I52="TNO2-3",I52="NO2-3")),VLOOKUP(E52,QCUREA_N,2,),IF(H52="PER",VLOOKUP(I52,QCPER,MATCH(E52,QCACTUAL!$J$25:$AA$25,0),),IF(H52="SPK",VLOOKUP(I52,QCSPK,3,),IF(AND(H52="ATP",OR(I52="TP",I52="TDP")),VLOOKUP(E52,QCATP_P,2,),""))))))))</f>
        <v/>
      </c>
      <c r="W52" s="31" t="str">
        <f t="shared" si="9"/>
        <v>TRUE</v>
      </c>
      <c r="X52" s="31" t="str">
        <f t="shared" si="10"/>
        <v/>
      </c>
      <c r="Y52" s="10" t="s">
        <v>951</v>
      </c>
      <c r="Z52" s="10"/>
      <c r="AL52" s="10" t="str">
        <f t="shared" si="11"/>
        <v>FALSE</v>
      </c>
      <c r="AM52" s="10" t="str">
        <f t="shared" si="11"/>
        <v>FALSE</v>
      </c>
      <c r="AN52" s="10" t="str">
        <f t="shared" si="11"/>
        <v>FALSE</v>
      </c>
      <c r="AO52" s="10" t="str">
        <f t="shared" si="12"/>
        <v>FALSE</v>
      </c>
      <c r="AP52" s="10" t="str">
        <f t="shared" si="12"/>
        <v>FALSE</v>
      </c>
      <c r="AQ52" s="10" t="b">
        <f>IF(AND(I52="TP",S52&lt;=150),VLOOKUP(AF52,TPCalibEq150!$AZ$2:$BB$166,3,),IF(AND(I52="TDP",S52&lt;=150),VLOOKUP(AF52,TPCalibEq150!$AZ$2:$BB$166,3,)))</f>
        <v>0</v>
      </c>
      <c r="AR52" s="10" t="b">
        <f>IF(AND(I52="TP",S52&lt;=300),VLOOKUP(AF52,TPCalibEq300!$AZ$2:$BB$166,3,),IF(AND(I52="TDP",S52&lt;=300),VLOOKUP(AF52,TPCalibEq300!$AZ$2:$BB$166,3,)))</f>
        <v>0</v>
      </c>
      <c r="AS52" s="10" t="b">
        <f>IF(AND(I52="TP",S52&lt;=500),VLOOKUP(AF52,TPCalibEq500!$AZ$2:$BB$165,3,),IF(AND(I52="TDP",S52&lt;=500),VLOOKUP(AF52,TPCalibEq500!$AZ$2:$BB$165,3,)))</f>
        <v>0</v>
      </c>
      <c r="AT52" s="10" t="b">
        <f>IF(AND(I52="TN",S52&lt;=2800),VLOOKUP(AF52,TNCalibEq2500!$AZ$2:$BB$165,3,),IF(AND(I52="TDN",S52&lt;=2800),VLOOKUP(AF52,TNCalibEq2500!$AZ$2:$BB$165,3,)))</f>
        <v>0</v>
      </c>
      <c r="AU52" s="10" t="b">
        <f>IF(I52="TP",VLOOKUP(AF52,TPCalibEqFull!$AZ$2:$BB$165,3),IF(I52="TDP",VLOOKUP(AF52,TPCalibEqFull!$AZ$2:$BB$165,3),IF(I52="TDN",VLOOKUP(AF52,TNCalibEqFull!$AZ$2:$BB$164,3),IF(I52="TN",VLOOKUP(AF52,TNCalibEqFull!$AZ$2:$BB$164,3),FALSE))))</f>
        <v>0</v>
      </c>
      <c r="AV52" s="10" t="str">
        <f t="shared" si="13"/>
        <v>20240727 00:00:00-1000-4-Sh-1-SW-UKN</v>
      </c>
    </row>
    <row r="53" spans="1:48" x14ac:dyDescent="0.3">
      <c r="A53" s="32">
        <v>45500</v>
      </c>
      <c r="B53" s="33">
        <v>0</v>
      </c>
      <c r="C53" s="10">
        <v>1000</v>
      </c>
      <c r="D53" s="10">
        <v>4</v>
      </c>
      <c r="E53" s="10" t="s">
        <v>953</v>
      </c>
      <c r="F53" s="10">
        <v>2</v>
      </c>
      <c r="G53" s="10" t="s">
        <v>229</v>
      </c>
      <c r="H53" s="10" t="s">
        <v>320</v>
      </c>
      <c r="I53" s="10" t="s">
        <v>283</v>
      </c>
      <c r="J53" s="10">
        <v>14</v>
      </c>
      <c r="K53" s="12">
        <v>45687</v>
      </c>
      <c r="L53" s="33">
        <v>0.48238425925925926</v>
      </c>
      <c r="M53" s="10">
        <v>1</v>
      </c>
      <c r="N53" s="10" t="s">
        <v>209</v>
      </c>
      <c r="O53" s="10">
        <v>7.7200000000000005E-2</v>
      </c>
      <c r="P53" s="10">
        <v>9.2800000000000001E-3</v>
      </c>
      <c r="Q53" s="10">
        <v>18.600000000000001</v>
      </c>
      <c r="R53" s="10" t="s">
        <v>930</v>
      </c>
      <c r="S53" s="34">
        <f t="shared" si="8"/>
        <v>18.600000000000001</v>
      </c>
      <c r="T53" s="10" t="s">
        <v>955</v>
      </c>
      <c r="U53" s="34" t="str">
        <f t="shared" si="14"/>
        <v/>
      </c>
      <c r="V53" s="31" t="str">
        <f>IF(H53="CHK",VLOOKUP(I53,QCCHK,3,),IF(H53="GUP",VLOOKUP(E53,QCGUP,2,),IF(AND(H53="ATP",OR(I53="TN",I53="TDN",I53="TNO2-3",I53="NO2-3")),VLOOKUP(E53,QCREC_N,2,),IF(AND(H53="NIC",OR(I53="TN",I53="TDN",I53="TNO2-3",I53="NO2-3")),VLOOKUP(E53,QCNIC_N,2,),IF(AND(H53="UREA",OR(I53="TN",I53="TDN",I53="TNO2-3",I53="NO2-3")),VLOOKUP(E53,QCUREA_N,2,),IF(H53="PER",VLOOKUP(I53,QCPER,MATCH(E53,QCACTUAL!$J$25:$AA$25,0),),IF(H53="SPK",VLOOKUP(I53,QCSPK,3,),IF(AND(H53="ATP",OR(I53="TP",I53="TDP")),VLOOKUP(E53,QCATP_P,2,),""))))))))</f>
        <v/>
      </c>
      <c r="W53" s="31" t="str">
        <f t="shared" si="9"/>
        <v>TRUE</v>
      </c>
      <c r="X53" s="31" t="str">
        <f t="shared" si="10"/>
        <v/>
      </c>
      <c r="Y53" s="10" t="s">
        <v>951</v>
      </c>
      <c r="Z53" s="10"/>
      <c r="AL53" s="10" t="str">
        <f t="shared" si="11"/>
        <v>FALSE</v>
      </c>
      <c r="AM53" s="10" t="str">
        <f t="shared" si="11"/>
        <v>FALSE</v>
      </c>
      <c r="AN53" s="10" t="str">
        <f t="shared" si="11"/>
        <v>FALSE</v>
      </c>
      <c r="AO53" s="10" t="str">
        <f t="shared" si="12"/>
        <v>FALSE</v>
      </c>
      <c r="AP53" s="10" t="str">
        <f t="shared" si="12"/>
        <v>FALSE</v>
      </c>
      <c r="AQ53" s="10" t="b">
        <f>IF(AND(I53="TP",S53&lt;=150),VLOOKUP(AF53,TPCalibEq150!$AZ$2:$BB$166,3,),IF(AND(I53="TDP",S53&lt;=150),VLOOKUP(AF53,TPCalibEq150!$AZ$2:$BB$166,3,)))</f>
        <v>0</v>
      </c>
      <c r="AR53" s="10" t="b">
        <f>IF(AND(I53="TP",S53&lt;=300),VLOOKUP(AF53,TPCalibEq300!$AZ$2:$BB$166,3,),IF(AND(I53="TDP",S53&lt;=300),VLOOKUP(AF53,TPCalibEq300!$AZ$2:$BB$166,3,)))</f>
        <v>0</v>
      </c>
      <c r="AS53" s="10" t="b">
        <f>IF(AND(I53="TP",S53&lt;=500),VLOOKUP(AF53,TPCalibEq500!$AZ$2:$BB$165,3,),IF(AND(I53="TDP",S53&lt;=500),VLOOKUP(AF53,TPCalibEq500!$AZ$2:$BB$165,3,)))</f>
        <v>0</v>
      </c>
      <c r="AT53" s="10" t="b">
        <f>IF(AND(I53="TN",S53&lt;=2800),VLOOKUP(AF53,TNCalibEq2500!$AZ$2:$BB$165,3,),IF(AND(I53="TDN",S53&lt;=2800),VLOOKUP(AF53,TNCalibEq2500!$AZ$2:$BB$165,3,)))</f>
        <v>0</v>
      </c>
      <c r="AU53" s="10" t="b">
        <f>IF(I53="TP",VLOOKUP(AF53,TPCalibEqFull!$AZ$2:$BB$165,3),IF(I53="TDP",VLOOKUP(AF53,TPCalibEqFull!$AZ$2:$BB$165,3),IF(I53="TDN",VLOOKUP(AF53,TNCalibEqFull!$AZ$2:$BB$164,3),IF(I53="TN",VLOOKUP(AF53,TNCalibEqFull!$AZ$2:$BB$164,3),FALSE))))</f>
        <v>0</v>
      </c>
      <c r="AV53" s="10" t="str">
        <f t="shared" si="13"/>
        <v>20240727 00:00:00-1000-4-Sh-2-SW-UKN</v>
      </c>
    </row>
    <row r="54" spans="1:48" x14ac:dyDescent="0.3">
      <c r="A54" s="32">
        <v>45500</v>
      </c>
      <c r="B54" s="33">
        <v>0</v>
      </c>
      <c r="C54" s="10">
        <v>1000</v>
      </c>
      <c r="D54" s="10">
        <v>4</v>
      </c>
      <c r="E54" s="10" t="s">
        <v>954</v>
      </c>
      <c r="F54" s="10">
        <v>1</v>
      </c>
      <c r="G54" s="10" t="s">
        <v>229</v>
      </c>
      <c r="H54" s="10" t="s">
        <v>320</v>
      </c>
      <c r="I54" s="10" t="s">
        <v>283</v>
      </c>
      <c r="J54" s="10">
        <v>15</v>
      </c>
      <c r="K54" s="12">
        <v>45687</v>
      </c>
      <c r="L54" s="33">
        <v>0.4831597222222222</v>
      </c>
      <c r="M54" s="10">
        <v>1</v>
      </c>
      <c r="N54" s="10" t="s">
        <v>209</v>
      </c>
      <c r="O54" s="10">
        <v>7.9600000000000004E-2</v>
      </c>
      <c r="P54" s="10">
        <v>9.2499999999999995E-3</v>
      </c>
      <c r="Q54" s="10">
        <v>19.100000000000001</v>
      </c>
      <c r="R54" s="10" t="s">
        <v>930</v>
      </c>
      <c r="S54" s="34">
        <f t="shared" si="8"/>
        <v>19.100000000000001</v>
      </c>
      <c r="T54" s="10" t="s">
        <v>955</v>
      </c>
      <c r="U54" s="34" t="str">
        <f t="shared" si="14"/>
        <v/>
      </c>
      <c r="V54" s="31" t="str">
        <f>IF(H54="CHK",VLOOKUP(I54,QCCHK,3,),IF(H54="GUP",VLOOKUP(E54,QCGUP,2,),IF(AND(H54="ATP",OR(I54="TN",I54="TDN",I54="TNO2-3",I54="NO2-3")),VLOOKUP(E54,QCREC_N,2,),IF(AND(H54="NIC",OR(I54="TN",I54="TDN",I54="TNO2-3",I54="NO2-3")),VLOOKUP(E54,QCNIC_N,2,),IF(AND(H54="UREA",OR(I54="TN",I54="TDN",I54="TNO2-3",I54="NO2-3")),VLOOKUP(E54,QCUREA_N,2,),IF(H54="PER",VLOOKUP(I54,QCPER,MATCH(E54,QCACTUAL!$J$25:$AA$25,0),),IF(H54="SPK",VLOOKUP(I54,QCSPK,3,),IF(AND(H54="ATP",OR(I54="TP",I54="TDP")),VLOOKUP(E54,QCATP_P,2,),""))))))))</f>
        <v/>
      </c>
      <c r="W54" s="31" t="str">
        <f t="shared" si="9"/>
        <v>TRUE</v>
      </c>
      <c r="X54" s="31" t="str">
        <f t="shared" si="10"/>
        <v/>
      </c>
      <c r="Y54" s="10" t="s">
        <v>951</v>
      </c>
      <c r="Z54" s="10"/>
      <c r="AL54" s="10" t="str">
        <f t="shared" si="11"/>
        <v>FALSE</v>
      </c>
      <c r="AM54" s="10" t="str">
        <f t="shared" si="11"/>
        <v>FALSE</v>
      </c>
      <c r="AN54" s="10" t="str">
        <f t="shared" si="11"/>
        <v>FALSE</v>
      </c>
      <c r="AO54" s="10" t="str">
        <f t="shared" si="12"/>
        <v>FALSE</v>
      </c>
      <c r="AP54" s="10" t="str">
        <f t="shared" si="12"/>
        <v>FALSE</v>
      </c>
      <c r="AQ54" s="10" t="b">
        <f>IF(AND(I54="TP",S54&lt;=150),VLOOKUP(AF54,TPCalibEq150!$AZ$2:$BB$166,3,),IF(AND(I54="TDP",S54&lt;=150),VLOOKUP(AF54,TPCalibEq150!$AZ$2:$BB$166,3,)))</f>
        <v>0</v>
      </c>
      <c r="AR54" s="10" t="b">
        <f>IF(AND(I54="TP",S54&lt;=300),VLOOKUP(AF54,TPCalibEq300!$AZ$2:$BB$166,3,),IF(AND(I54="TDP",S54&lt;=300),VLOOKUP(AF54,TPCalibEq300!$AZ$2:$BB$166,3,)))</f>
        <v>0</v>
      </c>
      <c r="AS54" s="10" t="b">
        <f>IF(AND(I54="TP",S54&lt;=500),VLOOKUP(AF54,TPCalibEq500!$AZ$2:$BB$165,3,),IF(AND(I54="TDP",S54&lt;=500),VLOOKUP(AF54,TPCalibEq500!$AZ$2:$BB$165,3,)))</f>
        <v>0</v>
      </c>
      <c r="AT54" s="10" t="b">
        <f>IF(AND(I54="TN",S54&lt;=2800),VLOOKUP(AF54,TNCalibEq2500!$AZ$2:$BB$165,3,),IF(AND(I54="TDN",S54&lt;=2800),VLOOKUP(AF54,TNCalibEq2500!$AZ$2:$BB$165,3,)))</f>
        <v>0</v>
      </c>
      <c r="AU54" s="10" t="b">
        <f>IF(I54="TP",VLOOKUP(AF54,TPCalibEqFull!$AZ$2:$BB$165,3),IF(I54="TDP",VLOOKUP(AF54,TPCalibEqFull!$AZ$2:$BB$165,3),IF(I54="TDN",VLOOKUP(AF54,TNCalibEqFull!$AZ$2:$BB$164,3),IF(I54="TN",VLOOKUP(AF54,TNCalibEqFull!$AZ$2:$BB$164,3),FALSE))))</f>
        <v>0</v>
      </c>
      <c r="AV54" s="10" t="str">
        <f t="shared" si="13"/>
        <v>20240727 00:00:00-1000-4-Dp-1-SW-UKN</v>
      </c>
    </row>
    <row r="55" spans="1:48" x14ac:dyDescent="0.3">
      <c r="A55" s="32">
        <v>45507</v>
      </c>
      <c r="B55" s="33">
        <v>0</v>
      </c>
      <c r="C55" s="10">
        <v>1000</v>
      </c>
      <c r="D55" s="10">
        <v>9</v>
      </c>
      <c r="E55" s="10" t="s">
        <v>953</v>
      </c>
      <c r="F55" s="10">
        <v>1</v>
      </c>
      <c r="G55" s="10" t="s">
        <v>72</v>
      </c>
      <c r="H55" s="10" t="s">
        <v>239</v>
      </c>
      <c r="I55" s="10" t="s">
        <v>283</v>
      </c>
      <c r="J55" s="10">
        <v>16</v>
      </c>
      <c r="K55" s="12">
        <v>45687</v>
      </c>
      <c r="L55" s="33">
        <v>0.48481481481481481</v>
      </c>
      <c r="M55" s="10">
        <v>1</v>
      </c>
      <c r="N55" s="10" t="s">
        <v>209</v>
      </c>
      <c r="O55" s="10">
        <v>1.5699999999999999E-2</v>
      </c>
      <c r="P55" s="10">
        <v>6.7699999999999998E-4</v>
      </c>
      <c r="Q55" s="10">
        <v>6.48</v>
      </c>
      <c r="R55" s="10" t="s">
        <v>930</v>
      </c>
      <c r="S55" s="34">
        <f t="shared" si="8"/>
        <v>6.48</v>
      </c>
      <c r="T55" s="10" t="s">
        <v>955</v>
      </c>
      <c r="U55" s="34" t="str">
        <f t="shared" si="14"/>
        <v/>
      </c>
      <c r="V55" s="31" t="str">
        <f>IF(H55="CHK",VLOOKUP(I55,QCCHK,3,),IF(H55="GUP",VLOOKUP(E55,QCGUP,2,),IF(AND(H55="ATP",OR(I55="TN",I55="TDN",I55="TNO2-3",I55="NO2-3")),VLOOKUP(E55,QCREC_N,2,),IF(AND(H55="NIC",OR(I55="TN",I55="TDN",I55="TNO2-3",I55="NO2-3")),VLOOKUP(E55,QCNIC_N,2,),IF(AND(H55="UREA",OR(I55="TN",I55="TDN",I55="TNO2-3",I55="NO2-3")),VLOOKUP(E55,QCUREA_N,2,),IF(H55="PER",VLOOKUP(I55,QCPER,MATCH(E55,QCACTUAL!$J$25:$AA$25,0),),IF(H55="SPK",VLOOKUP(I55,QCSPK,3,),IF(AND(H55="ATP",OR(I55="TP",I55="TDP")),VLOOKUP(E55,QCATP_P,2,),""))))))))</f>
        <v/>
      </c>
      <c r="W55" s="31" t="str">
        <f t="shared" si="9"/>
        <v>TRUE</v>
      </c>
      <c r="X55" s="31" t="str">
        <f t="shared" si="10"/>
        <v/>
      </c>
      <c r="Y55" s="10" t="s">
        <v>951</v>
      </c>
      <c r="Z55" s="10"/>
      <c r="AL55" s="10" t="str">
        <f t="shared" si="11"/>
        <v>FALSE</v>
      </c>
      <c r="AM55" s="10" t="str">
        <f t="shared" si="11"/>
        <v>FALSE</v>
      </c>
      <c r="AN55" s="10" t="str">
        <f t="shared" si="11"/>
        <v>FALSE</v>
      </c>
      <c r="AO55" s="10" t="str">
        <f t="shared" si="12"/>
        <v>FALSE</v>
      </c>
      <c r="AP55" s="10" t="str">
        <f t="shared" si="12"/>
        <v>FALSE</v>
      </c>
      <c r="AQ55" s="10" t="b">
        <f>IF(AND(I55="TP",S55&lt;=150),VLOOKUP(AF55,TPCalibEq150!$AZ$2:$BB$166,3,),IF(AND(I55="TDP",S55&lt;=150),VLOOKUP(AF55,TPCalibEq150!$AZ$2:$BB$166,3,)))</f>
        <v>0</v>
      </c>
      <c r="AR55" s="10" t="b">
        <f>IF(AND(I55="TP",S55&lt;=300),VLOOKUP(AF55,TPCalibEq300!$AZ$2:$BB$166,3,),IF(AND(I55="TDP",S55&lt;=300),VLOOKUP(AF55,TPCalibEq300!$AZ$2:$BB$166,3,)))</f>
        <v>0</v>
      </c>
      <c r="AS55" s="10" t="b">
        <f>IF(AND(I55="TP",S55&lt;=500),VLOOKUP(AF55,TPCalibEq500!$AZ$2:$BB$165,3,),IF(AND(I55="TDP",S55&lt;=500),VLOOKUP(AF55,TPCalibEq500!$AZ$2:$BB$165,3,)))</f>
        <v>0</v>
      </c>
      <c r="AT55" s="10" t="b">
        <f>IF(AND(I55="TN",S55&lt;=2800),VLOOKUP(AF55,TNCalibEq2500!$AZ$2:$BB$165,3,),IF(AND(I55="TDN",S55&lt;=2800),VLOOKUP(AF55,TNCalibEq2500!$AZ$2:$BB$165,3,)))</f>
        <v>0</v>
      </c>
      <c r="AU55" s="10" t="b">
        <f>IF(I55="TP",VLOOKUP(AF55,TPCalibEqFull!$AZ$2:$BB$165,3),IF(I55="TDP",VLOOKUP(AF55,TPCalibEqFull!$AZ$2:$BB$165,3),IF(I55="TDN",VLOOKUP(AF55,TNCalibEqFull!$AZ$2:$BB$164,3),IF(I55="TN",VLOOKUP(AF55,TNCalibEqFull!$AZ$2:$BB$164,3),FALSE))))</f>
        <v>0</v>
      </c>
      <c r="AV55" s="10" t="str">
        <f t="shared" si="13"/>
        <v>20240803 00:00:00-1000-9-Sh-1-DI-BLK</v>
      </c>
    </row>
    <row r="56" spans="1:48" x14ac:dyDescent="0.3">
      <c r="A56" s="32">
        <v>45507</v>
      </c>
      <c r="B56" s="33">
        <v>0</v>
      </c>
      <c r="C56" s="10">
        <v>1000</v>
      </c>
      <c r="D56" s="10">
        <v>9</v>
      </c>
      <c r="E56" s="10" t="s">
        <v>953</v>
      </c>
      <c r="F56" s="10">
        <v>1</v>
      </c>
      <c r="G56" s="10" t="s">
        <v>229</v>
      </c>
      <c r="H56" s="10" t="s">
        <v>320</v>
      </c>
      <c r="I56" s="10" t="s">
        <v>283</v>
      </c>
      <c r="J56" s="10">
        <v>17</v>
      </c>
      <c r="K56" s="12">
        <v>45687</v>
      </c>
      <c r="L56" s="33">
        <v>0.48562499999999997</v>
      </c>
      <c r="M56" s="10">
        <v>1</v>
      </c>
      <c r="N56" s="10" t="s">
        <v>209</v>
      </c>
      <c r="O56" s="10">
        <v>8.1699999999999995E-2</v>
      </c>
      <c r="P56" s="10">
        <v>8.9200000000000008E-3</v>
      </c>
      <c r="Q56" s="10">
        <v>19.5</v>
      </c>
      <c r="R56" s="10" t="s">
        <v>930</v>
      </c>
      <c r="S56" s="34">
        <f t="shared" ref="S56:S75" si="15">IF(OR(AND(I56&lt;&gt;"TP", I56&lt;&gt;"TDP",I56&lt;&gt;"TN", I56&lt;&gt;"TDN"),H56="CAL"), Q56*M56, IF(OR(AND(I56="TN", Q56&gt;2500), AND(I56="TDN", Q56&gt;2500)),MAX(Q56, AK56)*M56, IF(OR(AND(I56="TN", Q56&lt;=2500), AND(I56="TDN", Q56&lt;=2500)),MAX(Q56, AJ56,AK56)*M56, IF(OR(AND(I56="TP",Q56&gt;500), AND(I56="TDP", Q56&gt;500)),MAX(Q56,AK56)*M56,IF(OR(AND(I56="TP",Q56&lt;=150), AND(I56="TDP", Q56&lt;=150)),MAX(Q56,AG56:AI56,AK56)*M56,IF(OR(AND(I56="TP",Q56&lt;=300), AND(I56="TDP", Q56&lt;=300)),MAX(Q56,AH56,AI56,AK56)*M56,IF(OR(AND(I56="TP",Q56&lt;=500), AND(I56="TDP", Q56&lt;=500)),MAX(Q56,AI56,AK56)*M56,"")))))))</f>
        <v>19.5</v>
      </c>
      <c r="T56" s="10" t="s">
        <v>955</v>
      </c>
      <c r="U56" s="34" t="str">
        <f t="shared" ref="U56:U75" si="16">IF(OR(H56="CHK",H56="ATP",H56="GUP",H56="PER", H56="NIC", H56="UREA"),(S56/V56*100),IF(H56="DUP",((ABS(S56-S55))/((S55+S56)/2))*100,IF(H56="SPK",((S56-S55)/V56*100),IF(OR(H56="LAB",H56="FLD",H56="ESF"),S56,""))))</f>
        <v/>
      </c>
      <c r="V56" s="31" t="str">
        <f>IF(H56="CHK",VLOOKUP(I56,QCCHK,3,),IF(H56="GUP",VLOOKUP(E56,QCGUP,2,),IF(AND(H56="ATP",OR(I56="TN",I56="TDN",I56="TNO2-3",I56="NO2-3")),VLOOKUP(E56,QCREC_N,2,),IF(AND(H56="NIC",OR(I56="TN",I56="TDN",I56="TNO2-3",I56="NO2-3")),VLOOKUP(E56,QCNIC_N,2,),IF(AND(H56="UREA",OR(I56="TN",I56="TDN",I56="TNO2-3",I56="NO2-3")),VLOOKUP(E56,QCUREA_N,2,),IF(H56="PER",VLOOKUP(I56,QCPER,MATCH(E56,QCACTUAL!$J$25:$AA$25,0),),IF(H56="SPK",VLOOKUP(I56,QCSPK,3,),IF(AND(H56="ATP",OR(I56="TP",I56="TDP")),VLOOKUP(E56,QCATP_P,2,),""))))))))</f>
        <v/>
      </c>
      <c r="W56" s="31" t="str">
        <f t="shared" ref="W56:W75" si="17">IF(AND(OR(H56="PER",H56="ATP",H56="GUP",H56="CHK",H56="SPK", H56="NIC"),OR(U56&gt;125,U56&lt;75)),"FALSE",IF(AND(H56="DUP",OR(U56&gt;25, U56&lt;-25)),"FALSE",IF(AND(OR(H56="LAB",H56="FLD",H56="ESF"),U56&gt;15),"FALSE","TRUE")))</f>
        <v>TRUE</v>
      </c>
      <c r="X56" s="31" t="str">
        <f t="shared" ref="X56:X75" si="18">IF(ISNA(VLOOKUP(H56,QCEQUATIONS,2,)),"",(VLOOKUP(H56,QCEQUATIONS,2,)))</f>
        <v/>
      </c>
      <c r="Y56" s="10" t="s">
        <v>951</v>
      </c>
      <c r="Z56" s="10"/>
      <c r="AL56" s="10" t="str">
        <f t="shared" si="11"/>
        <v>FALSE</v>
      </c>
      <c r="AM56" s="10" t="str">
        <f t="shared" si="11"/>
        <v>FALSE</v>
      </c>
      <c r="AN56" s="10" t="str">
        <f t="shared" si="11"/>
        <v>FALSE</v>
      </c>
      <c r="AO56" s="10" t="str">
        <f t="shared" si="12"/>
        <v>FALSE</v>
      </c>
      <c r="AP56" s="10" t="str">
        <f t="shared" si="12"/>
        <v>FALSE</v>
      </c>
      <c r="AQ56" s="10" t="b">
        <f>IF(AND(I56="TP",S56&lt;=150),VLOOKUP(AF56,TPCalibEq150!$AZ$2:$BB$166,3,),IF(AND(I56="TDP",S56&lt;=150),VLOOKUP(AF56,TPCalibEq150!$AZ$2:$BB$166,3,)))</f>
        <v>0</v>
      </c>
      <c r="AR56" s="10" t="b">
        <f>IF(AND(I56="TP",S56&lt;=300),VLOOKUP(AF56,TPCalibEq300!$AZ$2:$BB$166,3,),IF(AND(I56="TDP",S56&lt;=300),VLOOKUP(AF56,TPCalibEq300!$AZ$2:$BB$166,3,)))</f>
        <v>0</v>
      </c>
      <c r="AS56" s="10" t="b">
        <f>IF(AND(I56="TP",S56&lt;=500),VLOOKUP(AF56,TPCalibEq500!$AZ$2:$BB$165,3,),IF(AND(I56="TDP",S56&lt;=500),VLOOKUP(AF56,TPCalibEq500!$AZ$2:$BB$165,3,)))</f>
        <v>0</v>
      </c>
      <c r="AT56" s="10" t="b">
        <f>IF(AND(I56="TN",S56&lt;=2800),VLOOKUP(AF56,TNCalibEq2500!$AZ$2:$BB$165,3,),IF(AND(I56="TDN",S56&lt;=2800),VLOOKUP(AF56,TNCalibEq2500!$AZ$2:$BB$165,3,)))</f>
        <v>0</v>
      </c>
      <c r="AU56" s="10" t="b">
        <f>IF(I56="TP",VLOOKUP(AF56,TPCalibEqFull!$AZ$2:$BB$165,3),IF(I56="TDP",VLOOKUP(AF56,TPCalibEqFull!$AZ$2:$BB$165,3),IF(I56="TDN",VLOOKUP(AF56,TNCalibEqFull!$AZ$2:$BB$164,3),IF(I56="TN",VLOOKUP(AF56,TNCalibEqFull!$AZ$2:$BB$164,3),FALSE))))</f>
        <v>0</v>
      </c>
      <c r="AV56" s="10" t="str">
        <f t="shared" si="13"/>
        <v>20240803 00:00:00-1000-9-Sh-1-SW-UKN</v>
      </c>
    </row>
    <row r="57" spans="1:48" x14ac:dyDescent="0.3">
      <c r="A57" s="32">
        <v>45507</v>
      </c>
      <c r="B57" s="33">
        <v>0</v>
      </c>
      <c r="C57" s="10">
        <v>1000</v>
      </c>
      <c r="D57" s="10">
        <v>9</v>
      </c>
      <c r="E57" s="10" t="s">
        <v>954</v>
      </c>
      <c r="F57" s="10">
        <v>1</v>
      </c>
      <c r="G57" s="10" t="s">
        <v>229</v>
      </c>
      <c r="H57" s="10" t="s">
        <v>320</v>
      </c>
      <c r="I57" s="10" t="s">
        <v>283</v>
      </c>
      <c r="J57" s="10">
        <v>18</v>
      </c>
      <c r="K57" s="12">
        <v>45687</v>
      </c>
      <c r="L57" s="33">
        <v>0.49444444444444446</v>
      </c>
      <c r="M57" s="10">
        <v>1</v>
      </c>
      <c r="N57" s="10" t="s">
        <v>209</v>
      </c>
      <c r="O57" s="10">
        <v>7.7600000000000002E-2</v>
      </c>
      <c r="P57" s="10">
        <v>8.3599999999999994E-3</v>
      </c>
      <c r="Q57" s="10">
        <v>18.7</v>
      </c>
      <c r="R57" s="10" t="s">
        <v>930</v>
      </c>
      <c r="S57" s="34">
        <f t="shared" si="15"/>
        <v>18.7</v>
      </c>
      <c r="T57" s="10" t="s">
        <v>955</v>
      </c>
      <c r="U57" s="34" t="str">
        <f>IF(OR(H57="CHK",H57="ATP",H57="GUP",H57="PER", H57="NIC", H57="UREA"),(S57/V57*100),IF(H57="DUP",((ABS(S57-#REF!))/((#REF!+S57)/2))*100,IF(H57="SPK",((S57-#REF!)/V57*100),IF(OR(H57="LAB",H57="FLD",H57="ESF"),S57,""))))</f>
        <v/>
      </c>
      <c r="V57" s="31" t="str">
        <f>IF(H57="CHK",VLOOKUP(I57,QCCHK,3,),IF(H57="GUP",VLOOKUP(E57,QCGUP,2,),IF(AND(H57="ATP",OR(I57="TN",I57="TDN",I57="TNO2-3",I57="NO2-3")),VLOOKUP(E57,QCREC_N,2,),IF(AND(H57="NIC",OR(I57="TN",I57="TDN",I57="TNO2-3",I57="NO2-3")),VLOOKUP(E57,QCNIC_N,2,),IF(AND(H57="UREA",OR(I57="TN",I57="TDN",I57="TNO2-3",I57="NO2-3")),VLOOKUP(E57,QCUREA_N,2,),IF(H57="PER",VLOOKUP(I57,QCPER,MATCH(E57,QCACTUAL!$J$25:$AA$25,0),),IF(H57="SPK",VLOOKUP(I57,QCSPK,3,),IF(AND(H57="ATP",OR(I57="TP",I57="TDP")),VLOOKUP(E57,QCATP_P,2,),""))))))))</f>
        <v/>
      </c>
      <c r="W57" s="31" t="str">
        <f t="shared" si="17"/>
        <v>TRUE</v>
      </c>
      <c r="X57" s="31" t="str">
        <f t="shared" si="18"/>
        <v/>
      </c>
      <c r="Y57" s="10" t="s">
        <v>951</v>
      </c>
      <c r="Z57" s="10"/>
      <c r="AL57" s="10" t="str">
        <f t="shared" ref="AL57:AN75" si="19">IF($O57="", "", IF(AQ57&lt;&gt;"", SUBSTITUTE(SUBSTITUTE(AQ57, "x", "*"&amp;$O57&amp;"^", 1), "x", "*"&amp;$O57, 1), ""))</f>
        <v>FALSE</v>
      </c>
      <c r="AM57" s="10" t="str">
        <f t="shared" si="19"/>
        <v>FALSE</v>
      </c>
      <c r="AN57" s="10" t="str">
        <f t="shared" si="19"/>
        <v>FALSE</v>
      </c>
      <c r="AO57" s="10" t="str">
        <f t="shared" ref="AO57:AP75" si="20">IF($O57="", "FALSE", IF(AT57&lt;&gt;"FALSE", SUBSTITUTE(SUBSTITUTE(AT57, "x", "*"&amp;$O57&amp;"^", 1), "x", "*"&amp;$O57, 1), ""))</f>
        <v>FALSE</v>
      </c>
      <c r="AP57" s="10" t="str">
        <f t="shared" si="20"/>
        <v>FALSE</v>
      </c>
      <c r="AQ57" s="10" t="b">
        <f>IF(AND(I57="TP",S57&lt;=150),VLOOKUP(AF57,TPCalibEq150!$AZ$2:$BB$166,3,),IF(AND(I57="TDP",S57&lt;=150),VLOOKUP(AF57,TPCalibEq150!$AZ$2:$BB$166,3,)))</f>
        <v>0</v>
      </c>
      <c r="AR57" s="10" t="b">
        <f>IF(AND(I57="TP",S57&lt;=300),VLOOKUP(AF57,TPCalibEq300!$AZ$2:$BB$166,3,),IF(AND(I57="TDP",S57&lt;=300),VLOOKUP(AF57,TPCalibEq300!$AZ$2:$BB$166,3,)))</f>
        <v>0</v>
      </c>
      <c r="AS57" s="10" t="b">
        <f>IF(AND(I57="TP",S57&lt;=500),VLOOKUP(AF57,TPCalibEq500!$AZ$2:$BB$165,3,),IF(AND(I57="TDP",S57&lt;=500),VLOOKUP(AF57,TPCalibEq500!$AZ$2:$BB$165,3,)))</f>
        <v>0</v>
      </c>
      <c r="AT57" s="10" t="b">
        <f>IF(AND(I57="TN",S57&lt;=2800),VLOOKUP(AF57,TNCalibEq2500!$AZ$2:$BB$165,3,),IF(AND(I57="TDN",S57&lt;=2800),VLOOKUP(AF57,TNCalibEq2500!$AZ$2:$BB$165,3,)))</f>
        <v>0</v>
      </c>
      <c r="AU57" s="10" t="b">
        <f>IF(I57="TP",VLOOKUP(AF57,TPCalibEqFull!$AZ$2:$BB$165,3),IF(I57="TDP",VLOOKUP(AF57,TPCalibEqFull!$AZ$2:$BB$165,3),IF(I57="TDN",VLOOKUP(AF57,TNCalibEqFull!$AZ$2:$BB$164,3),IF(I57="TN",VLOOKUP(AF57,TNCalibEqFull!$AZ$2:$BB$164,3),FALSE))))</f>
        <v>0</v>
      </c>
      <c r="AV57" s="10" t="str">
        <f t="shared" si="13"/>
        <v>20240803 00:00:00-1000-9-Dp-1-SW-UKN</v>
      </c>
    </row>
    <row r="58" spans="1:48" x14ac:dyDescent="0.3">
      <c r="A58" s="32">
        <v>45507</v>
      </c>
      <c r="B58" s="33">
        <v>0</v>
      </c>
      <c r="C58" s="10">
        <v>1000</v>
      </c>
      <c r="D58" s="10">
        <v>16</v>
      </c>
      <c r="E58" s="10" t="s">
        <v>954</v>
      </c>
      <c r="F58" s="10">
        <v>1</v>
      </c>
      <c r="G58" s="10" t="s">
        <v>72</v>
      </c>
      <c r="H58" s="10" t="s">
        <v>320</v>
      </c>
      <c r="I58" s="10" t="s">
        <v>283</v>
      </c>
      <c r="J58" s="10">
        <v>19</v>
      </c>
      <c r="K58" s="12">
        <v>45687</v>
      </c>
      <c r="L58" s="33">
        <v>0.4952893518518518</v>
      </c>
      <c r="M58" s="10">
        <v>1</v>
      </c>
      <c r="N58" s="10" t="s">
        <v>209</v>
      </c>
      <c r="O58" s="10">
        <v>0.223</v>
      </c>
      <c r="P58" s="10">
        <v>2.5100000000000001E-2</v>
      </c>
      <c r="Q58" s="10">
        <v>47.4</v>
      </c>
      <c r="R58" s="10" t="s">
        <v>930</v>
      </c>
      <c r="S58" s="34">
        <f t="shared" si="15"/>
        <v>47.4</v>
      </c>
      <c r="T58" s="10" t="s">
        <v>955</v>
      </c>
      <c r="U58" s="34" t="str">
        <f t="shared" si="16"/>
        <v/>
      </c>
      <c r="V58" s="31" t="str">
        <f>IF(H58="CHK",VLOOKUP(I58,QCCHK,3,),IF(H58="GUP",VLOOKUP(E58,QCGUP,2,),IF(AND(H58="ATP",OR(I58="TN",I58="TDN",I58="TNO2-3",I58="NO2-3")),VLOOKUP(E58,QCREC_N,2,),IF(AND(H58="NIC",OR(I58="TN",I58="TDN",I58="TNO2-3",I58="NO2-3")),VLOOKUP(E58,QCNIC_N,2,),IF(AND(H58="UREA",OR(I58="TN",I58="TDN",I58="TNO2-3",I58="NO2-3")),VLOOKUP(E58,QCUREA_N,2,),IF(H58="PER",VLOOKUP(I58,QCPER,MATCH(E58,QCACTUAL!$J$25:$AA$25,0),),IF(H58="SPK",VLOOKUP(I58,QCSPK,3,),IF(AND(H58="ATP",OR(I58="TP",I58="TDP")),VLOOKUP(E58,QCATP_P,2,),""))))))))</f>
        <v/>
      </c>
      <c r="W58" s="31" t="str">
        <f t="shared" si="17"/>
        <v>TRUE</v>
      </c>
      <c r="X58" s="31" t="str">
        <f t="shared" si="18"/>
        <v/>
      </c>
      <c r="Y58" s="10" t="s">
        <v>951</v>
      </c>
      <c r="Z58" s="10"/>
      <c r="AL58" s="10" t="str">
        <f t="shared" si="19"/>
        <v>FALSE</v>
      </c>
      <c r="AM58" s="10" t="str">
        <f t="shared" si="19"/>
        <v>FALSE</v>
      </c>
      <c r="AN58" s="10" t="str">
        <f t="shared" si="19"/>
        <v>FALSE</v>
      </c>
      <c r="AO58" s="10" t="str">
        <f t="shared" si="20"/>
        <v>FALSE</v>
      </c>
      <c r="AP58" s="10" t="str">
        <f t="shared" si="20"/>
        <v>FALSE</v>
      </c>
      <c r="AQ58" s="10" t="b">
        <f>IF(AND(I58="TP",S58&lt;=150),VLOOKUP(AF58,TPCalibEq150!$AZ$2:$BB$166,3,),IF(AND(I58="TDP",S58&lt;=150),VLOOKUP(AF58,TPCalibEq150!$AZ$2:$BB$166,3,)))</f>
        <v>0</v>
      </c>
      <c r="AR58" s="10" t="b">
        <f>IF(AND(I58="TP",S58&lt;=300),VLOOKUP(AF58,TPCalibEq300!$AZ$2:$BB$166,3,),IF(AND(I58="TDP",S58&lt;=300),VLOOKUP(AF58,TPCalibEq300!$AZ$2:$BB$166,3,)))</f>
        <v>0</v>
      </c>
      <c r="AS58" s="10" t="b">
        <f>IF(AND(I58="TP",S58&lt;=500),VLOOKUP(AF58,TPCalibEq500!$AZ$2:$BB$165,3,),IF(AND(I58="TDP",S58&lt;=500),VLOOKUP(AF58,TPCalibEq500!$AZ$2:$BB$165,3,)))</f>
        <v>0</v>
      </c>
      <c r="AT58" s="10" t="b">
        <f>IF(AND(I58="TN",S58&lt;=2800),VLOOKUP(AF58,TNCalibEq2500!$AZ$2:$BB$165,3,),IF(AND(I58="TDN",S58&lt;=2800),VLOOKUP(AF58,TNCalibEq2500!$AZ$2:$BB$165,3,)))</f>
        <v>0</v>
      </c>
      <c r="AU58" s="10" t="b">
        <f>IF(I58="TP",VLOOKUP(AF58,TPCalibEqFull!$AZ$2:$BB$165,3),IF(I58="TDP",VLOOKUP(AF58,TPCalibEqFull!$AZ$2:$BB$165,3),IF(I58="TDN",VLOOKUP(AF58,TNCalibEqFull!$AZ$2:$BB$164,3),IF(I58="TN",VLOOKUP(AF58,TNCalibEqFull!$AZ$2:$BB$164,3),FALSE))))</f>
        <v>0</v>
      </c>
      <c r="AV58" s="10" t="str">
        <f t="shared" si="13"/>
        <v>20240803 00:00:00-1000-16-Dp-1-DI-UKN</v>
      </c>
    </row>
    <row r="59" spans="1:48" x14ac:dyDescent="0.3">
      <c r="A59" s="32">
        <v>45507</v>
      </c>
      <c r="B59" s="33">
        <v>0</v>
      </c>
      <c r="C59" s="10">
        <v>1000</v>
      </c>
      <c r="D59" s="10">
        <v>16</v>
      </c>
      <c r="E59" s="10" t="s">
        <v>953</v>
      </c>
      <c r="F59" s="10">
        <v>1</v>
      </c>
      <c r="G59" s="10" t="s">
        <v>72</v>
      </c>
      <c r="H59" s="10" t="s">
        <v>239</v>
      </c>
      <c r="I59" s="10" t="s">
        <v>283</v>
      </c>
      <c r="J59" s="10">
        <v>20</v>
      </c>
      <c r="K59" s="12">
        <v>45687</v>
      </c>
      <c r="L59" s="33">
        <v>0.49607638888888889</v>
      </c>
      <c r="M59" s="10">
        <v>1</v>
      </c>
      <c r="N59" s="10" t="s">
        <v>209</v>
      </c>
      <c r="O59" s="10">
        <v>7.9200000000000001E-5</v>
      </c>
      <c r="P59" s="10">
        <v>1.02E-4</v>
      </c>
      <c r="Q59" s="10">
        <v>3.39</v>
      </c>
      <c r="R59" s="10" t="s">
        <v>930</v>
      </c>
      <c r="S59" s="34">
        <f t="shared" si="15"/>
        <v>3.39</v>
      </c>
      <c r="T59" s="10" t="s">
        <v>955</v>
      </c>
      <c r="U59" s="34" t="str">
        <f t="shared" si="16"/>
        <v/>
      </c>
      <c r="V59" s="31" t="str">
        <f>IF(H59="CHK",VLOOKUP(I59,QCCHK,3,),IF(H59="GUP",VLOOKUP(E59,QCGUP,2,),IF(AND(H59="ATP",OR(I59="TN",I59="TDN",I59="TNO2-3",I59="NO2-3")),VLOOKUP(E59,QCREC_N,2,),IF(AND(H59="NIC",OR(I59="TN",I59="TDN",I59="TNO2-3",I59="NO2-3")),VLOOKUP(E59,QCNIC_N,2,),IF(AND(H59="UREA",OR(I59="TN",I59="TDN",I59="TNO2-3",I59="NO2-3")),VLOOKUP(E59,QCUREA_N,2,),IF(H59="PER",VLOOKUP(I59,QCPER,MATCH(E59,QCACTUAL!$J$25:$AA$25,0),),IF(H59="SPK",VLOOKUP(I59,QCSPK,3,),IF(AND(H59="ATP",OR(I59="TP",I59="TDP")),VLOOKUP(E59,QCATP_P,2,),""))))))))</f>
        <v/>
      </c>
      <c r="W59" s="31" t="str">
        <f t="shared" si="17"/>
        <v>TRUE</v>
      </c>
      <c r="X59" s="31" t="str">
        <f t="shared" si="18"/>
        <v/>
      </c>
      <c r="Y59" s="10" t="s">
        <v>951</v>
      </c>
      <c r="Z59" s="10"/>
      <c r="AL59" s="10" t="str">
        <f t="shared" si="19"/>
        <v>FALSE</v>
      </c>
      <c r="AM59" s="10" t="str">
        <f t="shared" si="19"/>
        <v>FALSE</v>
      </c>
      <c r="AN59" s="10" t="str">
        <f t="shared" si="19"/>
        <v>FALSE</v>
      </c>
      <c r="AO59" s="10" t="str">
        <f t="shared" si="20"/>
        <v>FALSE</v>
      </c>
      <c r="AP59" s="10" t="str">
        <f t="shared" si="20"/>
        <v>FALSE</v>
      </c>
      <c r="AQ59" s="10" t="b">
        <f>IF(AND(I59="TP",S59&lt;=150),VLOOKUP(AF59,TPCalibEq150!$AZ$2:$BB$166,3,),IF(AND(I59="TDP",S59&lt;=150),VLOOKUP(AF59,TPCalibEq150!$AZ$2:$BB$166,3,)))</f>
        <v>0</v>
      </c>
      <c r="AR59" s="10" t="b">
        <f>IF(AND(I59="TP",S59&lt;=300),VLOOKUP(AF59,TPCalibEq300!$AZ$2:$BB$166,3,),IF(AND(I59="TDP",S59&lt;=300),VLOOKUP(AF59,TPCalibEq300!$AZ$2:$BB$166,3,)))</f>
        <v>0</v>
      </c>
      <c r="AS59" s="10" t="b">
        <f>IF(AND(I59="TP",S59&lt;=500),VLOOKUP(AF59,TPCalibEq500!$AZ$2:$BB$165,3,),IF(AND(I59="TDP",S59&lt;=500),VLOOKUP(AF59,TPCalibEq500!$AZ$2:$BB$165,3,)))</f>
        <v>0</v>
      </c>
      <c r="AT59" s="10" t="b">
        <f>IF(AND(I59="TN",S59&lt;=2800),VLOOKUP(AF59,TNCalibEq2500!$AZ$2:$BB$165,3,),IF(AND(I59="TDN",S59&lt;=2800),VLOOKUP(AF59,TNCalibEq2500!$AZ$2:$BB$165,3,)))</f>
        <v>0</v>
      </c>
      <c r="AU59" s="10" t="b">
        <f>IF(I59="TP",VLOOKUP(AF59,TPCalibEqFull!$AZ$2:$BB$165,3),IF(I59="TDP",VLOOKUP(AF59,TPCalibEqFull!$AZ$2:$BB$165,3),IF(I59="TDN",VLOOKUP(AF59,TNCalibEqFull!$AZ$2:$BB$164,3),IF(I59="TN",VLOOKUP(AF59,TNCalibEqFull!$AZ$2:$BB$164,3),FALSE))))</f>
        <v>0</v>
      </c>
      <c r="AV59" s="10" t="str">
        <f t="shared" si="13"/>
        <v>20240803 00:00:00-1000-16-Sh-1-DI-BLK</v>
      </c>
    </row>
    <row r="60" spans="1:48" x14ac:dyDescent="0.3">
      <c r="A60" s="32">
        <v>45507</v>
      </c>
      <c r="B60" s="33">
        <v>0</v>
      </c>
      <c r="C60" s="10">
        <v>1000</v>
      </c>
      <c r="D60" s="10">
        <v>16</v>
      </c>
      <c r="E60" s="10" t="s">
        <v>953</v>
      </c>
      <c r="F60" s="10">
        <v>1</v>
      </c>
      <c r="G60" s="10" t="s">
        <v>229</v>
      </c>
      <c r="H60" s="10" t="s">
        <v>320</v>
      </c>
      <c r="I60" s="10" t="s">
        <v>283</v>
      </c>
      <c r="J60" s="10">
        <v>21</v>
      </c>
      <c r="K60" s="12">
        <v>45687</v>
      </c>
      <c r="L60" s="33">
        <v>0.49692129629629633</v>
      </c>
      <c r="M60" s="10">
        <v>1</v>
      </c>
      <c r="N60" s="10" t="s">
        <v>209</v>
      </c>
      <c r="O60" s="10">
        <v>8.2799999999999999E-2</v>
      </c>
      <c r="P60" s="10">
        <v>8.8800000000000007E-3</v>
      </c>
      <c r="Q60" s="10">
        <v>19.7</v>
      </c>
      <c r="R60" s="10" t="s">
        <v>930</v>
      </c>
      <c r="S60" s="34">
        <f t="shared" si="15"/>
        <v>19.7</v>
      </c>
      <c r="T60" s="10" t="s">
        <v>955</v>
      </c>
      <c r="U60" s="34" t="str">
        <f t="shared" si="16"/>
        <v/>
      </c>
      <c r="V60" s="31" t="str">
        <f>IF(H60="CHK",VLOOKUP(I60,QCCHK,3,),IF(H60="GUP",VLOOKUP(E60,QCGUP,2,),IF(AND(H60="ATP",OR(I60="TN",I60="TDN",I60="TNO2-3",I60="NO2-3")),VLOOKUP(E60,QCREC_N,2,),IF(AND(H60="NIC",OR(I60="TN",I60="TDN",I60="TNO2-3",I60="NO2-3")),VLOOKUP(E60,QCNIC_N,2,),IF(AND(H60="UREA",OR(I60="TN",I60="TDN",I60="TNO2-3",I60="NO2-3")),VLOOKUP(E60,QCUREA_N,2,),IF(H60="PER",VLOOKUP(I60,QCPER,MATCH(E60,QCACTUAL!$J$25:$AA$25,0),),IF(H60="SPK",VLOOKUP(I60,QCSPK,3,),IF(AND(H60="ATP",OR(I60="TP",I60="TDP")),VLOOKUP(E60,QCATP_P,2,),""))))))))</f>
        <v/>
      </c>
      <c r="W60" s="31" t="str">
        <f t="shared" si="17"/>
        <v>TRUE</v>
      </c>
      <c r="X60" s="31" t="str">
        <f t="shared" si="18"/>
        <v/>
      </c>
      <c r="Y60" s="10" t="s">
        <v>951</v>
      </c>
      <c r="Z60" s="10"/>
      <c r="AL60" s="10" t="str">
        <f t="shared" si="19"/>
        <v>FALSE</v>
      </c>
      <c r="AM60" s="10" t="str">
        <f t="shared" si="19"/>
        <v>FALSE</v>
      </c>
      <c r="AN60" s="10" t="str">
        <f t="shared" si="19"/>
        <v>FALSE</v>
      </c>
      <c r="AO60" s="10" t="str">
        <f t="shared" si="20"/>
        <v>FALSE</v>
      </c>
      <c r="AP60" s="10" t="str">
        <f t="shared" si="20"/>
        <v>FALSE</v>
      </c>
      <c r="AQ60" s="10" t="b">
        <f>IF(AND(I60="TP",S60&lt;=150),VLOOKUP(AF60,TPCalibEq150!$AZ$2:$BB$166,3,),IF(AND(I60="TDP",S60&lt;=150),VLOOKUP(AF60,TPCalibEq150!$AZ$2:$BB$166,3,)))</f>
        <v>0</v>
      </c>
      <c r="AR60" s="10" t="b">
        <f>IF(AND(I60="TP",S60&lt;=300),VLOOKUP(AF60,TPCalibEq300!$AZ$2:$BB$166,3,),IF(AND(I60="TDP",S60&lt;=300),VLOOKUP(AF60,TPCalibEq300!$AZ$2:$BB$166,3,)))</f>
        <v>0</v>
      </c>
      <c r="AS60" s="10" t="b">
        <f>IF(AND(I60="TP",S60&lt;=500),VLOOKUP(AF60,TPCalibEq500!$AZ$2:$BB$165,3,),IF(AND(I60="TDP",S60&lt;=500),VLOOKUP(AF60,TPCalibEq500!$AZ$2:$BB$165,3,)))</f>
        <v>0</v>
      </c>
      <c r="AT60" s="10" t="b">
        <f>IF(AND(I60="TN",S60&lt;=2800),VLOOKUP(AF60,TNCalibEq2500!$AZ$2:$BB$165,3,),IF(AND(I60="TDN",S60&lt;=2800),VLOOKUP(AF60,TNCalibEq2500!$AZ$2:$BB$165,3,)))</f>
        <v>0</v>
      </c>
      <c r="AU60" s="10" t="b">
        <f>IF(I60="TP",VLOOKUP(AF60,TPCalibEqFull!$AZ$2:$BB$165,3),IF(I60="TDP",VLOOKUP(AF60,TPCalibEqFull!$AZ$2:$BB$165,3),IF(I60="TDN",VLOOKUP(AF60,TNCalibEqFull!$AZ$2:$BB$164,3),IF(I60="TN",VLOOKUP(AF60,TNCalibEqFull!$AZ$2:$BB$164,3),FALSE))))</f>
        <v>0</v>
      </c>
      <c r="AV60" s="10" t="str">
        <f t="shared" si="13"/>
        <v>20240803 00:00:00-1000-16-Sh-1-SW-UKN</v>
      </c>
    </row>
    <row r="61" spans="1:48" x14ac:dyDescent="0.3">
      <c r="A61" s="32">
        <v>45507</v>
      </c>
      <c r="B61" s="33">
        <v>0</v>
      </c>
      <c r="C61" s="10">
        <v>1000</v>
      </c>
      <c r="D61" s="10">
        <v>16</v>
      </c>
      <c r="E61" s="10" t="s">
        <v>953</v>
      </c>
      <c r="F61" s="10">
        <v>2</v>
      </c>
      <c r="G61" s="10" t="s">
        <v>229</v>
      </c>
      <c r="H61" s="10" t="s">
        <v>320</v>
      </c>
      <c r="I61" s="10" t="s">
        <v>283</v>
      </c>
      <c r="J61" s="10">
        <v>22</v>
      </c>
      <c r="K61" s="12">
        <v>45687</v>
      </c>
      <c r="L61" s="33">
        <v>0.4977314814814815</v>
      </c>
      <c r="M61" s="10">
        <v>1</v>
      </c>
      <c r="N61" s="10" t="s">
        <v>209</v>
      </c>
      <c r="O61" s="10">
        <v>8.1799999999999998E-2</v>
      </c>
      <c r="P61" s="10">
        <v>8.8699999999999994E-3</v>
      </c>
      <c r="Q61" s="10">
        <v>19.5</v>
      </c>
      <c r="R61" s="10" t="s">
        <v>930</v>
      </c>
      <c r="S61" s="34">
        <f t="shared" si="15"/>
        <v>19.5</v>
      </c>
      <c r="T61" s="10" t="s">
        <v>955</v>
      </c>
      <c r="U61" s="34" t="str">
        <f t="shared" si="16"/>
        <v/>
      </c>
      <c r="V61" s="31" t="str">
        <f>IF(H61="CHK",VLOOKUP(I61,QCCHK,3,),IF(H61="GUP",VLOOKUP(E61,QCGUP,2,),IF(AND(H61="ATP",OR(I61="TN",I61="TDN",I61="TNO2-3",I61="NO2-3")),VLOOKUP(E61,QCREC_N,2,),IF(AND(H61="NIC",OR(I61="TN",I61="TDN",I61="TNO2-3",I61="NO2-3")),VLOOKUP(E61,QCNIC_N,2,),IF(AND(H61="UREA",OR(I61="TN",I61="TDN",I61="TNO2-3",I61="NO2-3")),VLOOKUP(E61,QCUREA_N,2,),IF(H61="PER",VLOOKUP(I61,QCPER,MATCH(E61,QCACTUAL!$J$25:$AA$25,0),),IF(H61="SPK",VLOOKUP(I61,QCSPK,3,),IF(AND(H61="ATP",OR(I61="TP",I61="TDP")),VLOOKUP(E61,QCATP_P,2,),""))))))))</f>
        <v/>
      </c>
      <c r="W61" s="31" t="str">
        <f t="shared" si="17"/>
        <v>TRUE</v>
      </c>
      <c r="X61" s="31" t="str">
        <f t="shared" si="18"/>
        <v/>
      </c>
      <c r="Y61" s="10" t="s">
        <v>951</v>
      </c>
      <c r="Z61" s="10"/>
      <c r="AL61" s="10" t="str">
        <f t="shared" si="19"/>
        <v>FALSE</v>
      </c>
      <c r="AM61" s="10" t="str">
        <f t="shared" si="19"/>
        <v>FALSE</v>
      </c>
      <c r="AN61" s="10" t="str">
        <f t="shared" si="19"/>
        <v>FALSE</v>
      </c>
      <c r="AO61" s="10" t="str">
        <f t="shared" si="20"/>
        <v>FALSE</v>
      </c>
      <c r="AP61" s="10" t="str">
        <f t="shared" si="20"/>
        <v>FALSE</v>
      </c>
      <c r="AQ61" s="10" t="b">
        <f>IF(AND(I61="TP",S61&lt;=150),VLOOKUP(AF61,TPCalibEq150!$AZ$2:$BB$166,3,),IF(AND(I61="TDP",S61&lt;=150),VLOOKUP(AF61,TPCalibEq150!$AZ$2:$BB$166,3,)))</f>
        <v>0</v>
      </c>
      <c r="AR61" s="10" t="b">
        <f>IF(AND(I61="TP",S61&lt;=300),VLOOKUP(AF61,TPCalibEq300!$AZ$2:$BB$166,3,),IF(AND(I61="TDP",S61&lt;=300),VLOOKUP(AF61,TPCalibEq300!$AZ$2:$BB$166,3,)))</f>
        <v>0</v>
      </c>
      <c r="AS61" s="10" t="b">
        <f>IF(AND(I61="TP",S61&lt;=500),VLOOKUP(AF61,TPCalibEq500!$AZ$2:$BB$165,3,),IF(AND(I61="TDP",S61&lt;=500),VLOOKUP(AF61,TPCalibEq500!$AZ$2:$BB$165,3,)))</f>
        <v>0</v>
      </c>
      <c r="AT61" s="10" t="b">
        <f>IF(AND(I61="TN",S61&lt;=2800),VLOOKUP(AF61,TNCalibEq2500!$AZ$2:$BB$165,3,),IF(AND(I61="TDN",S61&lt;=2800),VLOOKUP(AF61,TNCalibEq2500!$AZ$2:$BB$165,3,)))</f>
        <v>0</v>
      </c>
      <c r="AU61" s="10" t="b">
        <f>IF(I61="TP",VLOOKUP(AF61,TPCalibEqFull!$AZ$2:$BB$165,3),IF(I61="TDP",VLOOKUP(AF61,TPCalibEqFull!$AZ$2:$BB$165,3),IF(I61="TDN",VLOOKUP(AF61,TNCalibEqFull!$AZ$2:$BB$164,3),IF(I61="TN",VLOOKUP(AF61,TNCalibEqFull!$AZ$2:$BB$164,3),FALSE))))</f>
        <v>0</v>
      </c>
      <c r="AV61" s="10" t="str">
        <f t="shared" si="13"/>
        <v>20240803 00:00:00-1000-16-Sh-2-SW-UKN</v>
      </c>
    </row>
    <row r="62" spans="1:48" x14ac:dyDescent="0.3">
      <c r="A62" s="32">
        <v>45507</v>
      </c>
      <c r="B62" s="33">
        <v>0</v>
      </c>
      <c r="C62" s="10">
        <v>1000</v>
      </c>
      <c r="D62" s="10">
        <v>16</v>
      </c>
      <c r="E62" s="10" t="s">
        <v>953</v>
      </c>
      <c r="F62" s="10">
        <v>2</v>
      </c>
      <c r="G62" s="10" t="s">
        <v>229</v>
      </c>
      <c r="H62" s="10" t="s">
        <v>231</v>
      </c>
      <c r="I62" s="10" t="s">
        <v>283</v>
      </c>
      <c r="J62" s="10">
        <v>22</v>
      </c>
      <c r="K62" s="12">
        <v>45687</v>
      </c>
      <c r="L62" s="33">
        <v>0.49855324074074076</v>
      </c>
      <c r="M62" s="10">
        <v>1</v>
      </c>
      <c r="N62" s="10" t="s">
        <v>209</v>
      </c>
      <c r="O62" s="10">
        <v>7.6100000000000001E-2</v>
      </c>
      <c r="P62" s="10">
        <v>8.8199999999999997E-3</v>
      </c>
      <c r="Q62" s="10">
        <v>18.399999999999999</v>
      </c>
      <c r="R62" s="10" t="s">
        <v>930</v>
      </c>
      <c r="S62" s="34">
        <f t="shared" si="15"/>
        <v>18.399999999999999</v>
      </c>
      <c r="T62" s="10" t="s">
        <v>955</v>
      </c>
      <c r="U62" s="34">
        <f t="shared" si="16"/>
        <v>5.8047493403694004</v>
      </c>
      <c r="V62" s="31" t="str">
        <f>IF(H62="CHK",VLOOKUP(I62,QCCHK,3,),IF(H62="GUP",VLOOKUP(E62,QCGUP,2,),IF(AND(H62="ATP",OR(I62="TN",I62="TDN",I62="TNO2-3",I62="NO2-3")),VLOOKUP(E62,QCREC_N,2,),IF(AND(H62="NIC",OR(I62="TN",I62="TDN",I62="TNO2-3",I62="NO2-3")),VLOOKUP(E62,QCNIC_N,2,),IF(AND(H62="UREA",OR(I62="TN",I62="TDN",I62="TNO2-3",I62="NO2-3")),VLOOKUP(E62,QCUREA_N,2,),IF(H62="PER",VLOOKUP(I62,QCPER,MATCH(E62,QCACTUAL!$J$25:$AA$25,0),),IF(H62="SPK",VLOOKUP(I62,QCSPK,3,),IF(AND(H62="ATP",OR(I62="TP",I62="TDP")),VLOOKUP(E62,QCATP_P,2,),""))))))))</f>
        <v/>
      </c>
      <c r="W62" s="31" t="str">
        <f t="shared" si="17"/>
        <v>TRUE</v>
      </c>
      <c r="X62" s="31" t="str">
        <f t="shared" si="18"/>
        <v>((ABS(rep1-rep2))/((rep1+rep2)/2)*100</v>
      </c>
      <c r="Y62" s="10" t="s">
        <v>951</v>
      </c>
      <c r="Z62" s="10"/>
      <c r="AL62" s="10" t="str">
        <f t="shared" si="19"/>
        <v>FALSE</v>
      </c>
      <c r="AM62" s="10" t="str">
        <f t="shared" si="19"/>
        <v>FALSE</v>
      </c>
      <c r="AN62" s="10" t="str">
        <f t="shared" si="19"/>
        <v>FALSE</v>
      </c>
      <c r="AO62" s="10" t="str">
        <f t="shared" si="20"/>
        <v>FALSE</v>
      </c>
      <c r="AP62" s="10" t="str">
        <f t="shared" si="20"/>
        <v>FALSE</v>
      </c>
      <c r="AQ62" s="10" t="b">
        <f>IF(AND(I62="TP",S62&lt;=150),VLOOKUP(AF62,TPCalibEq150!$AZ$2:$BB$166,3,),IF(AND(I62="TDP",S62&lt;=150),VLOOKUP(AF62,TPCalibEq150!$AZ$2:$BB$166,3,)))</f>
        <v>0</v>
      </c>
      <c r="AR62" s="10" t="b">
        <f>IF(AND(I62="TP",S62&lt;=300),VLOOKUP(AF62,TPCalibEq300!$AZ$2:$BB$166,3,),IF(AND(I62="TDP",S62&lt;=300),VLOOKUP(AF62,TPCalibEq300!$AZ$2:$BB$166,3,)))</f>
        <v>0</v>
      </c>
      <c r="AS62" s="10" t="b">
        <f>IF(AND(I62="TP",S62&lt;=500),VLOOKUP(AF62,TPCalibEq500!$AZ$2:$BB$165,3,),IF(AND(I62="TDP",S62&lt;=500),VLOOKUP(AF62,TPCalibEq500!$AZ$2:$BB$165,3,)))</f>
        <v>0</v>
      </c>
      <c r="AT62" s="10" t="b">
        <f>IF(AND(I62="TN",S62&lt;=2800),VLOOKUP(AF62,TNCalibEq2500!$AZ$2:$BB$165,3,),IF(AND(I62="TDN",S62&lt;=2800),VLOOKUP(AF62,TNCalibEq2500!$AZ$2:$BB$165,3,)))</f>
        <v>0</v>
      </c>
      <c r="AU62" s="10" t="b">
        <f>IF(I62="TP",VLOOKUP(AF62,TPCalibEqFull!$AZ$2:$BB$165,3),IF(I62="TDP",VLOOKUP(AF62,TPCalibEqFull!$AZ$2:$BB$165,3),IF(I62="TDN",VLOOKUP(AF62,TNCalibEqFull!$AZ$2:$BB$164,3),IF(I62="TN",VLOOKUP(AF62,TNCalibEqFull!$AZ$2:$BB$164,3),FALSE))))</f>
        <v>0</v>
      </c>
      <c r="AV62" s="10" t="str">
        <f t="shared" si="13"/>
        <v>20240803 00:00:00-1000-16-Sh-2-SW-DUP</v>
      </c>
    </row>
    <row r="63" spans="1:48" x14ac:dyDescent="0.3">
      <c r="A63" s="32">
        <v>45514</v>
      </c>
      <c r="B63" s="33">
        <v>0</v>
      </c>
      <c r="C63" s="10">
        <v>1000</v>
      </c>
      <c r="D63" s="10">
        <v>17</v>
      </c>
      <c r="E63" s="10" t="s">
        <v>953</v>
      </c>
      <c r="F63" s="10">
        <v>1</v>
      </c>
      <c r="G63" s="10" t="s">
        <v>72</v>
      </c>
      <c r="H63" s="10" t="s">
        <v>239</v>
      </c>
      <c r="I63" s="10" t="s">
        <v>283</v>
      </c>
      <c r="J63" s="10">
        <v>23</v>
      </c>
      <c r="K63" s="12">
        <v>45687</v>
      </c>
      <c r="L63" s="33">
        <v>0.50101851851851853</v>
      </c>
      <c r="M63" s="10">
        <v>1</v>
      </c>
      <c r="N63" s="10" t="s">
        <v>209</v>
      </c>
      <c r="O63" s="10">
        <v>-2.7500000000000002E-4</v>
      </c>
      <c r="P63" s="10">
        <v>4.0400000000000001E-4</v>
      </c>
      <c r="Q63" s="10">
        <v>3.32</v>
      </c>
      <c r="R63" s="10" t="s">
        <v>930</v>
      </c>
      <c r="S63" s="34">
        <f t="shared" si="15"/>
        <v>3.32</v>
      </c>
      <c r="T63" s="10" t="s">
        <v>955</v>
      </c>
      <c r="U63" s="34" t="str">
        <f>IF(OR(H63="CHK",H63="ATP",H63="GUP",H63="PER", H63="NIC", H63="UREA"),(S63/V63*100),IF(H63="DUP",((ABS(S63-#REF!))/((#REF!+S63)/2))*100,IF(H63="SPK",((S63-#REF!)/V63*100),IF(OR(H63="LAB",H63="FLD",H63="ESF"),S63,""))))</f>
        <v/>
      </c>
      <c r="V63" s="31" t="str">
        <f>IF(H63="CHK",VLOOKUP(I63,QCCHK,3,),IF(H63="GUP",VLOOKUP(E63,QCGUP,2,),IF(AND(H63="ATP",OR(I63="TN",I63="TDN",I63="TNO2-3",I63="NO2-3")),VLOOKUP(E63,QCREC_N,2,),IF(AND(H63="NIC",OR(I63="TN",I63="TDN",I63="TNO2-3",I63="NO2-3")),VLOOKUP(E63,QCNIC_N,2,),IF(AND(H63="UREA",OR(I63="TN",I63="TDN",I63="TNO2-3",I63="NO2-3")),VLOOKUP(E63,QCUREA_N,2,),IF(H63="PER",VLOOKUP(I63,QCPER,MATCH(E63,QCACTUAL!$J$25:$AA$25,0),),IF(H63="SPK",VLOOKUP(I63,QCSPK,3,),IF(AND(H63="ATP",OR(I63="TP",I63="TDP")),VLOOKUP(E63,QCATP_P,2,),""))))))))</f>
        <v/>
      </c>
      <c r="W63" s="31" t="str">
        <f t="shared" si="17"/>
        <v>TRUE</v>
      </c>
      <c r="X63" s="31" t="str">
        <f t="shared" si="18"/>
        <v/>
      </c>
      <c r="Y63" s="10" t="s">
        <v>951</v>
      </c>
      <c r="Z63" s="10"/>
      <c r="AL63" s="10" t="str">
        <f t="shared" si="19"/>
        <v>FALSE</v>
      </c>
      <c r="AM63" s="10" t="str">
        <f t="shared" si="19"/>
        <v>FALSE</v>
      </c>
      <c r="AN63" s="10" t="str">
        <f t="shared" si="19"/>
        <v>FALSE</v>
      </c>
      <c r="AO63" s="10" t="str">
        <f t="shared" si="20"/>
        <v>FALSE</v>
      </c>
      <c r="AP63" s="10" t="str">
        <f t="shared" si="20"/>
        <v>FALSE</v>
      </c>
      <c r="AQ63" s="10" t="b">
        <f>IF(AND(I63="TP",S63&lt;=150),VLOOKUP(AF63,TPCalibEq150!$AZ$2:$BB$166,3,),IF(AND(I63="TDP",S63&lt;=150),VLOOKUP(AF63,TPCalibEq150!$AZ$2:$BB$166,3,)))</f>
        <v>0</v>
      </c>
      <c r="AR63" s="10" t="b">
        <f>IF(AND(I63="TP",S63&lt;=300),VLOOKUP(AF63,TPCalibEq300!$AZ$2:$BB$166,3,),IF(AND(I63="TDP",S63&lt;=300),VLOOKUP(AF63,TPCalibEq300!$AZ$2:$BB$166,3,)))</f>
        <v>0</v>
      </c>
      <c r="AS63" s="10" t="b">
        <f>IF(AND(I63="TP",S63&lt;=500),VLOOKUP(AF63,TPCalibEq500!$AZ$2:$BB$165,3,),IF(AND(I63="TDP",S63&lt;=500),VLOOKUP(AF63,TPCalibEq500!$AZ$2:$BB$165,3,)))</f>
        <v>0</v>
      </c>
      <c r="AT63" s="10" t="b">
        <f>IF(AND(I63="TN",S63&lt;=2800),VLOOKUP(AF63,TNCalibEq2500!$AZ$2:$BB$165,3,),IF(AND(I63="TDN",S63&lt;=2800),VLOOKUP(AF63,TNCalibEq2500!$AZ$2:$BB$165,3,)))</f>
        <v>0</v>
      </c>
      <c r="AU63" s="10" t="b">
        <f>IF(I63="TP",VLOOKUP(AF63,TPCalibEqFull!$AZ$2:$BB$165,3),IF(I63="TDP",VLOOKUP(AF63,TPCalibEqFull!$AZ$2:$BB$165,3),IF(I63="TDN",VLOOKUP(AF63,TNCalibEqFull!$AZ$2:$BB$164,3),IF(I63="TN",VLOOKUP(AF63,TNCalibEqFull!$AZ$2:$BB$164,3),FALSE))))</f>
        <v>0</v>
      </c>
      <c r="AV63" s="10" t="str">
        <f t="shared" ref="AV63:AV75" si="21">TEXT(A63, "YYYYMMDD")&amp;" "&amp;TEXT(B63, "HH:MM:SS")&amp;"-"&amp;C63&amp;"-"&amp;D63&amp;"-"&amp;E63&amp;"-"&amp;F63&amp;"-"&amp;G63&amp;"-"&amp;H63</f>
        <v>20240810 00:00:00-1000-17-Sh-1-DI-BLK</v>
      </c>
    </row>
    <row r="64" spans="1:48" x14ac:dyDescent="0.3">
      <c r="A64" s="32">
        <v>45514</v>
      </c>
      <c r="B64" s="33">
        <v>0</v>
      </c>
      <c r="C64" s="10">
        <v>1000</v>
      </c>
      <c r="D64" s="10">
        <v>17</v>
      </c>
      <c r="E64" s="10" t="s">
        <v>953</v>
      </c>
      <c r="F64" s="10">
        <v>1</v>
      </c>
      <c r="G64" s="10" t="s">
        <v>229</v>
      </c>
      <c r="H64" s="10" t="s">
        <v>320</v>
      </c>
      <c r="I64" s="10" t="s">
        <v>283</v>
      </c>
      <c r="J64" s="10">
        <v>24</v>
      </c>
      <c r="K64" s="12">
        <v>45687</v>
      </c>
      <c r="L64" s="33">
        <v>0.5018055555555555</v>
      </c>
      <c r="M64" s="10">
        <v>1</v>
      </c>
      <c r="N64" s="10" t="s">
        <v>209</v>
      </c>
      <c r="O64" s="10">
        <v>8.1100000000000005E-2</v>
      </c>
      <c r="P64" s="10">
        <v>8.8199999999999997E-3</v>
      </c>
      <c r="Q64" s="10">
        <v>19.399999999999999</v>
      </c>
      <c r="R64" s="10" t="s">
        <v>930</v>
      </c>
      <c r="S64" s="34">
        <f t="shared" si="15"/>
        <v>19.399999999999999</v>
      </c>
      <c r="T64" s="10" t="s">
        <v>955</v>
      </c>
      <c r="U64" s="34" t="str">
        <f t="shared" si="16"/>
        <v/>
      </c>
      <c r="V64" s="31" t="str">
        <f>IF(H64="CHK",VLOOKUP(I64,QCCHK,3,),IF(H64="GUP",VLOOKUP(E64,QCGUP,2,),IF(AND(H64="ATP",OR(I64="TN",I64="TDN",I64="TNO2-3",I64="NO2-3")),VLOOKUP(E64,QCREC_N,2,),IF(AND(H64="NIC",OR(I64="TN",I64="TDN",I64="TNO2-3",I64="NO2-3")),VLOOKUP(E64,QCNIC_N,2,),IF(AND(H64="UREA",OR(I64="TN",I64="TDN",I64="TNO2-3",I64="NO2-3")),VLOOKUP(E64,QCUREA_N,2,),IF(H64="PER",VLOOKUP(I64,QCPER,MATCH(E64,QCACTUAL!$J$25:$AA$25,0),),IF(H64="SPK",VLOOKUP(I64,QCSPK,3,),IF(AND(H64="ATP",OR(I64="TP",I64="TDP")),VLOOKUP(E64,QCATP_P,2,),""))))))))</f>
        <v/>
      </c>
      <c r="W64" s="31" t="str">
        <f t="shared" si="17"/>
        <v>TRUE</v>
      </c>
      <c r="X64" s="31" t="str">
        <f t="shared" si="18"/>
        <v/>
      </c>
      <c r="Y64" s="10" t="s">
        <v>951</v>
      </c>
      <c r="Z64" s="10"/>
      <c r="AL64" s="10" t="str">
        <f t="shared" si="19"/>
        <v>FALSE</v>
      </c>
      <c r="AM64" s="10" t="str">
        <f t="shared" si="19"/>
        <v>FALSE</v>
      </c>
      <c r="AN64" s="10" t="str">
        <f t="shared" si="19"/>
        <v>FALSE</v>
      </c>
      <c r="AO64" s="10" t="str">
        <f t="shared" si="20"/>
        <v>FALSE</v>
      </c>
      <c r="AP64" s="10" t="str">
        <f t="shared" si="20"/>
        <v>FALSE</v>
      </c>
      <c r="AQ64" s="10" t="b">
        <f>IF(AND(I64="TP",S64&lt;=150),VLOOKUP(AF64,TPCalibEq150!$AZ$2:$BB$166,3,),IF(AND(I64="TDP",S64&lt;=150),VLOOKUP(AF64,TPCalibEq150!$AZ$2:$BB$166,3,)))</f>
        <v>0</v>
      </c>
      <c r="AR64" s="10" t="b">
        <f>IF(AND(I64="TP",S64&lt;=300),VLOOKUP(AF64,TPCalibEq300!$AZ$2:$BB$166,3,),IF(AND(I64="TDP",S64&lt;=300),VLOOKUP(AF64,TPCalibEq300!$AZ$2:$BB$166,3,)))</f>
        <v>0</v>
      </c>
      <c r="AS64" s="10" t="b">
        <f>IF(AND(I64="TP",S64&lt;=500),VLOOKUP(AF64,TPCalibEq500!$AZ$2:$BB$165,3,),IF(AND(I64="TDP",S64&lt;=500),VLOOKUP(AF64,TPCalibEq500!$AZ$2:$BB$165,3,)))</f>
        <v>0</v>
      </c>
      <c r="AT64" s="10" t="b">
        <f>IF(AND(I64="TN",S64&lt;=2800),VLOOKUP(AF64,TNCalibEq2500!$AZ$2:$BB$165,3,),IF(AND(I64="TDN",S64&lt;=2800),VLOOKUP(AF64,TNCalibEq2500!$AZ$2:$BB$165,3,)))</f>
        <v>0</v>
      </c>
      <c r="AU64" s="10" t="b">
        <f>IF(I64="TP",VLOOKUP(AF64,TPCalibEqFull!$AZ$2:$BB$165,3),IF(I64="TDP",VLOOKUP(AF64,TPCalibEqFull!$AZ$2:$BB$165,3),IF(I64="TDN",VLOOKUP(AF64,TNCalibEqFull!$AZ$2:$BB$164,3),IF(I64="TN",VLOOKUP(AF64,TNCalibEqFull!$AZ$2:$BB$164,3),FALSE))))</f>
        <v>0</v>
      </c>
      <c r="AV64" s="10" t="str">
        <f t="shared" si="21"/>
        <v>20240810 00:00:00-1000-17-Sh-1-SW-UKN</v>
      </c>
    </row>
    <row r="65" spans="1:48" x14ac:dyDescent="0.3">
      <c r="A65" s="32">
        <v>45514</v>
      </c>
      <c r="B65" s="33">
        <v>0</v>
      </c>
      <c r="C65" s="10">
        <v>1000</v>
      </c>
      <c r="D65" s="10">
        <v>17</v>
      </c>
      <c r="E65" s="10" t="s">
        <v>953</v>
      </c>
      <c r="F65" s="10">
        <v>2</v>
      </c>
      <c r="G65" s="10" t="s">
        <v>229</v>
      </c>
      <c r="H65" s="10" t="s">
        <v>320</v>
      </c>
      <c r="I65" s="10" t="s">
        <v>283</v>
      </c>
      <c r="J65" s="10">
        <v>25</v>
      </c>
      <c r="K65" s="12">
        <v>45687</v>
      </c>
      <c r="L65" s="33">
        <v>0.50263888888888886</v>
      </c>
      <c r="M65" s="10">
        <v>1</v>
      </c>
      <c r="N65" s="10" t="s">
        <v>209</v>
      </c>
      <c r="O65" s="10">
        <v>8.1199999999999994E-2</v>
      </c>
      <c r="P65" s="10">
        <v>8.8599999999999998E-3</v>
      </c>
      <c r="Q65" s="10">
        <v>19.399999999999999</v>
      </c>
      <c r="R65" s="10" t="s">
        <v>930</v>
      </c>
      <c r="S65" s="34">
        <f t="shared" si="15"/>
        <v>19.399999999999999</v>
      </c>
      <c r="T65" s="10" t="s">
        <v>955</v>
      </c>
      <c r="U65" s="34" t="str">
        <f t="shared" si="16"/>
        <v/>
      </c>
      <c r="V65" s="31" t="str">
        <f>IF(H65="CHK",VLOOKUP(I65,QCCHK,3,),IF(H65="GUP",VLOOKUP(E65,QCGUP,2,),IF(AND(H65="ATP",OR(I65="TN",I65="TDN",I65="TNO2-3",I65="NO2-3")),VLOOKUP(E65,QCREC_N,2,),IF(AND(H65="NIC",OR(I65="TN",I65="TDN",I65="TNO2-3",I65="NO2-3")),VLOOKUP(E65,QCNIC_N,2,),IF(AND(H65="UREA",OR(I65="TN",I65="TDN",I65="TNO2-3",I65="NO2-3")),VLOOKUP(E65,QCUREA_N,2,),IF(H65="PER",VLOOKUP(I65,QCPER,MATCH(E65,QCACTUAL!$J$25:$AA$25,0),),IF(H65="SPK",VLOOKUP(I65,QCSPK,3,),IF(AND(H65="ATP",OR(I65="TP",I65="TDP")),VLOOKUP(E65,QCATP_P,2,),""))))))))</f>
        <v/>
      </c>
      <c r="W65" s="31" t="str">
        <f t="shared" si="17"/>
        <v>TRUE</v>
      </c>
      <c r="X65" s="31" t="str">
        <f t="shared" si="18"/>
        <v/>
      </c>
      <c r="Y65" s="10" t="s">
        <v>951</v>
      </c>
      <c r="Z65" s="10"/>
      <c r="AL65" s="10" t="str">
        <f t="shared" si="19"/>
        <v>FALSE</v>
      </c>
      <c r="AM65" s="10" t="str">
        <f t="shared" si="19"/>
        <v>FALSE</v>
      </c>
      <c r="AN65" s="10" t="str">
        <f t="shared" si="19"/>
        <v>FALSE</v>
      </c>
      <c r="AO65" s="10" t="str">
        <f t="shared" si="20"/>
        <v>FALSE</v>
      </c>
      <c r="AP65" s="10" t="str">
        <f t="shared" si="20"/>
        <v>FALSE</v>
      </c>
      <c r="AQ65" s="10" t="b">
        <f>IF(AND(I65="TP",S65&lt;=150),VLOOKUP(AF65,TPCalibEq150!$AZ$2:$BB$166,3,),IF(AND(I65="TDP",S65&lt;=150),VLOOKUP(AF65,TPCalibEq150!$AZ$2:$BB$166,3,)))</f>
        <v>0</v>
      </c>
      <c r="AR65" s="10" t="b">
        <f>IF(AND(I65="TP",S65&lt;=300),VLOOKUP(AF65,TPCalibEq300!$AZ$2:$BB$166,3,),IF(AND(I65="TDP",S65&lt;=300),VLOOKUP(AF65,TPCalibEq300!$AZ$2:$BB$166,3,)))</f>
        <v>0</v>
      </c>
      <c r="AS65" s="10" t="b">
        <f>IF(AND(I65="TP",S65&lt;=500),VLOOKUP(AF65,TPCalibEq500!$AZ$2:$BB$165,3,),IF(AND(I65="TDP",S65&lt;=500),VLOOKUP(AF65,TPCalibEq500!$AZ$2:$BB$165,3,)))</f>
        <v>0</v>
      </c>
      <c r="AT65" s="10" t="b">
        <f>IF(AND(I65="TN",S65&lt;=2800),VLOOKUP(AF65,TNCalibEq2500!$AZ$2:$BB$165,3,),IF(AND(I65="TDN",S65&lt;=2800),VLOOKUP(AF65,TNCalibEq2500!$AZ$2:$BB$165,3,)))</f>
        <v>0</v>
      </c>
      <c r="AU65" s="10" t="b">
        <f>IF(I65="TP",VLOOKUP(AF65,TPCalibEqFull!$AZ$2:$BB$165,3),IF(I65="TDP",VLOOKUP(AF65,TPCalibEqFull!$AZ$2:$BB$165,3),IF(I65="TDN",VLOOKUP(AF65,TNCalibEqFull!$AZ$2:$BB$164,3),IF(I65="TN",VLOOKUP(AF65,TNCalibEqFull!$AZ$2:$BB$164,3),FALSE))))</f>
        <v>0</v>
      </c>
      <c r="AV65" s="10" t="str">
        <f t="shared" si="21"/>
        <v>20240810 00:00:00-1000-17-Sh-2-SW-UKN</v>
      </c>
    </row>
    <row r="66" spans="1:48" x14ac:dyDescent="0.3">
      <c r="A66" s="32">
        <v>45514</v>
      </c>
      <c r="B66" s="33">
        <v>0</v>
      </c>
      <c r="C66" s="10">
        <v>1000</v>
      </c>
      <c r="D66" s="10">
        <v>17</v>
      </c>
      <c r="E66" s="10" t="s">
        <v>954</v>
      </c>
      <c r="F66" s="10">
        <v>1</v>
      </c>
      <c r="G66" s="10" t="s">
        <v>229</v>
      </c>
      <c r="H66" s="10" t="s">
        <v>320</v>
      </c>
      <c r="I66" s="10" t="s">
        <v>283</v>
      </c>
      <c r="J66" s="10">
        <v>26</v>
      </c>
      <c r="K66" s="12">
        <v>45687</v>
      </c>
      <c r="L66" s="33">
        <v>0.50342592592592594</v>
      </c>
      <c r="M66" s="10">
        <v>1</v>
      </c>
      <c r="N66" s="10" t="s">
        <v>209</v>
      </c>
      <c r="O66" s="10">
        <v>8.3099999999999993E-2</v>
      </c>
      <c r="P66" s="10">
        <v>9.2700000000000005E-3</v>
      </c>
      <c r="Q66" s="10">
        <v>19.8</v>
      </c>
      <c r="R66" s="10" t="s">
        <v>930</v>
      </c>
      <c r="S66" s="34">
        <f t="shared" si="15"/>
        <v>19.8</v>
      </c>
      <c r="T66" s="10" t="s">
        <v>955</v>
      </c>
      <c r="U66" s="34" t="str">
        <f t="shared" si="16"/>
        <v/>
      </c>
      <c r="V66" s="31" t="str">
        <f>IF(H66="CHK",VLOOKUP(I66,QCCHK,3,),IF(H66="GUP",VLOOKUP(E66,QCGUP,2,),IF(AND(H66="ATP",OR(I66="TN",I66="TDN",I66="TNO2-3",I66="NO2-3")),VLOOKUP(E66,QCREC_N,2,),IF(AND(H66="NIC",OR(I66="TN",I66="TDN",I66="TNO2-3",I66="NO2-3")),VLOOKUP(E66,QCNIC_N,2,),IF(AND(H66="UREA",OR(I66="TN",I66="TDN",I66="TNO2-3",I66="NO2-3")),VLOOKUP(E66,QCUREA_N,2,),IF(H66="PER",VLOOKUP(I66,QCPER,MATCH(E66,QCACTUAL!$J$25:$AA$25,0),),IF(H66="SPK",VLOOKUP(I66,QCSPK,3,),IF(AND(H66="ATP",OR(I66="TP",I66="TDP")),VLOOKUP(E66,QCATP_P,2,),""))))))))</f>
        <v/>
      </c>
      <c r="W66" s="31" t="str">
        <f t="shared" si="17"/>
        <v>TRUE</v>
      </c>
      <c r="X66" s="31" t="str">
        <f t="shared" si="18"/>
        <v/>
      </c>
      <c r="Y66" s="10" t="s">
        <v>951</v>
      </c>
      <c r="Z66" s="10"/>
      <c r="AL66" s="10" t="str">
        <f t="shared" si="19"/>
        <v>FALSE</v>
      </c>
      <c r="AM66" s="10" t="str">
        <f t="shared" si="19"/>
        <v>FALSE</v>
      </c>
      <c r="AN66" s="10" t="str">
        <f t="shared" si="19"/>
        <v>FALSE</v>
      </c>
      <c r="AO66" s="10" t="str">
        <f t="shared" si="20"/>
        <v>FALSE</v>
      </c>
      <c r="AP66" s="10" t="str">
        <f t="shared" si="20"/>
        <v>FALSE</v>
      </c>
      <c r="AQ66" s="10" t="b">
        <f>IF(AND(I66="TP",S66&lt;=150),VLOOKUP(AF66,TPCalibEq150!$AZ$2:$BB$166,3,),IF(AND(I66="TDP",S66&lt;=150),VLOOKUP(AF66,TPCalibEq150!$AZ$2:$BB$166,3,)))</f>
        <v>0</v>
      </c>
      <c r="AR66" s="10" t="b">
        <f>IF(AND(I66="TP",S66&lt;=300),VLOOKUP(AF66,TPCalibEq300!$AZ$2:$BB$166,3,),IF(AND(I66="TDP",S66&lt;=300),VLOOKUP(AF66,TPCalibEq300!$AZ$2:$BB$166,3,)))</f>
        <v>0</v>
      </c>
      <c r="AS66" s="10" t="b">
        <f>IF(AND(I66="TP",S66&lt;=500),VLOOKUP(AF66,TPCalibEq500!$AZ$2:$BB$165,3,),IF(AND(I66="TDP",S66&lt;=500),VLOOKUP(AF66,TPCalibEq500!$AZ$2:$BB$165,3,)))</f>
        <v>0</v>
      </c>
      <c r="AT66" s="10" t="b">
        <f>IF(AND(I66="TN",S66&lt;=2800),VLOOKUP(AF66,TNCalibEq2500!$AZ$2:$BB$165,3,),IF(AND(I66="TDN",S66&lt;=2800),VLOOKUP(AF66,TNCalibEq2500!$AZ$2:$BB$165,3,)))</f>
        <v>0</v>
      </c>
      <c r="AU66" s="10" t="b">
        <f>IF(I66="TP",VLOOKUP(AF66,TPCalibEqFull!$AZ$2:$BB$165,3),IF(I66="TDP",VLOOKUP(AF66,TPCalibEqFull!$AZ$2:$BB$165,3),IF(I66="TDN",VLOOKUP(AF66,TNCalibEqFull!$AZ$2:$BB$164,3),IF(I66="TN",VLOOKUP(AF66,TNCalibEqFull!$AZ$2:$BB$164,3),FALSE))))</f>
        <v>0</v>
      </c>
      <c r="AV66" s="10" t="str">
        <f t="shared" si="21"/>
        <v>20240810 00:00:00-1000-17-Dp-1-SW-UKN</v>
      </c>
    </row>
    <row r="67" spans="1:48" x14ac:dyDescent="0.3">
      <c r="A67" s="32">
        <v>45514</v>
      </c>
      <c r="B67" s="33">
        <v>0</v>
      </c>
      <c r="C67" s="10">
        <v>1000</v>
      </c>
      <c r="D67" s="10">
        <v>18</v>
      </c>
      <c r="E67" s="10" t="s">
        <v>953</v>
      </c>
      <c r="F67" s="10">
        <v>1</v>
      </c>
      <c r="G67" s="10" t="s">
        <v>72</v>
      </c>
      <c r="H67" s="10" t="s">
        <v>239</v>
      </c>
      <c r="I67" s="10" t="s">
        <v>283</v>
      </c>
      <c r="J67" s="10">
        <v>27</v>
      </c>
      <c r="K67" s="12">
        <v>45687</v>
      </c>
      <c r="L67" s="33">
        <v>0.50424768518518526</v>
      </c>
      <c r="M67" s="10">
        <v>1</v>
      </c>
      <c r="N67" s="10" t="s">
        <v>209</v>
      </c>
      <c r="O67" s="10">
        <v>2.8500000000000001E-2</v>
      </c>
      <c r="P67" s="10">
        <v>2.8400000000000001E-3</v>
      </c>
      <c r="Q67" s="10">
        <v>8.99</v>
      </c>
      <c r="R67" s="10" t="s">
        <v>930</v>
      </c>
      <c r="S67" s="34">
        <f t="shared" si="15"/>
        <v>8.99</v>
      </c>
      <c r="T67" s="10" t="s">
        <v>955</v>
      </c>
      <c r="U67" s="34" t="str">
        <f t="shared" si="16"/>
        <v/>
      </c>
      <c r="V67" s="31" t="str">
        <f>IF(H67="CHK",VLOOKUP(I67,QCCHK,3,),IF(H67="GUP",VLOOKUP(E67,QCGUP,2,),IF(AND(H67="ATP",OR(I67="TN",I67="TDN",I67="TNO2-3",I67="NO2-3")),VLOOKUP(E67,QCREC_N,2,),IF(AND(H67="NIC",OR(I67="TN",I67="TDN",I67="TNO2-3",I67="NO2-3")),VLOOKUP(E67,QCNIC_N,2,),IF(AND(H67="UREA",OR(I67="TN",I67="TDN",I67="TNO2-3",I67="NO2-3")),VLOOKUP(E67,QCUREA_N,2,),IF(H67="PER",VLOOKUP(I67,QCPER,MATCH(E67,QCACTUAL!$J$25:$AA$25,0),),IF(H67="SPK",VLOOKUP(I67,QCSPK,3,),IF(AND(H67="ATP",OR(I67="TP",I67="TDP")),VLOOKUP(E67,QCATP_P,2,),""))))))))</f>
        <v/>
      </c>
      <c r="W67" s="31" t="str">
        <f t="shared" si="17"/>
        <v>TRUE</v>
      </c>
      <c r="X67" s="31" t="str">
        <f t="shared" si="18"/>
        <v/>
      </c>
      <c r="Y67" s="10" t="s">
        <v>951</v>
      </c>
      <c r="Z67" s="10"/>
      <c r="AL67" s="10" t="str">
        <f t="shared" si="19"/>
        <v>FALSE</v>
      </c>
      <c r="AM67" s="10" t="str">
        <f t="shared" si="19"/>
        <v>FALSE</v>
      </c>
      <c r="AN67" s="10" t="str">
        <f t="shared" si="19"/>
        <v>FALSE</v>
      </c>
      <c r="AO67" s="10" t="str">
        <f t="shared" si="20"/>
        <v>FALSE</v>
      </c>
      <c r="AP67" s="10" t="str">
        <f t="shared" si="20"/>
        <v>FALSE</v>
      </c>
      <c r="AQ67" s="10" t="b">
        <f>IF(AND(I67="TP",S67&lt;=150),VLOOKUP(AF67,TPCalibEq150!$AZ$2:$BB$166,3,),IF(AND(I67="TDP",S67&lt;=150),VLOOKUP(AF67,TPCalibEq150!$AZ$2:$BB$166,3,)))</f>
        <v>0</v>
      </c>
      <c r="AR67" s="10" t="b">
        <f>IF(AND(I67="TP",S67&lt;=300),VLOOKUP(AF67,TPCalibEq300!$AZ$2:$BB$166,3,),IF(AND(I67="TDP",S67&lt;=300),VLOOKUP(AF67,TPCalibEq300!$AZ$2:$BB$166,3,)))</f>
        <v>0</v>
      </c>
      <c r="AS67" s="10" t="b">
        <f>IF(AND(I67="TP",S67&lt;=500),VLOOKUP(AF67,TPCalibEq500!$AZ$2:$BB$165,3,),IF(AND(I67="TDP",S67&lt;=500),VLOOKUP(AF67,TPCalibEq500!$AZ$2:$BB$165,3,)))</f>
        <v>0</v>
      </c>
      <c r="AT67" s="10" t="b">
        <f>IF(AND(I67="TN",S67&lt;=2800),VLOOKUP(AF67,TNCalibEq2500!$AZ$2:$BB$165,3,),IF(AND(I67="TDN",S67&lt;=2800),VLOOKUP(AF67,TNCalibEq2500!$AZ$2:$BB$165,3,)))</f>
        <v>0</v>
      </c>
      <c r="AU67" s="10" t="b">
        <f>IF(I67="TP",VLOOKUP(AF67,TPCalibEqFull!$AZ$2:$BB$165,3),IF(I67="TDP",VLOOKUP(AF67,TPCalibEqFull!$AZ$2:$BB$165,3),IF(I67="TDN",VLOOKUP(AF67,TNCalibEqFull!$AZ$2:$BB$164,3),IF(I67="TN",VLOOKUP(AF67,TNCalibEqFull!$AZ$2:$BB$164,3),FALSE))))</f>
        <v>0</v>
      </c>
      <c r="AV67" s="10" t="str">
        <f t="shared" si="21"/>
        <v>20240810 00:00:00-1000-18-Sh-1-DI-BLK</v>
      </c>
    </row>
    <row r="68" spans="1:48" x14ac:dyDescent="0.3">
      <c r="A68" s="32">
        <v>45514</v>
      </c>
      <c r="B68" s="33">
        <v>0</v>
      </c>
      <c r="C68" s="10">
        <v>1000</v>
      </c>
      <c r="D68" s="10">
        <v>18</v>
      </c>
      <c r="E68" s="10" t="s">
        <v>953</v>
      </c>
      <c r="F68" s="10">
        <v>1</v>
      </c>
      <c r="G68" s="10" t="s">
        <v>229</v>
      </c>
      <c r="H68" s="10" t="s">
        <v>320</v>
      </c>
      <c r="I68" s="10" t="s">
        <v>283</v>
      </c>
      <c r="J68" s="10">
        <v>28</v>
      </c>
      <c r="K68" s="12">
        <v>45687</v>
      </c>
      <c r="L68" s="33">
        <v>0.50504629629629627</v>
      </c>
      <c r="M68" s="10">
        <v>1</v>
      </c>
      <c r="N68" s="10" t="s">
        <v>209</v>
      </c>
      <c r="O68" s="10">
        <v>7.9500000000000001E-2</v>
      </c>
      <c r="P68" s="10">
        <v>8.3400000000000002E-3</v>
      </c>
      <c r="Q68" s="10">
        <v>19.100000000000001</v>
      </c>
      <c r="R68" s="10" t="s">
        <v>930</v>
      </c>
      <c r="S68" s="34">
        <f t="shared" si="15"/>
        <v>19.100000000000001</v>
      </c>
      <c r="T68" s="10" t="s">
        <v>955</v>
      </c>
      <c r="U68" s="34" t="str">
        <f t="shared" si="16"/>
        <v/>
      </c>
      <c r="V68" s="31" t="str">
        <f>IF(H68="CHK",VLOOKUP(I68,QCCHK,3,),IF(H68="GUP",VLOOKUP(E68,QCGUP,2,),IF(AND(H68="ATP",OR(I68="TN",I68="TDN",I68="TNO2-3",I68="NO2-3")),VLOOKUP(E68,QCREC_N,2,),IF(AND(H68="NIC",OR(I68="TN",I68="TDN",I68="TNO2-3",I68="NO2-3")),VLOOKUP(E68,QCNIC_N,2,),IF(AND(H68="UREA",OR(I68="TN",I68="TDN",I68="TNO2-3",I68="NO2-3")),VLOOKUP(E68,QCUREA_N,2,),IF(H68="PER",VLOOKUP(I68,QCPER,MATCH(E68,QCACTUAL!$J$25:$AA$25,0),),IF(H68="SPK",VLOOKUP(I68,QCSPK,3,),IF(AND(H68="ATP",OR(I68="TP",I68="TDP")),VLOOKUP(E68,QCATP_P,2,),""))))))))</f>
        <v/>
      </c>
      <c r="W68" s="31" t="str">
        <f t="shared" si="17"/>
        <v>TRUE</v>
      </c>
      <c r="X68" s="31" t="str">
        <f t="shared" si="18"/>
        <v/>
      </c>
      <c r="Y68" s="10" t="s">
        <v>951</v>
      </c>
      <c r="Z68" s="10"/>
      <c r="AL68" s="10" t="str">
        <f t="shared" si="19"/>
        <v>FALSE</v>
      </c>
      <c r="AM68" s="10" t="str">
        <f t="shared" si="19"/>
        <v>FALSE</v>
      </c>
      <c r="AN68" s="10" t="str">
        <f t="shared" si="19"/>
        <v>FALSE</v>
      </c>
      <c r="AO68" s="10" t="str">
        <f t="shared" si="20"/>
        <v>FALSE</v>
      </c>
      <c r="AP68" s="10" t="str">
        <f t="shared" si="20"/>
        <v>FALSE</v>
      </c>
      <c r="AQ68" s="10" t="b">
        <f>IF(AND(I68="TP",S68&lt;=150),VLOOKUP(AF68,TPCalibEq150!$AZ$2:$BB$166,3,),IF(AND(I68="TDP",S68&lt;=150),VLOOKUP(AF68,TPCalibEq150!$AZ$2:$BB$166,3,)))</f>
        <v>0</v>
      </c>
      <c r="AR68" s="10" t="b">
        <f>IF(AND(I68="TP",S68&lt;=300),VLOOKUP(AF68,TPCalibEq300!$AZ$2:$BB$166,3,),IF(AND(I68="TDP",S68&lt;=300),VLOOKUP(AF68,TPCalibEq300!$AZ$2:$BB$166,3,)))</f>
        <v>0</v>
      </c>
      <c r="AS68" s="10" t="b">
        <f>IF(AND(I68="TP",S68&lt;=500),VLOOKUP(AF68,TPCalibEq500!$AZ$2:$BB$165,3,),IF(AND(I68="TDP",S68&lt;=500),VLOOKUP(AF68,TPCalibEq500!$AZ$2:$BB$165,3,)))</f>
        <v>0</v>
      </c>
      <c r="AT68" s="10" t="b">
        <f>IF(AND(I68="TN",S68&lt;=2800),VLOOKUP(AF68,TNCalibEq2500!$AZ$2:$BB$165,3,),IF(AND(I68="TDN",S68&lt;=2800),VLOOKUP(AF68,TNCalibEq2500!$AZ$2:$BB$165,3,)))</f>
        <v>0</v>
      </c>
      <c r="AU68" s="10" t="b">
        <f>IF(I68="TP",VLOOKUP(AF68,TPCalibEqFull!$AZ$2:$BB$165,3),IF(I68="TDP",VLOOKUP(AF68,TPCalibEqFull!$AZ$2:$BB$165,3),IF(I68="TDN",VLOOKUP(AF68,TNCalibEqFull!$AZ$2:$BB$164,3),IF(I68="TN",VLOOKUP(AF68,TNCalibEqFull!$AZ$2:$BB$164,3),FALSE))))</f>
        <v>0</v>
      </c>
      <c r="AV68" s="10" t="str">
        <f t="shared" si="21"/>
        <v>20240810 00:00:00-1000-18-Sh-1-SW-UKN</v>
      </c>
    </row>
    <row r="69" spans="1:48" x14ac:dyDescent="0.3">
      <c r="A69" s="32">
        <v>45514</v>
      </c>
      <c r="B69" s="33">
        <v>0</v>
      </c>
      <c r="C69" s="10">
        <v>1000</v>
      </c>
      <c r="D69" s="10">
        <v>18</v>
      </c>
      <c r="E69" s="10" t="s">
        <v>953</v>
      </c>
      <c r="F69" s="10">
        <v>2</v>
      </c>
      <c r="G69" s="10" t="s">
        <v>229</v>
      </c>
      <c r="H69" s="10" t="s">
        <v>320</v>
      </c>
      <c r="I69" s="10" t="s">
        <v>283</v>
      </c>
      <c r="J69" s="10">
        <v>29</v>
      </c>
      <c r="K69" s="12">
        <v>45687</v>
      </c>
      <c r="L69" s="33">
        <v>0.50587962962962962</v>
      </c>
      <c r="M69" s="10">
        <v>1</v>
      </c>
      <c r="N69" s="10" t="s">
        <v>209</v>
      </c>
      <c r="O69" s="10">
        <v>7.9100000000000004E-2</v>
      </c>
      <c r="P69" s="10">
        <v>8.5100000000000002E-3</v>
      </c>
      <c r="Q69" s="10">
        <v>19</v>
      </c>
      <c r="R69" s="10" t="s">
        <v>930</v>
      </c>
      <c r="S69" s="34">
        <f t="shared" si="15"/>
        <v>19</v>
      </c>
      <c r="T69" s="10" t="s">
        <v>955</v>
      </c>
      <c r="U69" s="34" t="str">
        <f t="shared" si="16"/>
        <v/>
      </c>
      <c r="V69" s="31" t="str">
        <f>IF(H69="CHK",VLOOKUP(I69,QCCHK,3,),IF(H69="GUP",VLOOKUP(E69,QCGUP,2,),IF(AND(H69="ATP",OR(I69="TN",I69="TDN",I69="TNO2-3",I69="NO2-3")),VLOOKUP(E69,QCREC_N,2,),IF(AND(H69="NIC",OR(I69="TN",I69="TDN",I69="TNO2-3",I69="NO2-3")),VLOOKUP(E69,QCNIC_N,2,),IF(AND(H69="UREA",OR(I69="TN",I69="TDN",I69="TNO2-3",I69="NO2-3")),VLOOKUP(E69,QCUREA_N,2,),IF(H69="PER",VLOOKUP(I69,QCPER,MATCH(E69,QCACTUAL!$J$25:$AA$25,0),),IF(H69="SPK",VLOOKUP(I69,QCSPK,3,),IF(AND(H69="ATP",OR(I69="TP",I69="TDP")),VLOOKUP(E69,QCATP_P,2,),""))))))))</f>
        <v/>
      </c>
      <c r="W69" s="31" t="str">
        <f t="shared" si="17"/>
        <v>TRUE</v>
      </c>
      <c r="X69" s="31" t="str">
        <f t="shared" si="18"/>
        <v/>
      </c>
      <c r="Y69" s="10" t="s">
        <v>951</v>
      </c>
      <c r="Z69" s="10"/>
      <c r="AL69" s="10" t="str">
        <f t="shared" si="19"/>
        <v>FALSE</v>
      </c>
      <c r="AM69" s="10" t="str">
        <f t="shared" si="19"/>
        <v>FALSE</v>
      </c>
      <c r="AN69" s="10" t="str">
        <f t="shared" si="19"/>
        <v>FALSE</v>
      </c>
      <c r="AO69" s="10" t="str">
        <f t="shared" si="20"/>
        <v>FALSE</v>
      </c>
      <c r="AP69" s="10" t="str">
        <f t="shared" si="20"/>
        <v>FALSE</v>
      </c>
      <c r="AQ69" s="10" t="b">
        <f>IF(AND(I69="TP",S69&lt;=150),VLOOKUP(AF69,TPCalibEq150!$AZ$2:$BB$166,3,),IF(AND(I69="TDP",S69&lt;=150),VLOOKUP(AF69,TPCalibEq150!$AZ$2:$BB$166,3,)))</f>
        <v>0</v>
      </c>
      <c r="AR69" s="10" t="b">
        <f>IF(AND(I69="TP",S69&lt;=300),VLOOKUP(AF69,TPCalibEq300!$AZ$2:$BB$166,3,),IF(AND(I69="TDP",S69&lt;=300),VLOOKUP(AF69,TPCalibEq300!$AZ$2:$BB$166,3,)))</f>
        <v>0</v>
      </c>
      <c r="AS69" s="10" t="b">
        <f>IF(AND(I69="TP",S69&lt;=500),VLOOKUP(AF69,TPCalibEq500!$AZ$2:$BB$165,3,),IF(AND(I69="TDP",S69&lt;=500),VLOOKUP(AF69,TPCalibEq500!$AZ$2:$BB$165,3,)))</f>
        <v>0</v>
      </c>
      <c r="AT69" s="10" t="b">
        <f>IF(AND(I69="TN",S69&lt;=2800),VLOOKUP(AF69,TNCalibEq2500!$AZ$2:$BB$165,3,),IF(AND(I69="TDN",S69&lt;=2800),VLOOKUP(AF69,TNCalibEq2500!$AZ$2:$BB$165,3,)))</f>
        <v>0</v>
      </c>
      <c r="AU69" s="10" t="b">
        <f>IF(I69="TP",VLOOKUP(AF69,TPCalibEqFull!$AZ$2:$BB$165,3),IF(I69="TDP",VLOOKUP(AF69,TPCalibEqFull!$AZ$2:$BB$165,3),IF(I69="TDN",VLOOKUP(AF69,TNCalibEqFull!$AZ$2:$BB$164,3),IF(I69="TN",VLOOKUP(AF69,TNCalibEqFull!$AZ$2:$BB$164,3),FALSE))))</f>
        <v>0</v>
      </c>
      <c r="AV69" s="10" t="str">
        <f t="shared" si="21"/>
        <v>20240810 00:00:00-1000-18-Sh-2-SW-UKN</v>
      </c>
    </row>
    <row r="70" spans="1:48" x14ac:dyDescent="0.3">
      <c r="A70" s="32">
        <v>45514</v>
      </c>
      <c r="B70" s="33">
        <v>0</v>
      </c>
      <c r="C70" s="10">
        <v>1000</v>
      </c>
      <c r="D70" s="10">
        <v>18</v>
      </c>
      <c r="E70" s="10" t="s">
        <v>954</v>
      </c>
      <c r="F70" s="10">
        <v>1</v>
      </c>
      <c r="G70" s="10" t="s">
        <v>229</v>
      </c>
      <c r="H70" s="10" t="s">
        <v>320</v>
      </c>
      <c r="I70" s="10" t="s">
        <v>283</v>
      </c>
      <c r="J70" s="10">
        <v>30</v>
      </c>
      <c r="K70" s="12">
        <v>45687</v>
      </c>
      <c r="L70" s="33">
        <v>0.50667824074074075</v>
      </c>
      <c r="M70" s="10">
        <v>1</v>
      </c>
      <c r="N70" s="10" t="s">
        <v>209</v>
      </c>
      <c r="O70" s="10">
        <v>7.46E-2</v>
      </c>
      <c r="P70" s="10">
        <v>8.5500000000000003E-3</v>
      </c>
      <c r="Q70" s="10">
        <v>18.100000000000001</v>
      </c>
      <c r="R70" s="10" t="s">
        <v>930</v>
      </c>
      <c r="S70" s="34">
        <f t="shared" si="15"/>
        <v>18.100000000000001</v>
      </c>
      <c r="T70" s="10" t="s">
        <v>955</v>
      </c>
      <c r="U70" s="34" t="str">
        <f t="shared" si="16"/>
        <v/>
      </c>
      <c r="V70" s="31" t="str">
        <f>IF(H70="CHK",VLOOKUP(I70,QCCHK,3,),IF(H70="GUP",VLOOKUP(E70,QCGUP,2,),IF(AND(H70="ATP",OR(I70="TN",I70="TDN",I70="TNO2-3",I70="NO2-3")),VLOOKUP(E70,QCREC_N,2,),IF(AND(H70="NIC",OR(I70="TN",I70="TDN",I70="TNO2-3",I70="NO2-3")),VLOOKUP(E70,QCNIC_N,2,),IF(AND(H70="UREA",OR(I70="TN",I70="TDN",I70="TNO2-3",I70="NO2-3")),VLOOKUP(E70,QCUREA_N,2,),IF(H70="PER",VLOOKUP(I70,QCPER,MATCH(E70,QCACTUAL!$J$25:$AA$25,0),),IF(H70="SPK",VLOOKUP(I70,QCSPK,3,),IF(AND(H70="ATP",OR(I70="TP",I70="TDP")),VLOOKUP(E70,QCATP_P,2,),""))))))))</f>
        <v/>
      </c>
      <c r="W70" s="31" t="str">
        <f t="shared" si="17"/>
        <v>TRUE</v>
      </c>
      <c r="X70" s="31" t="str">
        <f t="shared" si="18"/>
        <v/>
      </c>
      <c r="Y70" s="10" t="s">
        <v>951</v>
      </c>
      <c r="Z70" s="10"/>
      <c r="AL70" s="10" t="str">
        <f t="shared" si="19"/>
        <v>FALSE</v>
      </c>
      <c r="AM70" s="10" t="str">
        <f t="shared" si="19"/>
        <v>FALSE</v>
      </c>
      <c r="AN70" s="10" t="str">
        <f t="shared" si="19"/>
        <v>FALSE</v>
      </c>
      <c r="AO70" s="10" t="str">
        <f t="shared" si="20"/>
        <v>FALSE</v>
      </c>
      <c r="AP70" s="10" t="str">
        <f t="shared" si="20"/>
        <v>FALSE</v>
      </c>
      <c r="AQ70" s="10" t="b">
        <f>IF(AND(I70="TP",S70&lt;=150),VLOOKUP(AF70,TPCalibEq150!$AZ$2:$BB$166,3,),IF(AND(I70="TDP",S70&lt;=150),VLOOKUP(AF70,TPCalibEq150!$AZ$2:$BB$166,3,)))</f>
        <v>0</v>
      </c>
      <c r="AR70" s="10" t="b">
        <f>IF(AND(I70="TP",S70&lt;=300),VLOOKUP(AF70,TPCalibEq300!$AZ$2:$BB$166,3,),IF(AND(I70="TDP",S70&lt;=300),VLOOKUP(AF70,TPCalibEq300!$AZ$2:$BB$166,3,)))</f>
        <v>0</v>
      </c>
      <c r="AS70" s="10" t="b">
        <f>IF(AND(I70="TP",S70&lt;=500),VLOOKUP(AF70,TPCalibEq500!$AZ$2:$BB$165,3,),IF(AND(I70="TDP",S70&lt;=500),VLOOKUP(AF70,TPCalibEq500!$AZ$2:$BB$165,3,)))</f>
        <v>0</v>
      </c>
      <c r="AT70" s="10" t="b">
        <f>IF(AND(I70="TN",S70&lt;=2800),VLOOKUP(AF70,TNCalibEq2500!$AZ$2:$BB$165,3,),IF(AND(I70="TDN",S70&lt;=2800),VLOOKUP(AF70,TNCalibEq2500!$AZ$2:$BB$165,3,)))</f>
        <v>0</v>
      </c>
      <c r="AU70" s="10" t="b">
        <f>IF(I70="TP",VLOOKUP(AF70,TPCalibEqFull!$AZ$2:$BB$165,3),IF(I70="TDP",VLOOKUP(AF70,TPCalibEqFull!$AZ$2:$BB$165,3),IF(I70="TDN",VLOOKUP(AF70,TNCalibEqFull!$AZ$2:$BB$164,3),IF(I70="TN",VLOOKUP(AF70,TNCalibEqFull!$AZ$2:$BB$164,3),FALSE))))</f>
        <v>0</v>
      </c>
      <c r="AV70" s="10" t="str">
        <f t="shared" si="21"/>
        <v>20240810 00:00:00-1000-18-Dp-1-SW-UKN</v>
      </c>
    </row>
    <row r="71" spans="1:48" x14ac:dyDescent="0.3">
      <c r="A71" s="32">
        <v>45514</v>
      </c>
      <c r="B71" s="33">
        <v>0</v>
      </c>
      <c r="C71" s="10">
        <v>1000</v>
      </c>
      <c r="D71" s="10">
        <v>26</v>
      </c>
      <c r="E71" s="10" t="s">
        <v>953</v>
      </c>
      <c r="F71" s="10">
        <v>1</v>
      </c>
      <c r="G71" s="10" t="s">
        <v>72</v>
      </c>
      <c r="H71" s="10" t="s">
        <v>239</v>
      </c>
      <c r="I71" s="10" t="s">
        <v>283</v>
      </c>
      <c r="J71" s="10">
        <v>31</v>
      </c>
      <c r="K71" s="12">
        <v>45687</v>
      </c>
      <c r="L71" s="33">
        <v>0.50749999999999995</v>
      </c>
      <c r="M71" s="10">
        <v>1</v>
      </c>
      <c r="N71" s="10" t="s">
        <v>209</v>
      </c>
      <c r="O71" s="10">
        <v>-3.15E-3</v>
      </c>
      <c r="P71" s="10">
        <v>-6.0800000000000003E-4</v>
      </c>
      <c r="Q71" s="10">
        <v>2.75</v>
      </c>
      <c r="R71" s="10" t="s">
        <v>930</v>
      </c>
      <c r="S71" s="34">
        <f t="shared" si="15"/>
        <v>2.75</v>
      </c>
      <c r="T71" s="10" t="s">
        <v>955</v>
      </c>
      <c r="U71" s="34" t="str">
        <f t="shared" si="16"/>
        <v/>
      </c>
      <c r="V71" s="31" t="str">
        <f>IF(H71="CHK",VLOOKUP(I71,QCCHK,3,),IF(H71="GUP",VLOOKUP(E71,QCGUP,2,),IF(AND(H71="ATP",OR(I71="TN",I71="TDN",I71="TNO2-3",I71="NO2-3")),VLOOKUP(E71,QCREC_N,2,),IF(AND(H71="NIC",OR(I71="TN",I71="TDN",I71="TNO2-3",I71="NO2-3")),VLOOKUP(E71,QCNIC_N,2,),IF(AND(H71="UREA",OR(I71="TN",I71="TDN",I71="TNO2-3",I71="NO2-3")),VLOOKUP(E71,QCUREA_N,2,),IF(H71="PER",VLOOKUP(I71,QCPER,MATCH(E71,QCACTUAL!$J$25:$AA$25,0),),IF(H71="SPK",VLOOKUP(I71,QCSPK,3,),IF(AND(H71="ATP",OR(I71="TP",I71="TDP")),VLOOKUP(E71,QCATP_P,2,),""))))))))</f>
        <v/>
      </c>
      <c r="W71" s="31" t="str">
        <f t="shared" si="17"/>
        <v>TRUE</v>
      </c>
      <c r="X71" s="31" t="str">
        <f t="shared" si="18"/>
        <v/>
      </c>
      <c r="Y71" s="10" t="s">
        <v>951</v>
      </c>
      <c r="Z71" s="10"/>
      <c r="AL71" s="10" t="str">
        <f t="shared" si="19"/>
        <v>FALSE</v>
      </c>
      <c r="AM71" s="10" t="str">
        <f t="shared" si="19"/>
        <v>FALSE</v>
      </c>
      <c r="AN71" s="10" t="str">
        <f t="shared" si="19"/>
        <v>FALSE</v>
      </c>
      <c r="AO71" s="10" t="str">
        <f t="shared" si="20"/>
        <v>FALSE</v>
      </c>
      <c r="AP71" s="10" t="str">
        <f t="shared" si="20"/>
        <v>FALSE</v>
      </c>
      <c r="AQ71" s="10" t="b">
        <f>IF(AND(I71="TP",S71&lt;=150),VLOOKUP(AF71,TPCalibEq150!$AZ$2:$BB$166,3,),IF(AND(I71="TDP",S71&lt;=150),VLOOKUP(AF71,TPCalibEq150!$AZ$2:$BB$166,3,)))</f>
        <v>0</v>
      </c>
      <c r="AR71" s="10" t="b">
        <f>IF(AND(I71="TP",S71&lt;=300),VLOOKUP(AF71,TPCalibEq300!$AZ$2:$BB$166,3,),IF(AND(I71="TDP",S71&lt;=300),VLOOKUP(AF71,TPCalibEq300!$AZ$2:$BB$166,3,)))</f>
        <v>0</v>
      </c>
      <c r="AS71" s="10" t="b">
        <f>IF(AND(I71="TP",S71&lt;=500),VLOOKUP(AF71,TPCalibEq500!$AZ$2:$BB$165,3,),IF(AND(I71="TDP",S71&lt;=500),VLOOKUP(AF71,TPCalibEq500!$AZ$2:$BB$165,3,)))</f>
        <v>0</v>
      </c>
      <c r="AT71" s="10" t="b">
        <f>IF(AND(I71="TN",S71&lt;=2800),VLOOKUP(AF71,TNCalibEq2500!$AZ$2:$BB$165,3,),IF(AND(I71="TDN",S71&lt;=2800),VLOOKUP(AF71,TNCalibEq2500!$AZ$2:$BB$165,3,)))</f>
        <v>0</v>
      </c>
      <c r="AU71" s="10" t="b">
        <f>IF(I71="TP",VLOOKUP(AF71,TPCalibEqFull!$AZ$2:$BB$165,3),IF(I71="TDP",VLOOKUP(AF71,TPCalibEqFull!$AZ$2:$BB$165,3),IF(I71="TDN",VLOOKUP(AF71,TNCalibEqFull!$AZ$2:$BB$164,3),IF(I71="TN",VLOOKUP(AF71,TNCalibEqFull!$AZ$2:$BB$164,3),FALSE))))</f>
        <v>0</v>
      </c>
      <c r="AV71" s="10" t="str">
        <f t="shared" si="21"/>
        <v>20240810 00:00:00-1000-26-Sh-1-DI-BLK</v>
      </c>
    </row>
    <row r="72" spans="1:48" x14ac:dyDescent="0.3">
      <c r="A72" s="32">
        <v>45514</v>
      </c>
      <c r="B72" s="33">
        <v>0</v>
      </c>
      <c r="C72" s="10">
        <v>1000</v>
      </c>
      <c r="D72" s="10">
        <v>26</v>
      </c>
      <c r="E72" s="10" t="s">
        <v>953</v>
      </c>
      <c r="F72" s="10">
        <v>1</v>
      </c>
      <c r="G72" s="10" t="s">
        <v>229</v>
      </c>
      <c r="H72" s="10" t="s">
        <v>320</v>
      </c>
      <c r="I72" s="10" t="s">
        <v>283</v>
      </c>
      <c r="J72" s="10">
        <v>32</v>
      </c>
      <c r="K72" s="12">
        <v>45687</v>
      </c>
      <c r="L72" s="33">
        <v>0.50831018518518511</v>
      </c>
      <c r="M72" s="10">
        <v>1</v>
      </c>
      <c r="N72" s="10" t="s">
        <v>209</v>
      </c>
      <c r="O72" s="10">
        <v>7.3599999999999999E-2</v>
      </c>
      <c r="P72" s="10">
        <v>8.2000000000000007E-3</v>
      </c>
      <c r="Q72" s="10">
        <v>17.899999999999999</v>
      </c>
      <c r="R72" s="10" t="s">
        <v>930</v>
      </c>
      <c r="S72" s="34">
        <f t="shared" si="15"/>
        <v>17.899999999999999</v>
      </c>
      <c r="T72" s="10" t="s">
        <v>955</v>
      </c>
      <c r="U72" s="34" t="str">
        <f t="shared" si="16"/>
        <v/>
      </c>
      <c r="V72" s="31" t="str">
        <f>IF(H72="CHK",VLOOKUP(I72,QCCHK,3,),IF(H72="GUP",VLOOKUP(E72,QCGUP,2,),IF(AND(H72="ATP",OR(I72="TN",I72="TDN",I72="TNO2-3",I72="NO2-3")),VLOOKUP(E72,QCREC_N,2,),IF(AND(H72="NIC",OR(I72="TN",I72="TDN",I72="TNO2-3",I72="NO2-3")),VLOOKUP(E72,QCNIC_N,2,),IF(AND(H72="UREA",OR(I72="TN",I72="TDN",I72="TNO2-3",I72="NO2-3")),VLOOKUP(E72,QCUREA_N,2,),IF(H72="PER",VLOOKUP(I72,QCPER,MATCH(E72,QCACTUAL!$J$25:$AA$25,0),),IF(H72="SPK",VLOOKUP(I72,QCSPK,3,),IF(AND(H72="ATP",OR(I72="TP",I72="TDP")),VLOOKUP(E72,QCATP_P,2,),""))))))))</f>
        <v/>
      </c>
      <c r="W72" s="31" t="str">
        <f t="shared" si="17"/>
        <v>TRUE</v>
      </c>
      <c r="X72" s="31" t="str">
        <f t="shared" si="18"/>
        <v/>
      </c>
      <c r="Y72" s="10" t="s">
        <v>951</v>
      </c>
      <c r="Z72" s="10"/>
      <c r="AL72" s="10" t="str">
        <f t="shared" si="19"/>
        <v>FALSE</v>
      </c>
      <c r="AM72" s="10" t="str">
        <f t="shared" si="19"/>
        <v>FALSE</v>
      </c>
      <c r="AN72" s="10" t="str">
        <f t="shared" si="19"/>
        <v>FALSE</v>
      </c>
      <c r="AO72" s="10" t="str">
        <f t="shared" si="20"/>
        <v>FALSE</v>
      </c>
      <c r="AP72" s="10" t="str">
        <f t="shared" si="20"/>
        <v>FALSE</v>
      </c>
      <c r="AQ72" s="10" t="b">
        <f>IF(AND(I72="TP",S72&lt;=150),VLOOKUP(AF72,TPCalibEq150!$AZ$2:$BB$166,3,),IF(AND(I72="TDP",S72&lt;=150),VLOOKUP(AF72,TPCalibEq150!$AZ$2:$BB$166,3,)))</f>
        <v>0</v>
      </c>
      <c r="AR72" s="10" t="b">
        <f>IF(AND(I72="TP",S72&lt;=300),VLOOKUP(AF72,TPCalibEq300!$AZ$2:$BB$166,3,),IF(AND(I72="TDP",S72&lt;=300),VLOOKUP(AF72,TPCalibEq300!$AZ$2:$BB$166,3,)))</f>
        <v>0</v>
      </c>
      <c r="AS72" s="10" t="b">
        <f>IF(AND(I72="TP",S72&lt;=500),VLOOKUP(AF72,TPCalibEq500!$AZ$2:$BB$165,3,),IF(AND(I72="TDP",S72&lt;=500),VLOOKUP(AF72,TPCalibEq500!$AZ$2:$BB$165,3,)))</f>
        <v>0</v>
      </c>
      <c r="AT72" s="10" t="b">
        <f>IF(AND(I72="TN",S72&lt;=2800),VLOOKUP(AF72,TNCalibEq2500!$AZ$2:$BB$165,3,),IF(AND(I72="TDN",S72&lt;=2800),VLOOKUP(AF72,TNCalibEq2500!$AZ$2:$BB$165,3,)))</f>
        <v>0</v>
      </c>
      <c r="AU72" s="10" t="b">
        <f>IF(I72="TP",VLOOKUP(AF72,TPCalibEqFull!$AZ$2:$BB$165,3),IF(I72="TDP",VLOOKUP(AF72,TPCalibEqFull!$AZ$2:$BB$165,3),IF(I72="TDN",VLOOKUP(AF72,TNCalibEqFull!$AZ$2:$BB$164,3),IF(I72="TN",VLOOKUP(AF72,TNCalibEqFull!$AZ$2:$BB$164,3),FALSE))))</f>
        <v>0</v>
      </c>
      <c r="AV72" s="10" t="str">
        <f t="shared" si="21"/>
        <v>20240810 00:00:00-1000-26-Sh-1-SW-UKN</v>
      </c>
    </row>
    <row r="73" spans="1:48" x14ac:dyDescent="0.3">
      <c r="A73" s="32">
        <v>45514</v>
      </c>
      <c r="B73" s="33">
        <v>0</v>
      </c>
      <c r="C73" s="10">
        <v>1000</v>
      </c>
      <c r="D73" s="10">
        <v>26</v>
      </c>
      <c r="E73" s="10" t="s">
        <v>953</v>
      </c>
      <c r="F73" s="10">
        <v>2</v>
      </c>
      <c r="G73" s="10" t="s">
        <v>229</v>
      </c>
      <c r="H73" s="10" t="s">
        <v>320</v>
      </c>
      <c r="I73" s="10" t="s">
        <v>283</v>
      </c>
      <c r="J73" s="10">
        <v>33</v>
      </c>
      <c r="K73" s="12">
        <v>45687</v>
      </c>
      <c r="L73" s="33">
        <v>0.50915509259259262</v>
      </c>
      <c r="M73" s="10">
        <v>1</v>
      </c>
      <c r="N73" s="10" t="s">
        <v>209</v>
      </c>
      <c r="O73" s="10">
        <v>7.8100000000000003E-2</v>
      </c>
      <c r="P73" s="10">
        <v>8.4799999999999997E-3</v>
      </c>
      <c r="Q73" s="10">
        <v>18.8</v>
      </c>
      <c r="R73" s="10" t="s">
        <v>930</v>
      </c>
      <c r="S73" s="34">
        <f t="shared" si="15"/>
        <v>18.8</v>
      </c>
      <c r="T73" s="10" t="s">
        <v>955</v>
      </c>
      <c r="U73" s="34" t="str">
        <f t="shared" si="16"/>
        <v/>
      </c>
      <c r="V73" s="31" t="str">
        <f>IF(H73="CHK",VLOOKUP(I73,QCCHK,3,),IF(H73="GUP",VLOOKUP(E73,QCGUP,2,),IF(AND(H73="ATP",OR(I73="TN",I73="TDN",I73="TNO2-3",I73="NO2-3")),VLOOKUP(E73,QCREC_N,2,),IF(AND(H73="NIC",OR(I73="TN",I73="TDN",I73="TNO2-3",I73="NO2-3")),VLOOKUP(E73,QCNIC_N,2,),IF(AND(H73="UREA",OR(I73="TN",I73="TDN",I73="TNO2-3",I73="NO2-3")),VLOOKUP(E73,QCUREA_N,2,),IF(H73="PER",VLOOKUP(I73,QCPER,MATCH(E73,QCACTUAL!$J$25:$AA$25,0),),IF(H73="SPK",VLOOKUP(I73,QCSPK,3,),IF(AND(H73="ATP",OR(I73="TP",I73="TDP")),VLOOKUP(E73,QCATP_P,2,),""))))))))</f>
        <v/>
      </c>
      <c r="W73" s="31" t="str">
        <f t="shared" si="17"/>
        <v>TRUE</v>
      </c>
      <c r="X73" s="31" t="str">
        <f t="shared" si="18"/>
        <v/>
      </c>
      <c r="Y73" s="10" t="s">
        <v>951</v>
      </c>
      <c r="Z73" s="10"/>
      <c r="AL73" s="10" t="str">
        <f t="shared" si="19"/>
        <v>FALSE</v>
      </c>
      <c r="AM73" s="10" t="str">
        <f t="shared" si="19"/>
        <v>FALSE</v>
      </c>
      <c r="AN73" s="10" t="str">
        <f t="shared" si="19"/>
        <v>FALSE</v>
      </c>
      <c r="AO73" s="10" t="str">
        <f t="shared" si="20"/>
        <v>FALSE</v>
      </c>
      <c r="AP73" s="10" t="str">
        <f t="shared" si="20"/>
        <v>FALSE</v>
      </c>
      <c r="AQ73" s="10" t="b">
        <f>IF(AND(I73="TP",S73&lt;=150),VLOOKUP(AF73,TPCalibEq150!$AZ$2:$BB$166,3,),IF(AND(I73="TDP",S73&lt;=150),VLOOKUP(AF73,TPCalibEq150!$AZ$2:$BB$166,3,)))</f>
        <v>0</v>
      </c>
      <c r="AR73" s="10" t="b">
        <f>IF(AND(I73="TP",S73&lt;=300),VLOOKUP(AF73,TPCalibEq300!$AZ$2:$BB$166,3,),IF(AND(I73="TDP",S73&lt;=300),VLOOKUP(AF73,TPCalibEq300!$AZ$2:$BB$166,3,)))</f>
        <v>0</v>
      </c>
      <c r="AS73" s="10" t="b">
        <f>IF(AND(I73="TP",S73&lt;=500),VLOOKUP(AF73,TPCalibEq500!$AZ$2:$BB$165,3,),IF(AND(I73="TDP",S73&lt;=500),VLOOKUP(AF73,TPCalibEq500!$AZ$2:$BB$165,3,)))</f>
        <v>0</v>
      </c>
      <c r="AT73" s="10" t="b">
        <f>IF(AND(I73="TN",S73&lt;=2800),VLOOKUP(AF73,TNCalibEq2500!$AZ$2:$BB$165,3,),IF(AND(I73="TDN",S73&lt;=2800),VLOOKUP(AF73,TNCalibEq2500!$AZ$2:$BB$165,3,)))</f>
        <v>0</v>
      </c>
      <c r="AU73" s="10" t="b">
        <f>IF(I73="TP",VLOOKUP(AF73,TPCalibEqFull!$AZ$2:$BB$165,3),IF(I73="TDP",VLOOKUP(AF73,TPCalibEqFull!$AZ$2:$BB$165,3),IF(I73="TDN",VLOOKUP(AF73,TNCalibEqFull!$AZ$2:$BB$164,3),IF(I73="TN",VLOOKUP(AF73,TNCalibEqFull!$AZ$2:$BB$164,3),FALSE))))</f>
        <v>0</v>
      </c>
      <c r="AV73" s="10" t="str">
        <f t="shared" si="21"/>
        <v>20240810 00:00:00-1000-26-Sh-2-SW-UKN</v>
      </c>
    </row>
    <row r="74" spans="1:48" x14ac:dyDescent="0.3">
      <c r="A74" s="32">
        <v>45514</v>
      </c>
      <c r="B74" s="33">
        <v>0</v>
      </c>
      <c r="C74" s="10">
        <v>1000</v>
      </c>
      <c r="D74" s="10">
        <v>26</v>
      </c>
      <c r="E74" s="10" t="s">
        <v>954</v>
      </c>
      <c r="F74" s="10">
        <v>1</v>
      </c>
      <c r="G74" s="10" t="s">
        <v>229</v>
      </c>
      <c r="H74" s="10" t="s">
        <v>320</v>
      </c>
      <c r="I74" s="10" t="s">
        <v>283</v>
      </c>
      <c r="J74" s="10">
        <v>34</v>
      </c>
      <c r="K74" s="12">
        <v>45687</v>
      </c>
      <c r="L74" s="33">
        <v>0.50996527777777778</v>
      </c>
      <c r="M74" s="10">
        <v>1</v>
      </c>
      <c r="N74" s="10" t="s">
        <v>209</v>
      </c>
      <c r="O74" s="10">
        <v>0.109</v>
      </c>
      <c r="P74" s="10">
        <v>1.2200000000000001E-2</v>
      </c>
      <c r="Q74" s="10">
        <v>24.8</v>
      </c>
      <c r="R74" s="10" t="s">
        <v>930</v>
      </c>
      <c r="S74" s="34">
        <f t="shared" si="15"/>
        <v>24.8</v>
      </c>
      <c r="T74" s="10" t="s">
        <v>955</v>
      </c>
      <c r="U74" s="34" t="str">
        <f t="shared" si="16"/>
        <v/>
      </c>
      <c r="V74" s="31" t="str">
        <f>IF(H74="CHK",VLOOKUP(I74,QCCHK,3,),IF(H74="GUP",VLOOKUP(E74,QCGUP,2,),IF(AND(H74="ATP",OR(I74="TN",I74="TDN",I74="TNO2-3",I74="NO2-3")),VLOOKUP(E74,QCREC_N,2,),IF(AND(H74="NIC",OR(I74="TN",I74="TDN",I74="TNO2-3",I74="NO2-3")),VLOOKUP(E74,QCNIC_N,2,),IF(AND(H74="UREA",OR(I74="TN",I74="TDN",I74="TNO2-3",I74="NO2-3")),VLOOKUP(E74,QCUREA_N,2,),IF(H74="PER",VLOOKUP(I74,QCPER,MATCH(E74,QCACTUAL!$J$25:$AA$25,0),),IF(H74="SPK",VLOOKUP(I74,QCSPK,3,),IF(AND(H74="ATP",OR(I74="TP",I74="TDP")),VLOOKUP(E74,QCATP_P,2,),""))))))))</f>
        <v/>
      </c>
      <c r="W74" s="31" t="str">
        <f t="shared" si="17"/>
        <v>TRUE</v>
      </c>
      <c r="X74" s="31" t="str">
        <f t="shared" si="18"/>
        <v/>
      </c>
      <c r="Y74" s="10" t="s">
        <v>951</v>
      </c>
      <c r="Z74" s="10"/>
      <c r="AL74" s="10" t="str">
        <f t="shared" si="19"/>
        <v>FALSE</v>
      </c>
      <c r="AM74" s="10" t="str">
        <f t="shared" si="19"/>
        <v>FALSE</v>
      </c>
      <c r="AN74" s="10" t="str">
        <f t="shared" si="19"/>
        <v>FALSE</v>
      </c>
      <c r="AO74" s="10" t="str">
        <f t="shared" si="20"/>
        <v>FALSE</v>
      </c>
      <c r="AP74" s="10" t="str">
        <f t="shared" si="20"/>
        <v>FALSE</v>
      </c>
      <c r="AQ74" s="10" t="b">
        <f>IF(AND(I74="TP",S74&lt;=150),VLOOKUP(AF74,TPCalibEq150!$AZ$2:$BB$166,3,),IF(AND(I74="TDP",S74&lt;=150),VLOOKUP(AF74,TPCalibEq150!$AZ$2:$BB$166,3,)))</f>
        <v>0</v>
      </c>
      <c r="AR74" s="10" t="b">
        <f>IF(AND(I74="TP",S74&lt;=300),VLOOKUP(AF74,TPCalibEq300!$AZ$2:$BB$166,3,),IF(AND(I74="TDP",S74&lt;=300),VLOOKUP(AF74,TPCalibEq300!$AZ$2:$BB$166,3,)))</f>
        <v>0</v>
      </c>
      <c r="AS74" s="10" t="b">
        <f>IF(AND(I74="TP",S74&lt;=500),VLOOKUP(AF74,TPCalibEq500!$AZ$2:$BB$165,3,),IF(AND(I74="TDP",S74&lt;=500),VLOOKUP(AF74,TPCalibEq500!$AZ$2:$BB$165,3,)))</f>
        <v>0</v>
      </c>
      <c r="AT74" s="10" t="b">
        <f>IF(AND(I74="TN",S74&lt;=2800),VLOOKUP(AF74,TNCalibEq2500!$AZ$2:$BB$165,3,),IF(AND(I74="TDN",S74&lt;=2800),VLOOKUP(AF74,TNCalibEq2500!$AZ$2:$BB$165,3,)))</f>
        <v>0</v>
      </c>
      <c r="AU74" s="10" t="b">
        <f>IF(I74="TP",VLOOKUP(AF74,TPCalibEqFull!$AZ$2:$BB$165,3),IF(I74="TDP",VLOOKUP(AF74,TPCalibEqFull!$AZ$2:$BB$165,3),IF(I74="TDN",VLOOKUP(AF74,TNCalibEqFull!$AZ$2:$BB$164,3),IF(I74="TN",VLOOKUP(AF74,TNCalibEqFull!$AZ$2:$BB$164,3),FALSE))))</f>
        <v>0</v>
      </c>
      <c r="AV74" s="10" t="str">
        <f t="shared" si="21"/>
        <v>20240810 00:00:00-1000-26-Dp-1-SW-UKN</v>
      </c>
    </row>
    <row r="75" spans="1:48" x14ac:dyDescent="0.3">
      <c r="A75" s="32">
        <v>45514</v>
      </c>
      <c r="B75" s="33">
        <v>0</v>
      </c>
      <c r="C75" s="10">
        <v>1000</v>
      </c>
      <c r="D75" s="10">
        <v>26</v>
      </c>
      <c r="E75" s="10" t="s">
        <v>954</v>
      </c>
      <c r="F75" s="10">
        <v>1</v>
      </c>
      <c r="G75" s="10" t="s">
        <v>229</v>
      </c>
      <c r="H75" s="10" t="s">
        <v>231</v>
      </c>
      <c r="I75" s="10" t="s">
        <v>283</v>
      </c>
      <c r="J75" s="10">
        <v>34</v>
      </c>
      <c r="K75" s="12">
        <v>45687</v>
      </c>
      <c r="L75" s="33">
        <v>0.51078703703703698</v>
      </c>
      <c r="M75" s="10">
        <v>1</v>
      </c>
      <c r="N75" s="10" t="s">
        <v>209</v>
      </c>
      <c r="O75" s="10">
        <v>0.113</v>
      </c>
      <c r="P75" s="10">
        <v>1.21E-2</v>
      </c>
      <c r="Q75" s="10">
        <v>25.8</v>
      </c>
      <c r="R75" s="10" t="s">
        <v>930</v>
      </c>
      <c r="S75" s="34">
        <f t="shared" si="15"/>
        <v>25.8</v>
      </c>
      <c r="T75" s="10" t="s">
        <v>955</v>
      </c>
      <c r="U75" s="34">
        <f t="shared" si="16"/>
        <v>3.9525691699604746</v>
      </c>
      <c r="V75" s="31" t="str">
        <f>IF(H75="CHK",VLOOKUP(I75,QCCHK,3,),IF(H75="GUP",VLOOKUP(E75,QCGUP,2,),IF(AND(H75="ATP",OR(I75="TN",I75="TDN",I75="TNO2-3",I75="NO2-3")),VLOOKUP(E75,QCREC_N,2,),IF(AND(H75="NIC",OR(I75="TN",I75="TDN",I75="TNO2-3",I75="NO2-3")),VLOOKUP(E75,QCNIC_N,2,),IF(AND(H75="UREA",OR(I75="TN",I75="TDN",I75="TNO2-3",I75="NO2-3")),VLOOKUP(E75,QCUREA_N,2,),IF(H75="PER",VLOOKUP(I75,QCPER,MATCH(E75,QCACTUAL!$J$25:$AA$25,0),),IF(H75="SPK",VLOOKUP(I75,QCSPK,3,),IF(AND(H75="ATP",OR(I75="TP",I75="TDP")),VLOOKUP(E75,QCATP_P,2,),""))))))))</f>
        <v/>
      </c>
      <c r="W75" s="31" t="str">
        <f t="shared" si="17"/>
        <v>TRUE</v>
      </c>
      <c r="X75" s="31" t="str">
        <f t="shared" si="18"/>
        <v>((ABS(rep1-rep2))/((rep1+rep2)/2)*100</v>
      </c>
      <c r="Y75" s="10" t="s">
        <v>951</v>
      </c>
      <c r="Z75" s="10"/>
      <c r="AL75" s="10" t="str">
        <f t="shared" si="19"/>
        <v>FALSE</v>
      </c>
      <c r="AM75" s="10" t="str">
        <f t="shared" si="19"/>
        <v>FALSE</v>
      </c>
      <c r="AN75" s="10" t="str">
        <f t="shared" si="19"/>
        <v>FALSE</v>
      </c>
      <c r="AO75" s="10" t="str">
        <f t="shared" si="20"/>
        <v>FALSE</v>
      </c>
      <c r="AP75" s="10" t="str">
        <f t="shared" si="20"/>
        <v>FALSE</v>
      </c>
      <c r="AQ75" s="10" t="b">
        <f>IF(AND(I75="TP",S75&lt;=150),VLOOKUP(AF75,TPCalibEq150!$AZ$2:$BB$166,3,),IF(AND(I75="TDP",S75&lt;=150),VLOOKUP(AF75,TPCalibEq150!$AZ$2:$BB$166,3,)))</f>
        <v>0</v>
      </c>
      <c r="AR75" s="10" t="b">
        <f>IF(AND(I75="TP",S75&lt;=300),VLOOKUP(AF75,TPCalibEq300!$AZ$2:$BB$166,3,),IF(AND(I75="TDP",S75&lt;=300),VLOOKUP(AF75,TPCalibEq300!$AZ$2:$BB$166,3,)))</f>
        <v>0</v>
      </c>
      <c r="AS75" s="10" t="b">
        <f>IF(AND(I75="TP",S75&lt;=500),VLOOKUP(AF75,TPCalibEq500!$AZ$2:$BB$165,3,),IF(AND(I75="TDP",S75&lt;=500),VLOOKUP(AF75,TPCalibEq500!$AZ$2:$BB$165,3,)))</f>
        <v>0</v>
      </c>
      <c r="AT75" s="10" t="b">
        <f>IF(AND(I75="TN",S75&lt;=2800),VLOOKUP(AF75,TNCalibEq2500!$AZ$2:$BB$165,3,),IF(AND(I75="TDN",S75&lt;=2800),VLOOKUP(AF75,TNCalibEq2500!$AZ$2:$BB$165,3,)))</f>
        <v>0</v>
      </c>
      <c r="AU75" s="10" t="b">
        <f>IF(I75="TP",VLOOKUP(AF75,TPCalibEqFull!$AZ$2:$BB$165,3),IF(I75="TDP",VLOOKUP(AF75,TPCalibEqFull!$AZ$2:$BB$165,3),IF(I75="TDN",VLOOKUP(AF75,TNCalibEqFull!$AZ$2:$BB$164,3),IF(I75="TN",VLOOKUP(AF75,TNCalibEqFull!$AZ$2:$BB$164,3),FALSE))))</f>
        <v>0</v>
      </c>
      <c r="AV75" s="10" t="str">
        <f t="shared" si="21"/>
        <v>20240810 00:00:00-1000-26-Dp-1-SW-DUP</v>
      </c>
    </row>
    <row r="76" spans="1:48" x14ac:dyDescent="0.3">
      <c r="A76" s="32">
        <v>45500</v>
      </c>
      <c r="B76" s="33">
        <v>0</v>
      </c>
      <c r="C76" s="10">
        <v>1000</v>
      </c>
      <c r="D76" s="10">
        <v>1</v>
      </c>
      <c r="E76" s="10" t="s">
        <v>953</v>
      </c>
      <c r="F76" s="10">
        <v>1</v>
      </c>
      <c r="G76" s="10" t="s">
        <v>72</v>
      </c>
      <c r="H76" s="10" t="s">
        <v>239</v>
      </c>
      <c r="I76" s="10" t="s">
        <v>254</v>
      </c>
      <c r="J76" s="10">
        <v>1</v>
      </c>
      <c r="K76" s="12">
        <v>45687</v>
      </c>
      <c r="L76" s="33">
        <v>0.46931712962962963</v>
      </c>
      <c r="M76" s="10">
        <v>1</v>
      </c>
      <c r="N76" s="10" t="s">
        <v>167</v>
      </c>
      <c r="O76" s="10">
        <v>1.7100000000000001E-2</v>
      </c>
      <c r="P76" s="10">
        <v>1.06E-3</v>
      </c>
      <c r="Q76" s="10">
        <v>4.83</v>
      </c>
      <c r="R76" s="10" t="s">
        <v>76</v>
      </c>
      <c r="S76" s="34">
        <f t="shared" ref="S76:S112" si="22">IF(OR(AND(I76&lt;&gt;"TP", I76&lt;&gt;"TDP",I76&lt;&gt;"TN", I76&lt;&gt;"TDN"),H76="CAL"), Q76*M76, IF(OR(AND(I76="TN", Q76&gt;2500), AND(I76="TDN", Q76&gt;2500)),MAX(Q76, AK76)*M76, IF(OR(AND(I76="TN", Q76&lt;=2500), AND(I76="TDN", Q76&lt;=2500)),MAX(Q76, AJ76,AK76)*M76, IF(OR(AND(I76="TP",Q76&gt;500), AND(I76="TDP", Q76&gt;500)),MAX(Q76,AK76)*M76,IF(OR(AND(I76="TP",Q76&lt;=150), AND(I76="TDP", Q76&lt;=150)),MAX(Q76,AG76:AI76,AK76)*M76,IF(OR(AND(I76="TP",Q76&lt;=300), AND(I76="TDP", Q76&lt;=300)),MAX(Q76,AH76,AI76,AK76)*M76,IF(OR(AND(I76="TP",Q76&lt;=500), AND(I76="TDP", Q76&lt;=500)),MAX(Q76,AI76,AK76)*M76,"")))))))</f>
        <v>4.83</v>
      </c>
      <c r="T76" s="10" t="s">
        <v>956</v>
      </c>
      <c r="U76" s="34" t="str">
        <f>IF(OR(H76="CHK",H76="ATP",H76="GUP",H76="PER", H76="NIC", H76="UREA"),(S76/V76*100),IF(H76="DUP",((ABS(S76-#REF!))/((#REF!+S76)/2))*100,IF(H76="SPK",((S76-#REF!)/V76*100),IF(OR(H76="LAB",H76="FLD",H76="ESF"),S76,""))))</f>
        <v/>
      </c>
      <c r="V76" s="31" t="str">
        <f>IF(H76="CHK",VLOOKUP(I76,QCCHK,3,),IF(H76="GUP",VLOOKUP(E76,QCGUP,2,),IF(AND(H76="ATP",OR(I76="TN",I76="TDN",I76="TNO2-3",I76="NO2-3")),VLOOKUP(E76,QCREC_N,2,),IF(AND(H76="NIC",OR(I76="TN",I76="TDN",I76="TNO2-3",I76="NO2-3")),VLOOKUP(E76,QCNIC_N,2,),IF(AND(H76="UREA",OR(I76="TN",I76="TDN",I76="TNO2-3",I76="NO2-3")),VLOOKUP(E76,QCUREA_N,2,),IF(H76="PER",VLOOKUP(I76,QCPER,MATCH(E76,QCACTUAL!$J$25:$AA$25,0),),IF(H76="SPK",VLOOKUP(I76,QCSPK,3,),IF(AND(H76="ATP",OR(I76="TP",I76="TDP")),VLOOKUP(E76,QCATP_P,2,),""))))))))</f>
        <v/>
      </c>
      <c r="W76" s="31" t="str">
        <f t="shared" ref="W76:W112" si="23">IF(AND(OR(H76="PER",H76="ATP",H76="GUP",H76="CHK",H76="SPK", H76="NIC"),OR(U76&gt;125,U76&lt;75)),"FALSE",IF(AND(H76="DUP",OR(U76&gt;25, U76&lt;-25)),"FALSE",IF(AND(OR(H76="LAB",H76="FLD",H76="ESF"),U76&gt;15),"FALSE","TRUE")))</f>
        <v>TRUE</v>
      </c>
      <c r="X76" s="31" t="str">
        <f t="shared" ref="X76:X112" si="24">IF(ISNA(VLOOKUP(H76,QCEQUATIONS,2,)),"",(VLOOKUP(H76,QCEQUATIONS,2,)))</f>
        <v/>
      </c>
      <c r="Y76" s="10" t="s">
        <v>951</v>
      </c>
      <c r="Z76" s="10"/>
      <c r="AL76" s="10" t="str">
        <f t="shared" ref="AL76:AN112" si="25">IF($O76="", "", IF(AQ76&lt;&gt;"", SUBSTITUTE(SUBSTITUTE(AQ76, "x", "*"&amp;$O76&amp;"^", 1), "x", "*"&amp;$O76, 1), ""))</f>
        <v>FALSE</v>
      </c>
      <c r="AM76" s="10" t="str">
        <f t="shared" si="25"/>
        <v>FALSE</v>
      </c>
      <c r="AN76" s="10" t="str">
        <f t="shared" si="25"/>
        <v>FALSE</v>
      </c>
      <c r="AO76" s="10" t="str">
        <f t="shared" ref="AO76:AP112" si="26">IF($O76="", "FALSE", IF(AT76&lt;&gt;"FALSE", SUBSTITUTE(SUBSTITUTE(AT76, "x", "*"&amp;$O76&amp;"^", 1), "x", "*"&amp;$O76, 1), ""))</f>
        <v>FALSE</v>
      </c>
      <c r="AP76" s="10" t="str">
        <f t="shared" si="26"/>
        <v>FALSE</v>
      </c>
      <c r="AQ76" s="10" t="b">
        <f>IF(AND(I76="TP",S76&lt;=150),VLOOKUP(AF76,TPCalibEq150!$AZ$2:$BB$166,3,),IF(AND(I76="TDP",S76&lt;=150),VLOOKUP(AF76,TPCalibEq150!$AZ$2:$BB$166,3,)))</f>
        <v>0</v>
      </c>
      <c r="AR76" s="10" t="b">
        <f>IF(AND(I76="TP",S76&lt;=300),VLOOKUP(AF76,TPCalibEq300!$AZ$2:$BB$166,3,),IF(AND(I76="TDP",S76&lt;=300),VLOOKUP(AF76,TPCalibEq300!$AZ$2:$BB$166,3,)))</f>
        <v>0</v>
      </c>
      <c r="AS76" s="10" t="b">
        <f>IF(AND(I76="TP",S76&lt;=500),VLOOKUP(AF76,TPCalibEq500!$AZ$2:$BB$165,3,),IF(AND(I76="TDP",S76&lt;=500),VLOOKUP(AF76,TPCalibEq500!$AZ$2:$BB$165,3,)))</f>
        <v>0</v>
      </c>
      <c r="AT76" s="10" t="b">
        <f>IF(AND(I76="TN",S76&lt;=2800),VLOOKUP(AF76,TNCalibEq2500!$AZ$2:$BB$165,3,),IF(AND(I76="TDN",S76&lt;=2800),VLOOKUP(AF76,TNCalibEq2500!$AZ$2:$BB$165,3,)))</f>
        <v>0</v>
      </c>
      <c r="AU76" s="10" t="b">
        <f>IF(I76="TP",VLOOKUP(AF76,TPCalibEqFull!$AZ$2:$BB$165,3),IF(I76="TDP",VLOOKUP(AF76,TPCalibEqFull!$AZ$2:$BB$165,3),IF(I76="TDN",VLOOKUP(AF76,TNCalibEqFull!$AZ$2:$BB$164,3),IF(I76="TN",VLOOKUP(AF76,TNCalibEqFull!$AZ$2:$BB$164,3),FALSE))))</f>
        <v>0</v>
      </c>
      <c r="AV76" s="10" t="str">
        <f t="shared" ref="AV76:AV112" si="27">TEXT(A76, "YYYYMMDD")&amp;" "&amp;TEXT(B76, "HH:MM:SS")&amp;"-"&amp;C76&amp;"-"&amp;D76&amp;"-"&amp;E76&amp;"-"&amp;F76&amp;"-"&amp;G76&amp;"-"&amp;H76</f>
        <v>20240727 00:00:00-1000-1-Sh-1-DI-BLK</v>
      </c>
    </row>
    <row r="77" spans="1:48" x14ac:dyDescent="0.3">
      <c r="A77" s="32">
        <v>45500</v>
      </c>
      <c r="B77" s="33">
        <v>0</v>
      </c>
      <c r="C77" s="10">
        <v>1000</v>
      </c>
      <c r="D77" s="10">
        <v>1</v>
      </c>
      <c r="E77" s="10" t="s">
        <v>953</v>
      </c>
      <c r="F77" s="10">
        <v>1</v>
      </c>
      <c r="G77" s="10" t="s">
        <v>229</v>
      </c>
      <c r="H77" s="10" t="s">
        <v>320</v>
      </c>
      <c r="I77" s="10" t="s">
        <v>254</v>
      </c>
      <c r="J77" s="10">
        <v>2</v>
      </c>
      <c r="K77" s="12">
        <v>45687</v>
      </c>
      <c r="L77" s="33">
        <v>0.47015046296296298</v>
      </c>
      <c r="M77" s="10">
        <v>1</v>
      </c>
      <c r="N77" s="10" t="s">
        <v>167</v>
      </c>
      <c r="O77" s="10">
        <v>2.9899999999999999E-2</v>
      </c>
      <c r="P77" s="10">
        <v>1.7899999999999999E-3</v>
      </c>
      <c r="Q77" s="10">
        <v>6.72</v>
      </c>
      <c r="R77" s="10" t="s">
        <v>76</v>
      </c>
      <c r="S77" s="34">
        <f t="shared" si="22"/>
        <v>6.72</v>
      </c>
      <c r="T77" s="10" t="s">
        <v>956</v>
      </c>
      <c r="U77" s="34" t="str">
        <f t="shared" ref="U77:U112" si="28">IF(OR(H77="CHK",H77="ATP",H77="GUP",H77="PER", H77="NIC", H77="UREA"),(S77/V77*100),IF(H77="DUP",((ABS(S77-S76))/((S76+S77)/2))*100,IF(H77="SPK",((S77-S76)/V77*100),IF(OR(H77="LAB",H77="FLD",H77="ESF"),S77,""))))</f>
        <v/>
      </c>
      <c r="V77" s="31" t="str">
        <f>IF(H77="CHK",VLOOKUP(I77,QCCHK,3,),IF(H77="GUP",VLOOKUP(E77,QCGUP,2,),IF(AND(H77="ATP",OR(I77="TN",I77="TDN",I77="TNO2-3",I77="NO2-3")),VLOOKUP(E77,QCREC_N,2,),IF(AND(H77="NIC",OR(I77="TN",I77="TDN",I77="TNO2-3",I77="NO2-3")),VLOOKUP(E77,QCNIC_N,2,),IF(AND(H77="UREA",OR(I77="TN",I77="TDN",I77="TNO2-3",I77="NO2-3")),VLOOKUP(E77,QCUREA_N,2,),IF(H77="PER",VLOOKUP(I77,QCPER,MATCH(E77,QCACTUAL!$J$25:$AA$25,0),),IF(H77="SPK",VLOOKUP(I77,QCSPK,3,),IF(AND(H77="ATP",OR(I77="TP",I77="TDP")),VLOOKUP(E77,QCATP_P,2,),""))))))))</f>
        <v/>
      </c>
      <c r="W77" s="31" t="str">
        <f t="shared" si="23"/>
        <v>TRUE</v>
      </c>
      <c r="X77" s="31" t="str">
        <f t="shared" si="24"/>
        <v/>
      </c>
      <c r="Y77" s="10" t="s">
        <v>951</v>
      </c>
      <c r="Z77" s="10"/>
      <c r="AL77" s="10" t="str">
        <f t="shared" si="25"/>
        <v>FALSE</v>
      </c>
      <c r="AM77" s="10" t="str">
        <f t="shared" si="25"/>
        <v>FALSE</v>
      </c>
      <c r="AN77" s="10" t="str">
        <f t="shared" si="25"/>
        <v>FALSE</v>
      </c>
      <c r="AO77" s="10" t="str">
        <f t="shared" si="26"/>
        <v>FALSE</v>
      </c>
      <c r="AP77" s="10" t="str">
        <f t="shared" si="26"/>
        <v>FALSE</v>
      </c>
      <c r="AQ77" s="10" t="b">
        <f>IF(AND(I77="TP",S77&lt;=150),VLOOKUP(AF77,TPCalibEq150!$AZ$2:$BB$166,3,),IF(AND(I77="TDP",S77&lt;=150),VLOOKUP(AF77,TPCalibEq150!$AZ$2:$BB$166,3,)))</f>
        <v>0</v>
      </c>
      <c r="AR77" s="10" t="b">
        <f>IF(AND(I77="TP",S77&lt;=300),VLOOKUP(AF77,TPCalibEq300!$AZ$2:$BB$166,3,),IF(AND(I77="TDP",S77&lt;=300),VLOOKUP(AF77,TPCalibEq300!$AZ$2:$BB$166,3,)))</f>
        <v>0</v>
      </c>
      <c r="AS77" s="10" t="b">
        <f>IF(AND(I77="TP",S77&lt;=500),VLOOKUP(AF77,TPCalibEq500!$AZ$2:$BB$165,3,),IF(AND(I77="TDP",S77&lt;=500),VLOOKUP(AF77,TPCalibEq500!$AZ$2:$BB$165,3,)))</f>
        <v>0</v>
      </c>
      <c r="AT77" s="10" t="b">
        <f>IF(AND(I77="TN",S77&lt;=2800),VLOOKUP(AF77,TNCalibEq2500!$AZ$2:$BB$165,3,),IF(AND(I77="TDN",S77&lt;=2800),VLOOKUP(AF77,TNCalibEq2500!$AZ$2:$BB$165,3,)))</f>
        <v>0</v>
      </c>
      <c r="AU77" s="10" t="b">
        <f>IF(I77="TP",VLOOKUP(AF77,TPCalibEqFull!$AZ$2:$BB$165,3),IF(I77="TDP",VLOOKUP(AF77,TPCalibEqFull!$AZ$2:$BB$165,3),IF(I77="TDN",VLOOKUP(AF77,TNCalibEqFull!$AZ$2:$BB$164,3),IF(I77="TN",VLOOKUP(AF77,TNCalibEqFull!$AZ$2:$BB$164,3),FALSE))))</f>
        <v>0</v>
      </c>
      <c r="AV77" s="10" t="str">
        <f t="shared" si="27"/>
        <v>20240727 00:00:00-1000-1-Sh-1-SW-UKN</v>
      </c>
    </row>
    <row r="78" spans="1:48" x14ac:dyDescent="0.3">
      <c r="A78" s="32">
        <v>45507</v>
      </c>
      <c r="B78" s="33">
        <v>0</v>
      </c>
      <c r="C78" s="10">
        <v>1000</v>
      </c>
      <c r="D78" s="10">
        <v>1</v>
      </c>
      <c r="E78" s="10" t="s">
        <v>954</v>
      </c>
      <c r="F78" s="10">
        <v>1</v>
      </c>
      <c r="G78" s="10" t="s">
        <v>229</v>
      </c>
      <c r="H78" s="10" t="s">
        <v>320</v>
      </c>
      <c r="I78" s="10" t="s">
        <v>254</v>
      </c>
      <c r="J78" s="10">
        <v>3</v>
      </c>
      <c r="K78" s="12">
        <v>45687</v>
      </c>
      <c r="L78" s="33">
        <v>0.47097222222222218</v>
      </c>
      <c r="M78" s="10">
        <v>1</v>
      </c>
      <c r="N78" s="10" t="s">
        <v>167</v>
      </c>
      <c r="O78" s="10">
        <v>1.4200000000000001E-2</v>
      </c>
      <c r="P78" s="10">
        <v>9.7999999999999997E-4</v>
      </c>
      <c r="Q78" s="10">
        <v>4.4000000000000004</v>
      </c>
      <c r="R78" s="10" t="s">
        <v>76</v>
      </c>
      <c r="S78" s="34">
        <f t="shared" si="22"/>
        <v>4.4000000000000004</v>
      </c>
      <c r="T78" s="10" t="s">
        <v>956</v>
      </c>
      <c r="U78" s="34" t="str">
        <f t="shared" si="28"/>
        <v/>
      </c>
      <c r="V78" s="31" t="str">
        <f>IF(H78="CHK",VLOOKUP(I78,QCCHK,3,),IF(H78="GUP",VLOOKUP(E78,QCGUP,2,),IF(AND(H78="ATP",OR(I78="TN",I78="TDN",I78="TNO2-3",I78="NO2-3")),VLOOKUP(E78,QCREC_N,2,),IF(AND(H78="NIC",OR(I78="TN",I78="TDN",I78="TNO2-3",I78="NO2-3")),VLOOKUP(E78,QCNIC_N,2,),IF(AND(H78="UREA",OR(I78="TN",I78="TDN",I78="TNO2-3",I78="NO2-3")),VLOOKUP(E78,QCUREA_N,2,),IF(H78="PER",VLOOKUP(I78,QCPER,MATCH(E78,QCACTUAL!$J$25:$AA$25,0),),IF(H78="SPK",VLOOKUP(I78,QCSPK,3,),IF(AND(H78="ATP",OR(I78="TP",I78="TDP")),VLOOKUP(E78,QCATP_P,2,),""))))))))</f>
        <v/>
      </c>
      <c r="W78" s="31" t="str">
        <f t="shared" si="23"/>
        <v>TRUE</v>
      </c>
      <c r="X78" s="31" t="str">
        <f t="shared" si="24"/>
        <v/>
      </c>
      <c r="Y78" s="10" t="s">
        <v>951</v>
      </c>
      <c r="Z78" s="10"/>
      <c r="AL78" s="10" t="str">
        <f t="shared" si="25"/>
        <v>FALSE</v>
      </c>
      <c r="AM78" s="10" t="str">
        <f t="shared" si="25"/>
        <v>FALSE</v>
      </c>
      <c r="AN78" s="10" t="str">
        <f t="shared" si="25"/>
        <v>FALSE</v>
      </c>
      <c r="AO78" s="10" t="str">
        <f t="shared" si="26"/>
        <v>FALSE</v>
      </c>
      <c r="AP78" s="10" t="str">
        <f t="shared" si="26"/>
        <v>FALSE</v>
      </c>
      <c r="AQ78" s="10" t="b">
        <f>IF(AND(I78="TP",S78&lt;=150),VLOOKUP(AF78,TPCalibEq150!$AZ$2:$BB$166,3,),IF(AND(I78="TDP",S78&lt;=150),VLOOKUP(AF78,TPCalibEq150!$AZ$2:$BB$166,3,)))</f>
        <v>0</v>
      </c>
      <c r="AR78" s="10" t="b">
        <f>IF(AND(I78="TP",S78&lt;=300),VLOOKUP(AF78,TPCalibEq300!$AZ$2:$BB$166,3,),IF(AND(I78="TDP",S78&lt;=300),VLOOKUP(AF78,TPCalibEq300!$AZ$2:$BB$166,3,)))</f>
        <v>0</v>
      </c>
      <c r="AS78" s="10" t="b">
        <f>IF(AND(I78="TP",S78&lt;=500),VLOOKUP(AF78,TPCalibEq500!$AZ$2:$BB$165,3,),IF(AND(I78="TDP",S78&lt;=500),VLOOKUP(AF78,TPCalibEq500!$AZ$2:$BB$165,3,)))</f>
        <v>0</v>
      </c>
      <c r="AT78" s="10" t="b">
        <f>IF(AND(I78="TN",S78&lt;=2800),VLOOKUP(AF78,TNCalibEq2500!$AZ$2:$BB$165,3,),IF(AND(I78="TDN",S78&lt;=2800),VLOOKUP(AF78,TNCalibEq2500!$AZ$2:$BB$165,3,)))</f>
        <v>0</v>
      </c>
      <c r="AU78" s="10" t="b">
        <f>IF(I78="TP",VLOOKUP(AF78,TPCalibEqFull!$AZ$2:$BB$165,3),IF(I78="TDP",VLOOKUP(AF78,TPCalibEqFull!$AZ$2:$BB$165,3),IF(I78="TDN",VLOOKUP(AF78,TNCalibEqFull!$AZ$2:$BB$164,3),IF(I78="TN",VLOOKUP(AF78,TNCalibEqFull!$AZ$2:$BB$164,3),FALSE))))</f>
        <v>0</v>
      </c>
      <c r="AV78" s="10" t="str">
        <f t="shared" si="27"/>
        <v>20240803 00:00:00-1000-1-Dp-1-SW-UKN</v>
      </c>
    </row>
    <row r="79" spans="1:48" x14ac:dyDescent="0.3">
      <c r="A79" s="32">
        <v>45507</v>
      </c>
      <c r="B79" s="33">
        <v>0</v>
      </c>
      <c r="C79" s="10">
        <v>1000</v>
      </c>
      <c r="D79" s="10">
        <v>2</v>
      </c>
      <c r="E79" s="10" t="s">
        <v>953</v>
      </c>
      <c r="F79" s="10">
        <v>1</v>
      </c>
      <c r="G79" s="10" t="s">
        <v>72</v>
      </c>
      <c r="H79" s="10" t="s">
        <v>239</v>
      </c>
      <c r="I79" s="10" t="s">
        <v>254</v>
      </c>
      <c r="J79" s="10">
        <v>4</v>
      </c>
      <c r="K79" s="12">
        <v>45687</v>
      </c>
      <c r="L79" s="33">
        <v>0.47179398148148149</v>
      </c>
      <c r="M79" s="10">
        <v>1</v>
      </c>
      <c r="N79" s="10" t="s">
        <v>167</v>
      </c>
      <c r="O79" s="10">
        <v>5.57E-2</v>
      </c>
      <c r="P79" s="10">
        <v>3.2000000000000002E-3</v>
      </c>
      <c r="Q79" s="10">
        <v>10.5</v>
      </c>
      <c r="R79" s="10" t="s">
        <v>76</v>
      </c>
      <c r="S79" s="34">
        <f t="shared" si="22"/>
        <v>10.5</v>
      </c>
      <c r="T79" s="10" t="s">
        <v>956</v>
      </c>
      <c r="U79" s="34" t="str">
        <f t="shared" si="28"/>
        <v/>
      </c>
      <c r="V79" s="31" t="str">
        <f>IF(H79="CHK",VLOOKUP(I79,QCCHK,3,),IF(H79="GUP",VLOOKUP(E79,QCGUP,2,),IF(AND(H79="ATP",OR(I79="TN",I79="TDN",I79="TNO2-3",I79="NO2-3")),VLOOKUP(E79,QCREC_N,2,),IF(AND(H79="NIC",OR(I79="TN",I79="TDN",I79="TNO2-3",I79="NO2-3")),VLOOKUP(E79,QCNIC_N,2,),IF(AND(H79="UREA",OR(I79="TN",I79="TDN",I79="TNO2-3",I79="NO2-3")),VLOOKUP(E79,QCUREA_N,2,),IF(H79="PER",VLOOKUP(I79,QCPER,MATCH(E79,QCACTUAL!$J$25:$AA$25,0),),IF(H79="SPK",VLOOKUP(I79,QCSPK,3,),IF(AND(H79="ATP",OR(I79="TP",I79="TDP")),VLOOKUP(E79,QCATP_P,2,),""))))))))</f>
        <v/>
      </c>
      <c r="W79" s="31" t="str">
        <f t="shared" si="23"/>
        <v>TRUE</v>
      </c>
      <c r="X79" s="31" t="str">
        <f t="shared" si="24"/>
        <v/>
      </c>
      <c r="Y79" s="10" t="s">
        <v>951</v>
      </c>
      <c r="Z79" s="10"/>
      <c r="AL79" s="10" t="str">
        <f t="shared" si="25"/>
        <v>FALSE</v>
      </c>
      <c r="AM79" s="10" t="str">
        <f t="shared" si="25"/>
        <v>FALSE</v>
      </c>
      <c r="AN79" s="10" t="str">
        <f t="shared" si="25"/>
        <v>FALSE</v>
      </c>
      <c r="AO79" s="10" t="str">
        <f t="shared" si="26"/>
        <v>FALSE</v>
      </c>
      <c r="AP79" s="10" t="str">
        <f t="shared" si="26"/>
        <v>FALSE</v>
      </c>
      <c r="AQ79" s="10" t="b">
        <f>IF(AND(I79="TP",S79&lt;=150),VLOOKUP(AF79,TPCalibEq150!$AZ$2:$BB$166,3,),IF(AND(I79="TDP",S79&lt;=150),VLOOKUP(AF79,TPCalibEq150!$AZ$2:$BB$166,3,)))</f>
        <v>0</v>
      </c>
      <c r="AR79" s="10" t="b">
        <f>IF(AND(I79="TP",S79&lt;=300),VLOOKUP(AF79,TPCalibEq300!$AZ$2:$BB$166,3,),IF(AND(I79="TDP",S79&lt;=300),VLOOKUP(AF79,TPCalibEq300!$AZ$2:$BB$166,3,)))</f>
        <v>0</v>
      </c>
      <c r="AS79" s="10" t="b">
        <f>IF(AND(I79="TP",S79&lt;=500),VLOOKUP(AF79,TPCalibEq500!$AZ$2:$BB$165,3,),IF(AND(I79="TDP",S79&lt;=500),VLOOKUP(AF79,TPCalibEq500!$AZ$2:$BB$165,3,)))</f>
        <v>0</v>
      </c>
      <c r="AT79" s="10" t="b">
        <f>IF(AND(I79="TN",S79&lt;=2800),VLOOKUP(AF79,TNCalibEq2500!$AZ$2:$BB$165,3,),IF(AND(I79="TDN",S79&lt;=2800),VLOOKUP(AF79,TNCalibEq2500!$AZ$2:$BB$165,3,)))</f>
        <v>0</v>
      </c>
      <c r="AU79" s="10" t="b">
        <f>IF(I79="TP",VLOOKUP(AF79,TPCalibEqFull!$AZ$2:$BB$165,3),IF(I79="TDP",VLOOKUP(AF79,TPCalibEqFull!$AZ$2:$BB$165,3),IF(I79="TDN",VLOOKUP(AF79,TNCalibEqFull!$AZ$2:$BB$164,3),IF(I79="TN",VLOOKUP(AF79,TNCalibEqFull!$AZ$2:$BB$164,3),FALSE))))</f>
        <v>0</v>
      </c>
      <c r="AV79" s="10" t="str">
        <f t="shared" si="27"/>
        <v>20240803 00:00:00-1000-2-Sh-1-DI-BLK</v>
      </c>
    </row>
    <row r="80" spans="1:48" x14ac:dyDescent="0.3">
      <c r="A80" s="32">
        <v>45507</v>
      </c>
      <c r="B80" s="33">
        <v>0</v>
      </c>
      <c r="C80" s="10">
        <v>1000</v>
      </c>
      <c r="D80" s="10">
        <v>2</v>
      </c>
      <c r="E80" s="10" t="s">
        <v>953</v>
      </c>
      <c r="F80" s="10">
        <v>1</v>
      </c>
      <c r="G80" s="10" t="s">
        <v>229</v>
      </c>
      <c r="H80" s="10" t="s">
        <v>320</v>
      </c>
      <c r="I80" s="10" t="s">
        <v>254</v>
      </c>
      <c r="J80" s="10">
        <v>5</v>
      </c>
      <c r="K80" s="12">
        <v>45687</v>
      </c>
      <c r="L80" s="33">
        <v>0.47259259259259262</v>
      </c>
      <c r="M80" s="10">
        <v>1</v>
      </c>
      <c r="N80" s="10" t="s">
        <v>167</v>
      </c>
      <c r="O80" s="10">
        <v>2.6800000000000001E-2</v>
      </c>
      <c r="P80" s="10">
        <v>1.6199999999999999E-3</v>
      </c>
      <c r="Q80" s="10">
        <v>6.26</v>
      </c>
      <c r="R80" s="10" t="s">
        <v>76</v>
      </c>
      <c r="S80" s="34">
        <f t="shared" si="22"/>
        <v>6.26</v>
      </c>
      <c r="T80" s="10" t="s">
        <v>956</v>
      </c>
      <c r="U80" s="34" t="str">
        <f t="shared" si="28"/>
        <v/>
      </c>
      <c r="V80" s="31" t="str">
        <f>IF(H80="CHK",VLOOKUP(I80,QCCHK,3,),IF(H80="GUP",VLOOKUP(E80,QCGUP,2,),IF(AND(H80="ATP",OR(I80="TN",I80="TDN",I80="TNO2-3",I80="NO2-3")),VLOOKUP(E80,QCREC_N,2,),IF(AND(H80="NIC",OR(I80="TN",I80="TDN",I80="TNO2-3",I80="NO2-3")),VLOOKUP(E80,QCNIC_N,2,),IF(AND(H80="UREA",OR(I80="TN",I80="TDN",I80="TNO2-3",I80="NO2-3")),VLOOKUP(E80,QCUREA_N,2,),IF(H80="PER",VLOOKUP(I80,QCPER,MATCH(E80,QCACTUAL!$J$25:$AA$25,0),),IF(H80="SPK",VLOOKUP(I80,QCSPK,3,),IF(AND(H80="ATP",OR(I80="TP",I80="TDP")),VLOOKUP(E80,QCATP_P,2,),""))))))))</f>
        <v/>
      </c>
      <c r="W80" s="31" t="str">
        <f t="shared" si="23"/>
        <v>TRUE</v>
      </c>
      <c r="X80" s="31" t="str">
        <f t="shared" si="24"/>
        <v/>
      </c>
      <c r="Y80" s="10" t="s">
        <v>951</v>
      </c>
      <c r="Z80" s="10"/>
      <c r="AL80" s="10" t="str">
        <f t="shared" si="25"/>
        <v>FALSE</v>
      </c>
      <c r="AM80" s="10" t="str">
        <f t="shared" si="25"/>
        <v>FALSE</v>
      </c>
      <c r="AN80" s="10" t="str">
        <f t="shared" si="25"/>
        <v>FALSE</v>
      </c>
      <c r="AO80" s="10" t="str">
        <f t="shared" si="26"/>
        <v>FALSE</v>
      </c>
      <c r="AP80" s="10" t="str">
        <f t="shared" si="26"/>
        <v>FALSE</v>
      </c>
      <c r="AQ80" s="10" t="b">
        <f>IF(AND(I80="TP",S80&lt;=150),VLOOKUP(AF80,TPCalibEq150!$AZ$2:$BB$166,3,),IF(AND(I80="TDP",S80&lt;=150),VLOOKUP(AF80,TPCalibEq150!$AZ$2:$BB$166,3,)))</f>
        <v>0</v>
      </c>
      <c r="AR80" s="10" t="b">
        <f>IF(AND(I80="TP",S80&lt;=300),VLOOKUP(AF80,TPCalibEq300!$AZ$2:$BB$166,3,),IF(AND(I80="TDP",S80&lt;=300),VLOOKUP(AF80,TPCalibEq300!$AZ$2:$BB$166,3,)))</f>
        <v>0</v>
      </c>
      <c r="AS80" s="10" t="b">
        <f>IF(AND(I80="TP",S80&lt;=500),VLOOKUP(AF80,TPCalibEq500!$AZ$2:$BB$165,3,),IF(AND(I80="TDP",S80&lt;=500),VLOOKUP(AF80,TPCalibEq500!$AZ$2:$BB$165,3,)))</f>
        <v>0</v>
      </c>
      <c r="AT80" s="10" t="b">
        <f>IF(AND(I80="TN",S80&lt;=2800),VLOOKUP(AF80,TNCalibEq2500!$AZ$2:$BB$165,3,),IF(AND(I80="TDN",S80&lt;=2800),VLOOKUP(AF80,TNCalibEq2500!$AZ$2:$BB$165,3,)))</f>
        <v>0</v>
      </c>
      <c r="AU80" s="10" t="b">
        <f>IF(I80="TP",VLOOKUP(AF80,TPCalibEqFull!$AZ$2:$BB$165,3),IF(I80="TDP",VLOOKUP(AF80,TPCalibEqFull!$AZ$2:$BB$165,3),IF(I80="TDN",VLOOKUP(AF80,TNCalibEqFull!$AZ$2:$BB$164,3),IF(I80="TN",VLOOKUP(AF80,TNCalibEqFull!$AZ$2:$BB$164,3),FALSE))))</f>
        <v>0</v>
      </c>
      <c r="AV80" s="10" t="str">
        <f t="shared" si="27"/>
        <v>20240803 00:00:00-1000-2-Sh-1-SW-UKN</v>
      </c>
    </row>
    <row r="81" spans="1:48" x14ac:dyDescent="0.3">
      <c r="A81" s="32">
        <v>45507</v>
      </c>
      <c r="B81" s="33">
        <v>0</v>
      </c>
      <c r="C81" s="10">
        <v>1000</v>
      </c>
      <c r="D81" s="10">
        <v>2</v>
      </c>
      <c r="E81" s="10" t="s">
        <v>953</v>
      </c>
      <c r="F81" s="10">
        <v>2</v>
      </c>
      <c r="G81" s="10" t="s">
        <v>229</v>
      </c>
      <c r="H81" s="10" t="s">
        <v>320</v>
      </c>
      <c r="I81" s="10" t="s">
        <v>254</v>
      </c>
      <c r="J81" s="10">
        <v>6</v>
      </c>
      <c r="K81" s="12">
        <v>45687</v>
      </c>
      <c r="L81" s="33">
        <v>0.47340277777777778</v>
      </c>
      <c r="M81" s="10">
        <v>1</v>
      </c>
      <c r="N81" s="10" t="s">
        <v>167</v>
      </c>
      <c r="O81" s="10">
        <v>4.2799999999999998E-2</v>
      </c>
      <c r="P81" s="10">
        <v>2.32E-3</v>
      </c>
      <c r="Q81" s="10">
        <v>8.6199999999999992</v>
      </c>
      <c r="R81" s="10" t="s">
        <v>76</v>
      </c>
      <c r="S81" s="34">
        <f t="shared" si="22"/>
        <v>8.6199999999999992</v>
      </c>
      <c r="T81" s="10" t="s">
        <v>956</v>
      </c>
      <c r="U81" s="34" t="str">
        <f t="shared" si="28"/>
        <v/>
      </c>
      <c r="V81" s="31" t="str">
        <f>IF(H81="CHK",VLOOKUP(I81,QCCHK,3,),IF(H81="GUP",VLOOKUP(E81,QCGUP,2,),IF(AND(H81="ATP",OR(I81="TN",I81="TDN",I81="TNO2-3",I81="NO2-3")),VLOOKUP(E81,QCREC_N,2,),IF(AND(H81="NIC",OR(I81="TN",I81="TDN",I81="TNO2-3",I81="NO2-3")),VLOOKUP(E81,QCNIC_N,2,),IF(AND(H81="UREA",OR(I81="TN",I81="TDN",I81="TNO2-3",I81="NO2-3")),VLOOKUP(E81,QCUREA_N,2,),IF(H81="PER",VLOOKUP(I81,QCPER,MATCH(E81,QCACTUAL!$J$25:$AA$25,0),),IF(H81="SPK",VLOOKUP(I81,QCSPK,3,),IF(AND(H81="ATP",OR(I81="TP",I81="TDP")),VLOOKUP(E81,QCATP_P,2,),""))))))))</f>
        <v/>
      </c>
      <c r="W81" s="31" t="str">
        <f t="shared" si="23"/>
        <v>TRUE</v>
      </c>
      <c r="X81" s="31" t="str">
        <f t="shared" si="24"/>
        <v/>
      </c>
      <c r="Y81" s="10" t="s">
        <v>951</v>
      </c>
      <c r="Z81" s="10"/>
      <c r="AL81" s="10" t="str">
        <f t="shared" si="25"/>
        <v>FALSE</v>
      </c>
      <c r="AM81" s="10" t="str">
        <f t="shared" si="25"/>
        <v>FALSE</v>
      </c>
      <c r="AN81" s="10" t="str">
        <f t="shared" si="25"/>
        <v>FALSE</v>
      </c>
      <c r="AO81" s="10" t="str">
        <f t="shared" si="26"/>
        <v>FALSE</v>
      </c>
      <c r="AP81" s="10" t="str">
        <f t="shared" si="26"/>
        <v>FALSE</v>
      </c>
      <c r="AQ81" s="10" t="b">
        <f>IF(AND(I81="TP",S81&lt;=150),VLOOKUP(AF81,TPCalibEq150!$AZ$2:$BB$166,3,),IF(AND(I81="TDP",S81&lt;=150),VLOOKUP(AF81,TPCalibEq150!$AZ$2:$BB$166,3,)))</f>
        <v>0</v>
      </c>
      <c r="AR81" s="10" t="b">
        <f>IF(AND(I81="TP",S81&lt;=300),VLOOKUP(AF81,TPCalibEq300!$AZ$2:$BB$166,3,),IF(AND(I81="TDP",S81&lt;=300),VLOOKUP(AF81,TPCalibEq300!$AZ$2:$BB$166,3,)))</f>
        <v>0</v>
      </c>
      <c r="AS81" s="10" t="b">
        <f>IF(AND(I81="TP",S81&lt;=500),VLOOKUP(AF81,TPCalibEq500!$AZ$2:$BB$165,3,),IF(AND(I81="TDP",S81&lt;=500),VLOOKUP(AF81,TPCalibEq500!$AZ$2:$BB$165,3,)))</f>
        <v>0</v>
      </c>
      <c r="AT81" s="10" t="b">
        <f>IF(AND(I81="TN",S81&lt;=2800),VLOOKUP(AF81,TNCalibEq2500!$AZ$2:$BB$165,3,),IF(AND(I81="TDN",S81&lt;=2800),VLOOKUP(AF81,TNCalibEq2500!$AZ$2:$BB$165,3,)))</f>
        <v>0</v>
      </c>
      <c r="AU81" s="10" t="b">
        <f>IF(I81="TP",VLOOKUP(AF81,TPCalibEqFull!$AZ$2:$BB$165,3),IF(I81="TDP",VLOOKUP(AF81,TPCalibEqFull!$AZ$2:$BB$165,3),IF(I81="TDN",VLOOKUP(AF81,TNCalibEqFull!$AZ$2:$BB$164,3),IF(I81="TN",VLOOKUP(AF81,TNCalibEqFull!$AZ$2:$BB$164,3),FALSE))))</f>
        <v>0</v>
      </c>
      <c r="AV81" s="10" t="str">
        <f t="shared" si="27"/>
        <v>20240803 00:00:00-1000-2-Sh-2-SW-UKN</v>
      </c>
    </row>
    <row r="82" spans="1:48" x14ac:dyDescent="0.3">
      <c r="A82" s="32">
        <v>45500</v>
      </c>
      <c r="B82" s="33">
        <v>0</v>
      </c>
      <c r="C82" s="10">
        <v>1000</v>
      </c>
      <c r="D82" s="10">
        <v>2</v>
      </c>
      <c r="E82" s="10" t="s">
        <v>954</v>
      </c>
      <c r="F82" s="10">
        <v>1</v>
      </c>
      <c r="G82" s="10" t="s">
        <v>229</v>
      </c>
      <c r="H82" s="10" t="s">
        <v>320</v>
      </c>
      <c r="I82" s="10" t="s">
        <v>254</v>
      </c>
      <c r="J82" s="10">
        <v>7</v>
      </c>
      <c r="K82" s="12">
        <v>45687</v>
      </c>
      <c r="L82" s="33">
        <v>0.47422453703703704</v>
      </c>
      <c r="M82" s="10">
        <v>1</v>
      </c>
      <c r="N82" s="10" t="s">
        <v>167</v>
      </c>
      <c r="O82" s="10">
        <v>0.22600000000000001</v>
      </c>
      <c r="P82" s="10">
        <v>1.26E-2</v>
      </c>
      <c r="Q82" s="10">
        <v>35.5</v>
      </c>
      <c r="R82" s="10" t="s">
        <v>76</v>
      </c>
      <c r="S82" s="34">
        <f t="shared" si="22"/>
        <v>35.5</v>
      </c>
      <c r="T82" s="10" t="s">
        <v>956</v>
      </c>
      <c r="U82" s="34" t="str">
        <f t="shared" si="28"/>
        <v/>
      </c>
      <c r="V82" s="31" t="str">
        <f>IF(H82="CHK",VLOOKUP(I82,QCCHK,3,),IF(H82="GUP",VLOOKUP(E82,QCGUP,2,),IF(AND(H82="ATP",OR(I82="TN",I82="TDN",I82="TNO2-3",I82="NO2-3")),VLOOKUP(E82,QCREC_N,2,),IF(AND(H82="NIC",OR(I82="TN",I82="TDN",I82="TNO2-3",I82="NO2-3")),VLOOKUP(E82,QCNIC_N,2,),IF(AND(H82="UREA",OR(I82="TN",I82="TDN",I82="TNO2-3",I82="NO2-3")),VLOOKUP(E82,QCUREA_N,2,),IF(H82="PER",VLOOKUP(I82,QCPER,MATCH(E82,QCACTUAL!$J$25:$AA$25,0),),IF(H82="SPK",VLOOKUP(I82,QCSPK,3,),IF(AND(H82="ATP",OR(I82="TP",I82="TDP")),VLOOKUP(E82,QCATP_P,2,),""))))))))</f>
        <v/>
      </c>
      <c r="W82" s="31" t="str">
        <f t="shared" si="23"/>
        <v>TRUE</v>
      </c>
      <c r="X82" s="31" t="str">
        <f t="shared" si="24"/>
        <v/>
      </c>
      <c r="Y82" s="10" t="s">
        <v>951</v>
      </c>
      <c r="Z82" s="10"/>
      <c r="AL82" s="10" t="str">
        <f t="shared" si="25"/>
        <v>FALSE</v>
      </c>
      <c r="AM82" s="10" t="str">
        <f t="shared" si="25"/>
        <v>FALSE</v>
      </c>
      <c r="AN82" s="10" t="str">
        <f t="shared" si="25"/>
        <v>FALSE</v>
      </c>
      <c r="AO82" s="10" t="str">
        <f t="shared" si="26"/>
        <v>FALSE</v>
      </c>
      <c r="AP82" s="10" t="str">
        <f t="shared" si="26"/>
        <v>FALSE</v>
      </c>
      <c r="AQ82" s="10" t="b">
        <f>IF(AND(I82="TP",S82&lt;=150),VLOOKUP(AF82,TPCalibEq150!$AZ$2:$BB$166,3,),IF(AND(I82="TDP",S82&lt;=150),VLOOKUP(AF82,TPCalibEq150!$AZ$2:$BB$166,3,)))</f>
        <v>0</v>
      </c>
      <c r="AR82" s="10" t="b">
        <f>IF(AND(I82="TP",S82&lt;=300),VLOOKUP(AF82,TPCalibEq300!$AZ$2:$BB$166,3,),IF(AND(I82="TDP",S82&lt;=300),VLOOKUP(AF82,TPCalibEq300!$AZ$2:$BB$166,3,)))</f>
        <v>0</v>
      </c>
      <c r="AS82" s="10" t="b">
        <f>IF(AND(I82="TP",S82&lt;=500),VLOOKUP(AF82,TPCalibEq500!$AZ$2:$BB$165,3,),IF(AND(I82="TDP",S82&lt;=500),VLOOKUP(AF82,TPCalibEq500!$AZ$2:$BB$165,3,)))</f>
        <v>0</v>
      </c>
      <c r="AT82" s="10" t="b">
        <f>IF(AND(I82="TN",S82&lt;=2800),VLOOKUP(AF82,TNCalibEq2500!$AZ$2:$BB$165,3,),IF(AND(I82="TDN",S82&lt;=2800),VLOOKUP(AF82,TNCalibEq2500!$AZ$2:$BB$165,3,)))</f>
        <v>0</v>
      </c>
      <c r="AU82" s="10" t="b">
        <f>IF(I82="TP",VLOOKUP(AF82,TPCalibEqFull!$AZ$2:$BB$165,3),IF(I82="TDP",VLOOKUP(AF82,TPCalibEqFull!$AZ$2:$BB$165,3),IF(I82="TDN",VLOOKUP(AF82,TNCalibEqFull!$AZ$2:$BB$164,3),IF(I82="TN",VLOOKUP(AF82,TNCalibEqFull!$AZ$2:$BB$164,3),FALSE))))</f>
        <v>0</v>
      </c>
      <c r="AV82" s="10" t="str">
        <f t="shared" si="27"/>
        <v>20240727 00:00:00-1000-2-Dp-1-SW-UKN</v>
      </c>
    </row>
    <row r="83" spans="1:48" x14ac:dyDescent="0.3">
      <c r="A83" s="32">
        <v>45500</v>
      </c>
      <c r="B83" s="33">
        <v>0</v>
      </c>
      <c r="C83" s="10">
        <v>1000</v>
      </c>
      <c r="D83" s="10">
        <v>3</v>
      </c>
      <c r="E83" s="10" t="s">
        <v>953</v>
      </c>
      <c r="F83" s="10">
        <v>1</v>
      </c>
      <c r="G83" s="10" t="s">
        <v>72</v>
      </c>
      <c r="H83" s="10" t="s">
        <v>239</v>
      </c>
      <c r="I83" s="10" t="s">
        <v>254</v>
      </c>
      <c r="J83" s="10">
        <v>8</v>
      </c>
      <c r="K83" s="12">
        <v>45687</v>
      </c>
      <c r="L83" s="33">
        <v>0.47505787037037034</v>
      </c>
      <c r="M83" s="10">
        <v>1</v>
      </c>
      <c r="N83" s="10" t="s">
        <v>167</v>
      </c>
      <c r="O83" s="10">
        <v>2.3400000000000001E-2</v>
      </c>
      <c r="P83" s="10">
        <v>1.17E-3</v>
      </c>
      <c r="Q83" s="10">
        <v>5.76</v>
      </c>
      <c r="R83" s="10" t="s">
        <v>76</v>
      </c>
      <c r="S83" s="34">
        <f t="shared" si="22"/>
        <v>5.76</v>
      </c>
      <c r="T83" s="10" t="s">
        <v>956</v>
      </c>
      <c r="U83" s="34" t="str">
        <f t="shared" si="28"/>
        <v/>
      </c>
      <c r="V83" s="31" t="str">
        <f>IF(H83="CHK",VLOOKUP(I83,QCCHK,3,),IF(H83="GUP",VLOOKUP(E83,QCGUP,2,),IF(AND(H83="ATP",OR(I83="TN",I83="TDN",I83="TNO2-3",I83="NO2-3")),VLOOKUP(E83,QCREC_N,2,),IF(AND(H83="NIC",OR(I83="TN",I83="TDN",I83="TNO2-3",I83="NO2-3")),VLOOKUP(E83,QCNIC_N,2,),IF(AND(H83="UREA",OR(I83="TN",I83="TDN",I83="TNO2-3",I83="NO2-3")),VLOOKUP(E83,QCUREA_N,2,),IF(H83="PER",VLOOKUP(I83,QCPER,MATCH(E83,QCACTUAL!$J$25:$AA$25,0),),IF(H83="SPK",VLOOKUP(I83,QCSPK,3,),IF(AND(H83="ATP",OR(I83="TP",I83="TDP")),VLOOKUP(E83,QCATP_P,2,),""))))))))</f>
        <v/>
      </c>
      <c r="W83" s="31" t="str">
        <f t="shared" si="23"/>
        <v>TRUE</v>
      </c>
      <c r="X83" s="31" t="str">
        <f t="shared" si="24"/>
        <v/>
      </c>
      <c r="Y83" s="10" t="s">
        <v>951</v>
      </c>
      <c r="Z83" s="10"/>
      <c r="AL83" s="10" t="str">
        <f t="shared" si="25"/>
        <v>FALSE</v>
      </c>
      <c r="AM83" s="10" t="str">
        <f t="shared" si="25"/>
        <v>FALSE</v>
      </c>
      <c r="AN83" s="10" t="str">
        <f t="shared" si="25"/>
        <v>FALSE</v>
      </c>
      <c r="AO83" s="10" t="str">
        <f t="shared" si="26"/>
        <v>FALSE</v>
      </c>
      <c r="AP83" s="10" t="str">
        <f t="shared" si="26"/>
        <v>FALSE</v>
      </c>
      <c r="AQ83" s="10" t="b">
        <f>IF(AND(I83="TP",S83&lt;=150),VLOOKUP(AF83,TPCalibEq150!$AZ$2:$BB$166,3,),IF(AND(I83="TDP",S83&lt;=150),VLOOKUP(AF83,TPCalibEq150!$AZ$2:$BB$166,3,)))</f>
        <v>0</v>
      </c>
      <c r="AR83" s="10" t="b">
        <f>IF(AND(I83="TP",S83&lt;=300),VLOOKUP(AF83,TPCalibEq300!$AZ$2:$BB$166,3,),IF(AND(I83="TDP",S83&lt;=300),VLOOKUP(AF83,TPCalibEq300!$AZ$2:$BB$166,3,)))</f>
        <v>0</v>
      </c>
      <c r="AS83" s="10" t="b">
        <f>IF(AND(I83="TP",S83&lt;=500),VLOOKUP(AF83,TPCalibEq500!$AZ$2:$BB$165,3,),IF(AND(I83="TDP",S83&lt;=500),VLOOKUP(AF83,TPCalibEq500!$AZ$2:$BB$165,3,)))</f>
        <v>0</v>
      </c>
      <c r="AT83" s="10" t="b">
        <f>IF(AND(I83="TN",S83&lt;=2800),VLOOKUP(AF83,TNCalibEq2500!$AZ$2:$BB$165,3,),IF(AND(I83="TDN",S83&lt;=2800),VLOOKUP(AF83,TNCalibEq2500!$AZ$2:$BB$165,3,)))</f>
        <v>0</v>
      </c>
      <c r="AU83" s="10" t="b">
        <f>IF(I83="TP",VLOOKUP(AF83,TPCalibEqFull!$AZ$2:$BB$165,3),IF(I83="TDP",VLOOKUP(AF83,TPCalibEqFull!$AZ$2:$BB$165,3),IF(I83="TDN",VLOOKUP(AF83,TNCalibEqFull!$AZ$2:$BB$164,3),IF(I83="TN",VLOOKUP(AF83,TNCalibEqFull!$AZ$2:$BB$164,3),FALSE))))</f>
        <v>0</v>
      </c>
      <c r="AV83" s="10" t="str">
        <f t="shared" si="27"/>
        <v>20240727 00:00:00-1000-3-Sh-1-DI-BLK</v>
      </c>
    </row>
    <row r="84" spans="1:48" x14ac:dyDescent="0.3">
      <c r="A84" s="32">
        <v>45500</v>
      </c>
      <c r="B84" s="33">
        <v>0</v>
      </c>
      <c r="C84" s="10">
        <v>1000</v>
      </c>
      <c r="D84" s="10">
        <v>3</v>
      </c>
      <c r="E84" s="10" t="s">
        <v>953</v>
      </c>
      <c r="F84" s="10">
        <v>1</v>
      </c>
      <c r="G84" s="10" t="s">
        <v>229</v>
      </c>
      <c r="H84" s="10" t="s">
        <v>320</v>
      </c>
      <c r="I84" s="10" t="s">
        <v>254</v>
      </c>
      <c r="J84" s="10">
        <v>9</v>
      </c>
      <c r="K84" s="12">
        <v>45687</v>
      </c>
      <c r="L84" s="33">
        <v>0.47587962962962965</v>
      </c>
      <c r="M84" s="10">
        <v>1</v>
      </c>
      <c r="N84" s="10" t="s">
        <v>167</v>
      </c>
      <c r="O84" s="10">
        <v>3.1399999999999997E-2</v>
      </c>
      <c r="P84" s="10">
        <v>1.56E-3</v>
      </c>
      <c r="Q84" s="10">
        <v>6.93</v>
      </c>
      <c r="R84" s="10" t="s">
        <v>76</v>
      </c>
      <c r="S84" s="34">
        <f t="shared" si="22"/>
        <v>6.93</v>
      </c>
      <c r="T84" s="10" t="s">
        <v>956</v>
      </c>
      <c r="U84" s="34" t="str">
        <f t="shared" si="28"/>
        <v/>
      </c>
      <c r="V84" s="31" t="str">
        <f>IF(H84="CHK",VLOOKUP(I84,QCCHK,3,),IF(H84="GUP",VLOOKUP(E84,QCGUP,2,),IF(AND(H84="ATP",OR(I84="TN",I84="TDN",I84="TNO2-3",I84="NO2-3")),VLOOKUP(E84,QCREC_N,2,),IF(AND(H84="NIC",OR(I84="TN",I84="TDN",I84="TNO2-3",I84="NO2-3")),VLOOKUP(E84,QCNIC_N,2,),IF(AND(H84="UREA",OR(I84="TN",I84="TDN",I84="TNO2-3",I84="NO2-3")),VLOOKUP(E84,QCUREA_N,2,),IF(H84="PER",VLOOKUP(I84,QCPER,MATCH(E84,QCACTUAL!$J$25:$AA$25,0),),IF(H84="SPK",VLOOKUP(I84,QCSPK,3,),IF(AND(H84="ATP",OR(I84="TP",I84="TDP")),VLOOKUP(E84,QCATP_P,2,),""))))))))</f>
        <v/>
      </c>
      <c r="W84" s="31" t="str">
        <f t="shared" si="23"/>
        <v>TRUE</v>
      </c>
      <c r="X84" s="31" t="str">
        <f t="shared" si="24"/>
        <v/>
      </c>
      <c r="Y84" s="10" t="s">
        <v>951</v>
      </c>
      <c r="Z84" s="10"/>
      <c r="AL84" s="10" t="str">
        <f t="shared" si="25"/>
        <v>FALSE</v>
      </c>
      <c r="AM84" s="10" t="str">
        <f t="shared" si="25"/>
        <v>FALSE</v>
      </c>
      <c r="AN84" s="10" t="str">
        <f t="shared" si="25"/>
        <v>FALSE</v>
      </c>
      <c r="AO84" s="10" t="str">
        <f t="shared" si="26"/>
        <v>FALSE</v>
      </c>
      <c r="AP84" s="10" t="str">
        <f t="shared" si="26"/>
        <v>FALSE</v>
      </c>
      <c r="AQ84" s="10" t="b">
        <f>IF(AND(I84="TP",S84&lt;=150),VLOOKUP(AF84,TPCalibEq150!$AZ$2:$BB$166,3,),IF(AND(I84="TDP",S84&lt;=150),VLOOKUP(AF84,TPCalibEq150!$AZ$2:$BB$166,3,)))</f>
        <v>0</v>
      </c>
      <c r="AR84" s="10" t="b">
        <f>IF(AND(I84="TP",S84&lt;=300),VLOOKUP(AF84,TPCalibEq300!$AZ$2:$BB$166,3,),IF(AND(I84="TDP",S84&lt;=300),VLOOKUP(AF84,TPCalibEq300!$AZ$2:$BB$166,3,)))</f>
        <v>0</v>
      </c>
      <c r="AS84" s="10" t="b">
        <f>IF(AND(I84="TP",S84&lt;=500),VLOOKUP(AF84,TPCalibEq500!$AZ$2:$BB$165,3,),IF(AND(I84="TDP",S84&lt;=500),VLOOKUP(AF84,TPCalibEq500!$AZ$2:$BB$165,3,)))</f>
        <v>0</v>
      </c>
      <c r="AT84" s="10" t="b">
        <f>IF(AND(I84="TN",S84&lt;=2800),VLOOKUP(AF84,TNCalibEq2500!$AZ$2:$BB$165,3,),IF(AND(I84="TDN",S84&lt;=2800),VLOOKUP(AF84,TNCalibEq2500!$AZ$2:$BB$165,3,)))</f>
        <v>0</v>
      </c>
      <c r="AU84" s="10" t="b">
        <f>IF(I84="TP",VLOOKUP(AF84,TPCalibEqFull!$AZ$2:$BB$165,3),IF(I84="TDP",VLOOKUP(AF84,TPCalibEqFull!$AZ$2:$BB$165,3),IF(I84="TDN",VLOOKUP(AF84,TNCalibEqFull!$AZ$2:$BB$164,3),IF(I84="TN",VLOOKUP(AF84,TNCalibEqFull!$AZ$2:$BB$164,3),FALSE))))</f>
        <v>0</v>
      </c>
      <c r="AV84" s="10" t="str">
        <f t="shared" si="27"/>
        <v>20240727 00:00:00-1000-3-Sh-1-SW-UKN</v>
      </c>
    </row>
    <row r="85" spans="1:48" x14ac:dyDescent="0.3">
      <c r="A85" s="32">
        <v>45500</v>
      </c>
      <c r="B85" s="33">
        <v>0</v>
      </c>
      <c r="C85" s="10">
        <v>1000</v>
      </c>
      <c r="D85" s="10">
        <v>3</v>
      </c>
      <c r="E85" s="10" t="s">
        <v>953</v>
      </c>
      <c r="F85" s="10">
        <v>2</v>
      </c>
      <c r="G85" s="10" t="s">
        <v>229</v>
      </c>
      <c r="H85" s="10" t="s">
        <v>320</v>
      </c>
      <c r="I85" s="10" t="s">
        <v>254</v>
      </c>
      <c r="J85" s="10">
        <v>10</v>
      </c>
      <c r="K85" s="12">
        <v>45687</v>
      </c>
      <c r="L85" s="33">
        <v>0.47667824074074078</v>
      </c>
      <c r="M85" s="10">
        <v>1</v>
      </c>
      <c r="N85" s="10" t="s">
        <v>167</v>
      </c>
      <c r="O85" s="10">
        <v>4.1300000000000003E-2</v>
      </c>
      <c r="P85" s="10">
        <v>2.0600000000000002E-3</v>
      </c>
      <c r="Q85" s="10">
        <v>8.4</v>
      </c>
      <c r="R85" s="10" t="s">
        <v>76</v>
      </c>
      <c r="S85" s="34">
        <f t="shared" si="22"/>
        <v>8.4</v>
      </c>
      <c r="T85" s="10" t="s">
        <v>956</v>
      </c>
      <c r="U85" s="34" t="str">
        <f t="shared" si="28"/>
        <v/>
      </c>
      <c r="V85" s="31" t="str">
        <f>IF(H85="CHK",VLOOKUP(I85,QCCHK,3,),IF(H85="GUP",VLOOKUP(E85,QCGUP,2,),IF(AND(H85="ATP",OR(I85="TN",I85="TDN",I85="TNO2-3",I85="NO2-3")),VLOOKUP(E85,QCREC_N,2,),IF(AND(H85="NIC",OR(I85="TN",I85="TDN",I85="TNO2-3",I85="NO2-3")),VLOOKUP(E85,QCNIC_N,2,),IF(AND(H85="UREA",OR(I85="TN",I85="TDN",I85="TNO2-3",I85="NO2-3")),VLOOKUP(E85,QCUREA_N,2,),IF(H85="PER",VLOOKUP(I85,QCPER,MATCH(E85,QCACTUAL!$J$25:$AA$25,0),),IF(H85="SPK",VLOOKUP(I85,QCSPK,3,),IF(AND(H85="ATP",OR(I85="TP",I85="TDP")),VLOOKUP(E85,QCATP_P,2,),""))))))))</f>
        <v/>
      </c>
      <c r="W85" s="31" t="str">
        <f t="shared" si="23"/>
        <v>TRUE</v>
      </c>
      <c r="X85" s="31" t="str">
        <f t="shared" si="24"/>
        <v/>
      </c>
      <c r="Y85" s="10" t="s">
        <v>951</v>
      </c>
      <c r="Z85" s="10"/>
      <c r="AL85" s="10" t="str">
        <f t="shared" si="25"/>
        <v>FALSE</v>
      </c>
      <c r="AM85" s="10" t="str">
        <f t="shared" si="25"/>
        <v>FALSE</v>
      </c>
      <c r="AN85" s="10" t="str">
        <f t="shared" si="25"/>
        <v>FALSE</v>
      </c>
      <c r="AO85" s="10" t="str">
        <f t="shared" si="26"/>
        <v>FALSE</v>
      </c>
      <c r="AP85" s="10" t="str">
        <f t="shared" si="26"/>
        <v>FALSE</v>
      </c>
      <c r="AQ85" s="10" t="b">
        <f>IF(AND(I85="TP",S85&lt;=150),VLOOKUP(AF85,TPCalibEq150!$AZ$2:$BB$166,3,),IF(AND(I85="TDP",S85&lt;=150),VLOOKUP(AF85,TPCalibEq150!$AZ$2:$BB$166,3,)))</f>
        <v>0</v>
      </c>
      <c r="AR85" s="10" t="b">
        <f>IF(AND(I85="TP",S85&lt;=300),VLOOKUP(AF85,TPCalibEq300!$AZ$2:$BB$166,3,),IF(AND(I85="TDP",S85&lt;=300),VLOOKUP(AF85,TPCalibEq300!$AZ$2:$BB$166,3,)))</f>
        <v>0</v>
      </c>
      <c r="AS85" s="10" t="b">
        <f>IF(AND(I85="TP",S85&lt;=500),VLOOKUP(AF85,TPCalibEq500!$AZ$2:$BB$165,3,),IF(AND(I85="TDP",S85&lt;=500),VLOOKUP(AF85,TPCalibEq500!$AZ$2:$BB$165,3,)))</f>
        <v>0</v>
      </c>
      <c r="AT85" s="10" t="b">
        <f>IF(AND(I85="TN",S85&lt;=2800),VLOOKUP(AF85,TNCalibEq2500!$AZ$2:$BB$165,3,),IF(AND(I85="TDN",S85&lt;=2800),VLOOKUP(AF85,TNCalibEq2500!$AZ$2:$BB$165,3,)))</f>
        <v>0</v>
      </c>
      <c r="AU85" s="10" t="b">
        <f>IF(I85="TP",VLOOKUP(AF85,TPCalibEqFull!$AZ$2:$BB$165,3),IF(I85="TDP",VLOOKUP(AF85,TPCalibEqFull!$AZ$2:$BB$165,3),IF(I85="TDN",VLOOKUP(AF85,TNCalibEqFull!$AZ$2:$BB$164,3),IF(I85="TN",VLOOKUP(AF85,TNCalibEqFull!$AZ$2:$BB$164,3),FALSE))))</f>
        <v>0</v>
      </c>
      <c r="AV85" s="10" t="str">
        <f t="shared" si="27"/>
        <v>20240727 00:00:00-1000-3-Sh-2-SW-UKN</v>
      </c>
    </row>
    <row r="86" spans="1:48" x14ac:dyDescent="0.3">
      <c r="A86" s="32">
        <v>45500</v>
      </c>
      <c r="B86" s="33">
        <v>0</v>
      </c>
      <c r="C86" s="10">
        <v>1000</v>
      </c>
      <c r="D86" s="10">
        <v>3</v>
      </c>
      <c r="E86" s="10" t="s">
        <v>954</v>
      </c>
      <c r="F86" s="10">
        <v>1</v>
      </c>
      <c r="G86" s="10" t="s">
        <v>229</v>
      </c>
      <c r="H86" s="10" t="s">
        <v>320</v>
      </c>
      <c r="I86" s="10" t="s">
        <v>254</v>
      </c>
      <c r="J86" s="10">
        <v>11</v>
      </c>
      <c r="K86" s="12">
        <v>45687</v>
      </c>
      <c r="L86" s="33">
        <v>0.47750000000000004</v>
      </c>
      <c r="M86" s="10">
        <v>1</v>
      </c>
      <c r="N86" s="10" t="s">
        <v>167</v>
      </c>
      <c r="O86" s="10">
        <v>1.9099999999999999E-2</v>
      </c>
      <c r="P86" s="10">
        <v>1.2199999999999999E-3</v>
      </c>
      <c r="Q86" s="10">
        <v>5.12</v>
      </c>
      <c r="R86" s="10" t="s">
        <v>76</v>
      </c>
      <c r="S86" s="34">
        <f t="shared" si="22"/>
        <v>5.12</v>
      </c>
      <c r="T86" s="10" t="s">
        <v>956</v>
      </c>
      <c r="U86" s="34" t="str">
        <f t="shared" si="28"/>
        <v/>
      </c>
      <c r="V86" s="31" t="str">
        <f>IF(H86="CHK",VLOOKUP(I86,QCCHK,3,),IF(H86="GUP",VLOOKUP(E86,QCGUP,2,),IF(AND(H86="ATP",OR(I86="TN",I86="TDN",I86="TNO2-3",I86="NO2-3")),VLOOKUP(E86,QCREC_N,2,),IF(AND(H86="NIC",OR(I86="TN",I86="TDN",I86="TNO2-3",I86="NO2-3")),VLOOKUP(E86,QCNIC_N,2,),IF(AND(H86="UREA",OR(I86="TN",I86="TDN",I86="TNO2-3",I86="NO2-3")),VLOOKUP(E86,QCUREA_N,2,),IF(H86="PER",VLOOKUP(I86,QCPER,MATCH(E86,QCACTUAL!$J$25:$AA$25,0),),IF(H86="SPK",VLOOKUP(I86,QCSPK,3,),IF(AND(H86="ATP",OR(I86="TP",I86="TDP")),VLOOKUP(E86,QCATP_P,2,),""))))))))</f>
        <v/>
      </c>
      <c r="W86" s="31" t="str">
        <f t="shared" si="23"/>
        <v>TRUE</v>
      </c>
      <c r="X86" s="31" t="str">
        <f t="shared" si="24"/>
        <v/>
      </c>
      <c r="Y86" s="10" t="s">
        <v>951</v>
      </c>
      <c r="Z86" s="10"/>
      <c r="AL86" s="10" t="str">
        <f t="shared" si="25"/>
        <v>FALSE</v>
      </c>
      <c r="AM86" s="10" t="str">
        <f t="shared" si="25"/>
        <v>FALSE</v>
      </c>
      <c r="AN86" s="10" t="str">
        <f t="shared" si="25"/>
        <v>FALSE</v>
      </c>
      <c r="AO86" s="10" t="str">
        <f t="shared" si="26"/>
        <v>FALSE</v>
      </c>
      <c r="AP86" s="10" t="str">
        <f t="shared" si="26"/>
        <v>FALSE</v>
      </c>
      <c r="AQ86" s="10" t="b">
        <f>IF(AND(I86="TP",S86&lt;=150),VLOOKUP(AF86,TPCalibEq150!$AZ$2:$BB$166,3,),IF(AND(I86="TDP",S86&lt;=150),VLOOKUP(AF86,TPCalibEq150!$AZ$2:$BB$166,3,)))</f>
        <v>0</v>
      </c>
      <c r="AR86" s="10" t="b">
        <f>IF(AND(I86="TP",S86&lt;=300),VLOOKUP(AF86,TPCalibEq300!$AZ$2:$BB$166,3,),IF(AND(I86="TDP",S86&lt;=300),VLOOKUP(AF86,TPCalibEq300!$AZ$2:$BB$166,3,)))</f>
        <v>0</v>
      </c>
      <c r="AS86" s="10" t="b">
        <f>IF(AND(I86="TP",S86&lt;=500),VLOOKUP(AF86,TPCalibEq500!$AZ$2:$BB$165,3,),IF(AND(I86="TDP",S86&lt;=500),VLOOKUP(AF86,TPCalibEq500!$AZ$2:$BB$165,3,)))</f>
        <v>0</v>
      </c>
      <c r="AT86" s="10" t="b">
        <f>IF(AND(I86="TN",S86&lt;=2800),VLOOKUP(AF86,TNCalibEq2500!$AZ$2:$BB$165,3,),IF(AND(I86="TDN",S86&lt;=2800),VLOOKUP(AF86,TNCalibEq2500!$AZ$2:$BB$165,3,)))</f>
        <v>0</v>
      </c>
      <c r="AU86" s="10" t="b">
        <f>IF(I86="TP",VLOOKUP(AF86,TPCalibEqFull!$AZ$2:$BB$165,3),IF(I86="TDP",VLOOKUP(AF86,TPCalibEqFull!$AZ$2:$BB$165,3),IF(I86="TDN",VLOOKUP(AF86,TNCalibEqFull!$AZ$2:$BB$164,3),IF(I86="TN",VLOOKUP(AF86,TNCalibEqFull!$AZ$2:$BB$164,3),FALSE))))</f>
        <v>0</v>
      </c>
      <c r="AV86" s="10" t="str">
        <f t="shared" si="27"/>
        <v>20240727 00:00:00-1000-3-Dp-1-SW-UKN</v>
      </c>
    </row>
    <row r="87" spans="1:48" x14ac:dyDescent="0.3">
      <c r="A87" s="32">
        <v>45500</v>
      </c>
      <c r="B87" s="33">
        <v>0</v>
      </c>
      <c r="C87" s="10">
        <v>1000</v>
      </c>
      <c r="D87" s="10">
        <v>3</v>
      </c>
      <c r="E87" s="10" t="s">
        <v>954</v>
      </c>
      <c r="F87" s="10">
        <v>1</v>
      </c>
      <c r="G87" s="10" t="s">
        <v>229</v>
      </c>
      <c r="H87" s="10" t="s">
        <v>231</v>
      </c>
      <c r="I87" s="10" t="s">
        <v>254</v>
      </c>
      <c r="J87" s="10">
        <v>11</v>
      </c>
      <c r="K87" s="12">
        <v>45687</v>
      </c>
      <c r="L87" s="33">
        <v>0.4783101851851852</v>
      </c>
      <c r="M87" s="10">
        <v>1</v>
      </c>
      <c r="N87" s="10" t="s">
        <v>167</v>
      </c>
      <c r="O87" s="10">
        <v>2.46E-2</v>
      </c>
      <c r="P87" s="10">
        <v>1.3699999999999999E-3</v>
      </c>
      <c r="Q87" s="10">
        <v>5.93</v>
      </c>
      <c r="R87" s="10" t="s">
        <v>76</v>
      </c>
      <c r="S87" s="34">
        <f t="shared" si="22"/>
        <v>5.93</v>
      </c>
      <c r="T87" s="10" t="s">
        <v>956</v>
      </c>
      <c r="U87" s="34">
        <f t="shared" si="28"/>
        <v>14.660633484162888</v>
      </c>
      <c r="V87" s="31" t="str">
        <f>IF(H87="CHK",VLOOKUP(I87,QCCHK,3,),IF(H87="GUP",VLOOKUP(E87,QCGUP,2,),IF(AND(H87="ATP",OR(I87="TN",I87="TDN",I87="TNO2-3",I87="NO2-3")),VLOOKUP(E87,QCREC_N,2,),IF(AND(H87="NIC",OR(I87="TN",I87="TDN",I87="TNO2-3",I87="NO2-3")),VLOOKUP(E87,QCNIC_N,2,),IF(AND(H87="UREA",OR(I87="TN",I87="TDN",I87="TNO2-3",I87="NO2-3")),VLOOKUP(E87,QCUREA_N,2,),IF(H87="PER",VLOOKUP(I87,QCPER,MATCH(E87,QCACTUAL!$J$25:$AA$25,0),),IF(H87="SPK",VLOOKUP(I87,QCSPK,3,),IF(AND(H87="ATP",OR(I87="TP",I87="TDP")),VLOOKUP(E87,QCATP_P,2,),""))))))))</f>
        <v/>
      </c>
      <c r="W87" s="31" t="str">
        <f t="shared" si="23"/>
        <v>TRUE</v>
      </c>
      <c r="X87" s="31" t="str">
        <f t="shared" si="24"/>
        <v>((ABS(rep1-rep2))/((rep1+rep2)/2)*100</v>
      </c>
      <c r="Y87" s="10" t="s">
        <v>951</v>
      </c>
      <c r="Z87" s="10"/>
      <c r="AL87" s="10" t="str">
        <f t="shared" si="25"/>
        <v>FALSE</v>
      </c>
      <c r="AM87" s="10" t="str">
        <f t="shared" si="25"/>
        <v>FALSE</v>
      </c>
      <c r="AN87" s="10" t="str">
        <f t="shared" si="25"/>
        <v>FALSE</v>
      </c>
      <c r="AO87" s="10" t="str">
        <f t="shared" si="26"/>
        <v>FALSE</v>
      </c>
      <c r="AP87" s="10" t="str">
        <f t="shared" si="26"/>
        <v>FALSE</v>
      </c>
      <c r="AQ87" s="10" t="b">
        <f>IF(AND(I87="TP",S87&lt;=150),VLOOKUP(AF87,TPCalibEq150!$AZ$2:$BB$166,3,),IF(AND(I87="TDP",S87&lt;=150),VLOOKUP(AF87,TPCalibEq150!$AZ$2:$BB$166,3,)))</f>
        <v>0</v>
      </c>
      <c r="AR87" s="10" t="b">
        <f>IF(AND(I87="TP",S87&lt;=300),VLOOKUP(AF87,TPCalibEq300!$AZ$2:$BB$166,3,),IF(AND(I87="TDP",S87&lt;=300),VLOOKUP(AF87,TPCalibEq300!$AZ$2:$BB$166,3,)))</f>
        <v>0</v>
      </c>
      <c r="AS87" s="10" t="b">
        <f>IF(AND(I87="TP",S87&lt;=500),VLOOKUP(AF87,TPCalibEq500!$AZ$2:$BB$165,3,),IF(AND(I87="TDP",S87&lt;=500),VLOOKUP(AF87,TPCalibEq500!$AZ$2:$BB$165,3,)))</f>
        <v>0</v>
      </c>
      <c r="AT87" s="10" t="b">
        <f>IF(AND(I87="TN",S87&lt;=2800),VLOOKUP(AF87,TNCalibEq2500!$AZ$2:$BB$165,3,),IF(AND(I87="TDN",S87&lt;=2800),VLOOKUP(AF87,TNCalibEq2500!$AZ$2:$BB$165,3,)))</f>
        <v>0</v>
      </c>
      <c r="AU87" s="10" t="b">
        <f>IF(I87="TP",VLOOKUP(AF87,TPCalibEqFull!$AZ$2:$BB$165,3),IF(I87="TDP",VLOOKUP(AF87,TPCalibEqFull!$AZ$2:$BB$165,3),IF(I87="TDN",VLOOKUP(AF87,TNCalibEqFull!$AZ$2:$BB$164,3),IF(I87="TN",VLOOKUP(AF87,TNCalibEqFull!$AZ$2:$BB$164,3),FALSE))))</f>
        <v>0</v>
      </c>
      <c r="AV87" s="10" t="str">
        <f t="shared" si="27"/>
        <v>20240727 00:00:00-1000-3-Dp-1-SW-DUP</v>
      </c>
    </row>
    <row r="88" spans="1:48" x14ac:dyDescent="0.3">
      <c r="A88" s="32">
        <v>45500</v>
      </c>
      <c r="B88" s="33">
        <v>0</v>
      </c>
      <c r="C88" s="10">
        <v>1000</v>
      </c>
      <c r="D88" s="10">
        <v>4</v>
      </c>
      <c r="E88" s="10" t="s">
        <v>953</v>
      </c>
      <c r="F88" s="10">
        <v>1</v>
      </c>
      <c r="G88" s="10" t="s">
        <v>72</v>
      </c>
      <c r="H88" s="10" t="s">
        <v>239</v>
      </c>
      <c r="I88" s="10" t="s">
        <v>254</v>
      </c>
      <c r="J88" s="10">
        <v>12</v>
      </c>
      <c r="K88" s="12">
        <v>45687</v>
      </c>
      <c r="L88" s="33">
        <v>0.48076388888888894</v>
      </c>
      <c r="M88" s="10">
        <v>1</v>
      </c>
      <c r="N88" s="10" t="s">
        <v>167</v>
      </c>
      <c r="O88" s="10">
        <v>9.8700000000000003E-3</v>
      </c>
      <c r="P88" s="10">
        <v>7.1000000000000002E-4</v>
      </c>
      <c r="Q88" s="10">
        <v>3.76</v>
      </c>
      <c r="R88" s="10" t="s">
        <v>76</v>
      </c>
      <c r="S88" s="34">
        <f t="shared" si="22"/>
        <v>3.76</v>
      </c>
      <c r="T88" s="10" t="s">
        <v>956</v>
      </c>
      <c r="U88" s="34" t="str">
        <f>IF(OR(H88="CHK",H88="ATP",H88="GUP",H88="PER", H88="NIC", H88="UREA"),(S88/V88*100),IF(H88="DUP",((ABS(S88-#REF!))/((#REF!+S88)/2))*100,IF(H88="SPK",((S88-#REF!)/V88*100),IF(OR(H88="LAB",H88="FLD",H88="ESF"),S88,""))))</f>
        <v/>
      </c>
      <c r="V88" s="31" t="str">
        <f>IF(H88="CHK",VLOOKUP(I88,QCCHK,3,),IF(H88="GUP",VLOOKUP(E88,QCGUP,2,),IF(AND(H88="ATP",OR(I88="TN",I88="TDN",I88="TNO2-3",I88="NO2-3")),VLOOKUP(E88,QCREC_N,2,),IF(AND(H88="NIC",OR(I88="TN",I88="TDN",I88="TNO2-3",I88="NO2-3")),VLOOKUP(E88,QCNIC_N,2,),IF(AND(H88="UREA",OR(I88="TN",I88="TDN",I88="TNO2-3",I88="NO2-3")),VLOOKUP(E88,QCUREA_N,2,),IF(H88="PER",VLOOKUP(I88,QCPER,MATCH(E88,QCACTUAL!$J$25:$AA$25,0),),IF(H88="SPK",VLOOKUP(I88,QCSPK,3,),IF(AND(H88="ATP",OR(I88="TP",I88="TDP")),VLOOKUP(E88,QCATP_P,2,),""))))))))</f>
        <v/>
      </c>
      <c r="W88" s="31" t="str">
        <f t="shared" si="23"/>
        <v>TRUE</v>
      </c>
      <c r="X88" s="31" t="str">
        <f t="shared" si="24"/>
        <v/>
      </c>
      <c r="Y88" s="10" t="s">
        <v>951</v>
      </c>
      <c r="Z88" s="10"/>
      <c r="AL88" s="10" t="str">
        <f t="shared" si="25"/>
        <v>FALSE</v>
      </c>
      <c r="AM88" s="10" t="str">
        <f t="shared" si="25"/>
        <v>FALSE</v>
      </c>
      <c r="AN88" s="10" t="str">
        <f t="shared" si="25"/>
        <v>FALSE</v>
      </c>
      <c r="AO88" s="10" t="str">
        <f t="shared" si="26"/>
        <v>FALSE</v>
      </c>
      <c r="AP88" s="10" t="str">
        <f t="shared" si="26"/>
        <v>FALSE</v>
      </c>
      <c r="AQ88" s="10" t="b">
        <f>IF(AND(I88="TP",S88&lt;=150),VLOOKUP(AF88,TPCalibEq150!$AZ$2:$BB$166,3,),IF(AND(I88="TDP",S88&lt;=150),VLOOKUP(AF88,TPCalibEq150!$AZ$2:$BB$166,3,)))</f>
        <v>0</v>
      </c>
      <c r="AR88" s="10" t="b">
        <f>IF(AND(I88="TP",S88&lt;=300),VLOOKUP(AF88,TPCalibEq300!$AZ$2:$BB$166,3,),IF(AND(I88="TDP",S88&lt;=300),VLOOKUP(AF88,TPCalibEq300!$AZ$2:$BB$166,3,)))</f>
        <v>0</v>
      </c>
      <c r="AS88" s="10" t="b">
        <f>IF(AND(I88="TP",S88&lt;=500),VLOOKUP(AF88,TPCalibEq500!$AZ$2:$BB$165,3,),IF(AND(I88="TDP",S88&lt;=500),VLOOKUP(AF88,TPCalibEq500!$AZ$2:$BB$165,3,)))</f>
        <v>0</v>
      </c>
      <c r="AT88" s="10" t="b">
        <f>IF(AND(I88="TN",S88&lt;=2800),VLOOKUP(AF88,TNCalibEq2500!$AZ$2:$BB$165,3,),IF(AND(I88="TDN",S88&lt;=2800),VLOOKUP(AF88,TNCalibEq2500!$AZ$2:$BB$165,3,)))</f>
        <v>0</v>
      </c>
      <c r="AU88" s="10" t="b">
        <f>IF(I88="TP",VLOOKUP(AF88,TPCalibEqFull!$AZ$2:$BB$165,3),IF(I88="TDP",VLOOKUP(AF88,TPCalibEqFull!$AZ$2:$BB$165,3),IF(I88="TDN",VLOOKUP(AF88,TNCalibEqFull!$AZ$2:$BB$164,3),IF(I88="TN",VLOOKUP(AF88,TNCalibEqFull!$AZ$2:$BB$164,3),FALSE))))</f>
        <v>0</v>
      </c>
      <c r="AV88" s="10" t="str">
        <f t="shared" si="27"/>
        <v>20240727 00:00:00-1000-4-Sh-1-DI-BLK</v>
      </c>
    </row>
    <row r="89" spans="1:48" x14ac:dyDescent="0.3">
      <c r="A89" s="32">
        <v>45500</v>
      </c>
      <c r="B89" s="33">
        <v>0</v>
      </c>
      <c r="C89" s="10">
        <v>1000</v>
      </c>
      <c r="D89" s="10">
        <v>4</v>
      </c>
      <c r="E89" s="10" t="s">
        <v>953</v>
      </c>
      <c r="F89" s="10">
        <v>1</v>
      </c>
      <c r="G89" s="10" t="s">
        <v>229</v>
      </c>
      <c r="H89" s="10" t="s">
        <v>320</v>
      </c>
      <c r="I89" s="10" t="s">
        <v>254</v>
      </c>
      <c r="J89" s="10">
        <v>13</v>
      </c>
      <c r="K89" s="12">
        <v>45687</v>
      </c>
      <c r="L89" s="33">
        <v>0.4815740740740741</v>
      </c>
      <c r="M89" s="10">
        <v>1</v>
      </c>
      <c r="N89" s="10" t="s">
        <v>167</v>
      </c>
      <c r="O89" s="10">
        <v>2.0199999999999999E-2</v>
      </c>
      <c r="P89" s="10">
        <v>1.0399999999999999E-3</v>
      </c>
      <c r="Q89" s="10">
        <v>5.29</v>
      </c>
      <c r="R89" s="10" t="s">
        <v>76</v>
      </c>
      <c r="S89" s="34">
        <f t="shared" si="22"/>
        <v>5.29</v>
      </c>
      <c r="T89" s="10" t="s">
        <v>956</v>
      </c>
      <c r="U89" s="34" t="str">
        <f t="shared" si="28"/>
        <v/>
      </c>
      <c r="V89" s="31" t="str">
        <f>IF(H89="CHK",VLOOKUP(I89,QCCHK,3,),IF(H89="GUP",VLOOKUP(E89,QCGUP,2,),IF(AND(H89="ATP",OR(I89="TN",I89="TDN",I89="TNO2-3",I89="NO2-3")),VLOOKUP(E89,QCREC_N,2,),IF(AND(H89="NIC",OR(I89="TN",I89="TDN",I89="TNO2-3",I89="NO2-3")),VLOOKUP(E89,QCNIC_N,2,),IF(AND(H89="UREA",OR(I89="TN",I89="TDN",I89="TNO2-3",I89="NO2-3")),VLOOKUP(E89,QCUREA_N,2,),IF(H89="PER",VLOOKUP(I89,QCPER,MATCH(E89,QCACTUAL!$J$25:$AA$25,0),),IF(H89="SPK",VLOOKUP(I89,QCSPK,3,),IF(AND(H89="ATP",OR(I89="TP",I89="TDP")),VLOOKUP(E89,QCATP_P,2,),""))))))))</f>
        <v/>
      </c>
      <c r="W89" s="31" t="str">
        <f t="shared" si="23"/>
        <v>TRUE</v>
      </c>
      <c r="X89" s="31" t="str">
        <f t="shared" si="24"/>
        <v/>
      </c>
      <c r="Y89" s="10" t="s">
        <v>951</v>
      </c>
      <c r="Z89" s="10"/>
      <c r="AL89" s="10" t="str">
        <f t="shared" si="25"/>
        <v>FALSE</v>
      </c>
      <c r="AM89" s="10" t="str">
        <f t="shared" si="25"/>
        <v>FALSE</v>
      </c>
      <c r="AN89" s="10" t="str">
        <f t="shared" si="25"/>
        <v>FALSE</v>
      </c>
      <c r="AO89" s="10" t="str">
        <f t="shared" si="26"/>
        <v>FALSE</v>
      </c>
      <c r="AP89" s="10" t="str">
        <f t="shared" si="26"/>
        <v>FALSE</v>
      </c>
      <c r="AQ89" s="10" t="b">
        <f>IF(AND(I89="TP",S89&lt;=150),VLOOKUP(AF89,TPCalibEq150!$AZ$2:$BB$166,3,),IF(AND(I89="TDP",S89&lt;=150),VLOOKUP(AF89,TPCalibEq150!$AZ$2:$BB$166,3,)))</f>
        <v>0</v>
      </c>
      <c r="AR89" s="10" t="b">
        <f>IF(AND(I89="TP",S89&lt;=300),VLOOKUP(AF89,TPCalibEq300!$AZ$2:$BB$166,3,),IF(AND(I89="TDP",S89&lt;=300),VLOOKUP(AF89,TPCalibEq300!$AZ$2:$BB$166,3,)))</f>
        <v>0</v>
      </c>
      <c r="AS89" s="10" t="b">
        <f>IF(AND(I89="TP",S89&lt;=500),VLOOKUP(AF89,TPCalibEq500!$AZ$2:$BB$165,3,),IF(AND(I89="TDP",S89&lt;=500),VLOOKUP(AF89,TPCalibEq500!$AZ$2:$BB$165,3,)))</f>
        <v>0</v>
      </c>
      <c r="AT89" s="10" t="b">
        <f>IF(AND(I89="TN",S89&lt;=2800),VLOOKUP(AF89,TNCalibEq2500!$AZ$2:$BB$165,3,),IF(AND(I89="TDN",S89&lt;=2800),VLOOKUP(AF89,TNCalibEq2500!$AZ$2:$BB$165,3,)))</f>
        <v>0</v>
      </c>
      <c r="AU89" s="10" t="b">
        <f>IF(I89="TP",VLOOKUP(AF89,TPCalibEqFull!$AZ$2:$BB$165,3),IF(I89="TDP",VLOOKUP(AF89,TPCalibEqFull!$AZ$2:$BB$165,3),IF(I89="TDN",VLOOKUP(AF89,TNCalibEqFull!$AZ$2:$BB$164,3),IF(I89="TN",VLOOKUP(AF89,TNCalibEqFull!$AZ$2:$BB$164,3),FALSE))))</f>
        <v>0</v>
      </c>
      <c r="AV89" s="10" t="str">
        <f t="shared" si="27"/>
        <v>20240727 00:00:00-1000-4-Sh-1-SW-UKN</v>
      </c>
    </row>
    <row r="90" spans="1:48" x14ac:dyDescent="0.3">
      <c r="A90" s="32">
        <v>45500</v>
      </c>
      <c r="B90" s="33">
        <v>0</v>
      </c>
      <c r="C90" s="10">
        <v>1000</v>
      </c>
      <c r="D90" s="10">
        <v>4</v>
      </c>
      <c r="E90" s="10" t="s">
        <v>953</v>
      </c>
      <c r="F90" s="10">
        <v>2</v>
      </c>
      <c r="G90" s="10" t="s">
        <v>229</v>
      </c>
      <c r="H90" s="10" t="s">
        <v>320</v>
      </c>
      <c r="I90" s="10" t="s">
        <v>254</v>
      </c>
      <c r="J90" s="10">
        <v>14</v>
      </c>
      <c r="K90" s="12">
        <v>45687</v>
      </c>
      <c r="L90" s="33">
        <v>0.48238425925925926</v>
      </c>
      <c r="M90" s="10">
        <v>1</v>
      </c>
      <c r="N90" s="10" t="s">
        <v>167</v>
      </c>
      <c r="O90" s="10">
        <v>3.49E-2</v>
      </c>
      <c r="P90" s="10">
        <v>1.49E-3</v>
      </c>
      <c r="Q90" s="10">
        <v>7.45</v>
      </c>
      <c r="R90" s="10" t="s">
        <v>76</v>
      </c>
      <c r="S90" s="34">
        <f t="shared" si="22"/>
        <v>7.45</v>
      </c>
      <c r="T90" s="10" t="s">
        <v>956</v>
      </c>
      <c r="U90" s="34" t="str">
        <f t="shared" si="28"/>
        <v/>
      </c>
      <c r="V90" s="31" t="str">
        <f>IF(H90="CHK",VLOOKUP(I90,QCCHK,3,),IF(H90="GUP",VLOOKUP(E90,QCGUP,2,),IF(AND(H90="ATP",OR(I90="TN",I90="TDN",I90="TNO2-3",I90="NO2-3")),VLOOKUP(E90,QCREC_N,2,),IF(AND(H90="NIC",OR(I90="TN",I90="TDN",I90="TNO2-3",I90="NO2-3")),VLOOKUP(E90,QCNIC_N,2,),IF(AND(H90="UREA",OR(I90="TN",I90="TDN",I90="TNO2-3",I90="NO2-3")),VLOOKUP(E90,QCUREA_N,2,),IF(H90="PER",VLOOKUP(I90,QCPER,MATCH(E90,QCACTUAL!$J$25:$AA$25,0),),IF(H90="SPK",VLOOKUP(I90,QCSPK,3,),IF(AND(H90="ATP",OR(I90="TP",I90="TDP")),VLOOKUP(E90,QCATP_P,2,),""))))))))</f>
        <v/>
      </c>
      <c r="W90" s="31" t="str">
        <f t="shared" si="23"/>
        <v>TRUE</v>
      </c>
      <c r="X90" s="31" t="str">
        <f t="shared" si="24"/>
        <v/>
      </c>
      <c r="Y90" s="10" t="s">
        <v>951</v>
      </c>
      <c r="Z90" s="10"/>
      <c r="AL90" s="10" t="str">
        <f t="shared" si="25"/>
        <v>FALSE</v>
      </c>
      <c r="AM90" s="10" t="str">
        <f t="shared" si="25"/>
        <v>FALSE</v>
      </c>
      <c r="AN90" s="10" t="str">
        <f t="shared" si="25"/>
        <v>FALSE</v>
      </c>
      <c r="AO90" s="10" t="str">
        <f t="shared" si="26"/>
        <v>FALSE</v>
      </c>
      <c r="AP90" s="10" t="str">
        <f t="shared" si="26"/>
        <v>FALSE</v>
      </c>
      <c r="AQ90" s="10" t="b">
        <f>IF(AND(I90="TP",S90&lt;=150),VLOOKUP(AF90,TPCalibEq150!$AZ$2:$BB$166,3,),IF(AND(I90="TDP",S90&lt;=150),VLOOKUP(AF90,TPCalibEq150!$AZ$2:$BB$166,3,)))</f>
        <v>0</v>
      </c>
      <c r="AR90" s="10" t="b">
        <f>IF(AND(I90="TP",S90&lt;=300),VLOOKUP(AF90,TPCalibEq300!$AZ$2:$BB$166,3,),IF(AND(I90="TDP",S90&lt;=300),VLOOKUP(AF90,TPCalibEq300!$AZ$2:$BB$166,3,)))</f>
        <v>0</v>
      </c>
      <c r="AS90" s="10" t="b">
        <f>IF(AND(I90="TP",S90&lt;=500),VLOOKUP(AF90,TPCalibEq500!$AZ$2:$BB$165,3,),IF(AND(I90="TDP",S90&lt;=500),VLOOKUP(AF90,TPCalibEq500!$AZ$2:$BB$165,3,)))</f>
        <v>0</v>
      </c>
      <c r="AT90" s="10" t="b">
        <f>IF(AND(I90="TN",S90&lt;=2800),VLOOKUP(AF90,TNCalibEq2500!$AZ$2:$BB$165,3,),IF(AND(I90="TDN",S90&lt;=2800),VLOOKUP(AF90,TNCalibEq2500!$AZ$2:$BB$165,3,)))</f>
        <v>0</v>
      </c>
      <c r="AU90" s="10" t="b">
        <f>IF(I90="TP",VLOOKUP(AF90,TPCalibEqFull!$AZ$2:$BB$165,3),IF(I90="TDP",VLOOKUP(AF90,TPCalibEqFull!$AZ$2:$BB$165,3),IF(I90="TDN",VLOOKUP(AF90,TNCalibEqFull!$AZ$2:$BB$164,3),IF(I90="TN",VLOOKUP(AF90,TNCalibEqFull!$AZ$2:$BB$164,3),FALSE))))</f>
        <v>0</v>
      </c>
      <c r="AV90" s="10" t="str">
        <f t="shared" si="27"/>
        <v>20240727 00:00:00-1000-4-Sh-2-SW-UKN</v>
      </c>
    </row>
    <row r="91" spans="1:48" x14ac:dyDescent="0.3">
      <c r="A91" s="32">
        <v>45500</v>
      </c>
      <c r="B91" s="33">
        <v>0</v>
      </c>
      <c r="C91" s="10">
        <v>1000</v>
      </c>
      <c r="D91" s="10">
        <v>4</v>
      </c>
      <c r="E91" s="10" t="s">
        <v>954</v>
      </c>
      <c r="F91" s="10">
        <v>1</v>
      </c>
      <c r="G91" s="10" t="s">
        <v>229</v>
      </c>
      <c r="H91" s="10" t="s">
        <v>320</v>
      </c>
      <c r="I91" s="10" t="s">
        <v>254</v>
      </c>
      <c r="J91" s="10">
        <v>15</v>
      </c>
      <c r="K91" s="12">
        <v>45687</v>
      </c>
      <c r="L91" s="33">
        <v>0.4831597222222222</v>
      </c>
      <c r="M91" s="10">
        <v>1</v>
      </c>
      <c r="N91" s="10" t="s">
        <v>167</v>
      </c>
      <c r="O91" s="10">
        <v>2.23E-2</v>
      </c>
      <c r="P91" s="10">
        <v>1.2999999999999999E-3</v>
      </c>
      <c r="Q91" s="10">
        <v>5.6</v>
      </c>
      <c r="R91" s="10" t="s">
        <v>76</v>
      </c>
      <c r="S91" s="34">
        <f t="shared" si="22"/>
        <v>5.6</v>
      </c>
      <c r="T91" s="10" t="s">
        <v>956</v>
      </c>
      <c r="U91" s="34" t="str">
        <f t="shared" si="28"/>
        <v/>
      </c>
      <c r="V91" s="31" t="str">
        <f>IF(H91="CHK",VLOOKUP(I91,QCCHK,3,),IF(H91="GUP",VLOOKUP(E91,QCGUP,2,),IF(AND(H91="ATP",OR(I91="TN",I91="TDN",I91="TNO2-3",I91="NO2-3")),VLOOKUP(E91,QCREC_N,2,),IF(AND(H91="NIC",OR(I91="TN",I91="TDN",I91="TNO2-3",I91="NO2-3")),VLOOKUP(E91,QCNIC_N,2,),IF(AND(H91="UREA",OR(I91="TN",I91="TDN",I91="TNO2-3",I91="NO2-3")),VLOOKUP(E91,QCUREA_N,2,),IF(H91="PER",VLOOKUP(I91,QCPER,MATCH(E91,QCACTUAL!$J$25:$AA$25,0),),IF(H91="SPK",VLOOKUP(I91,QCSPK,3,),IF(AND(H91="ATP",OR(I91="TP",I91="TDP")),VLOOKUP(E91,QCATP_P,2,),""))))))))</f>
        <v/>
      </c>
      <c r="W91" s="31" t="str">
        <f t="shared" si="23"/>
        <v>TRUE</v>
      </c>
      <c r="X91" s="31" t="str">
        <f t="shared" si="24"/>
        <v/>
      </c>
      <c r="Y91" s="10" t="s">
        <v>951</v>
      </c>
      <c r="Z91" s="10"/>
      <c r="AL91" s="10" t="str">
        <f t="shared" si="25"/>
        <v>FALSE</v>
      </c>
      <c r="AM91" s="10" t="str">
        <f t="shared" si="25"/>
        <v>FALSE</v>
      </c>
      <c r="AN91" s="10" t="str">
        <f t="shared" si="25"/>
        <v>FALSE</v>
      </c>
      <c r="AO91" s="10" t="str">
        <f t="shared" si="26"/>
        <v>FALSE</v>
      </c>
      <c r="AP91" s="10" t="str">
        <f t="shared" si="26"/>
        <v>FALSE</v>
      </c>
      <c r="AQ91" s="10" t="b">
        <f>IF(AND(I91="TP",S91&lt;=150),VLOOKUP(AF91,TPCalibEq150!$AZ$2:$BB$166,3,),IF(AND(I91="TDP",S91&lt;=150),VLOOKUP(AF91,TPCalibEq150!$AZ$2:$BB$166,3,)))</f>
        <v>0</v>
      </c>
      <c r="AR91" s="10" t="b">
        <f>IF(AND(I91="TP",S91&lt;=300),VLOOKUP(AF91,TPCalibEq300!$AZ$2:$BB$166,3,),IF(AND(I91="TDP",S91&lt;=300),VLOOKUP(AF91,TPCalibEq300!$AZ$2:$BB$166,3,)))</f>
        <v>0</v>
      </c>
      <c r="AS91" s="10" t="b">
        <f>IF(AND(I91="TP",S91&lt;=500),VLOOKUP(AF91,TPCalibEq500!$AZ$2:$BB$165,3,),IF(AND(I91="TDP",S91&lt;=500),VLOOKUP(AF91,TPCalibEq500!$AZ$2:$BB$165,3,)))</f>
        <v>0</v>
      </c>
      <c r="AT91" s="10" t="b">
        <f>IF(AND(I91="TN",S91&lt;=2800),VLOOKUP(AF91,TNCalibEq2500!$AZ$2:$BB$165,3,),IF(AND(I91="TDN",S91&lt;=2800),VLOOKUP(AF91,TNCalibEq2500!$AZ$2:$BB$165,3,)))</f>
        <v>0</v>
      </c>
      <c r="AU91" s="10" t="b">
        <f>IF(I91="TP",VLOOKUP(AF91,TPCalibEqFull!$AZ$2:$BB$165,3),IF(I91="TDP",VLOOKUP(AF91,TPCalibEqFull!$AZ$2:$BB$165,3),IF(I91="TDN",VLOOKUP(AF91,TNCalibEqFull!$AZ$2:$BB$164,3),IF(I91="TN",VLOOKUP(AF91,TNCalibEqFull!$AZ$2:$BB$164,3),FALSE))))</f>
        <v>0</v>
      </c>
      <c r="AV91" s="10" t="str">
        <f t="shared" si="27"/>
        <v>20240727 00:00:00-1000-4-Dp-1-SW-UKN</v>
      </c>
    </row>
    <row r="92" spans="1:48" x14ac:dyDescent="0.3">
      <c r="A92" s="32">
        <v>45507</v>
      </c>
      <c r="B92" s="33">
        <v>0</v>
      </c>
      <c r="C92" s="10">
        <v>1000</v>
      </c>
      <c r="D92" s="10">
        <v>9</v>
      </c>
      <c r="E92" s="10" t="s">
        <v>953</v>
      </c>
      <c r="F92" s="10">
        <v>1</v>
      </c>
      <c r="G92" s="10" t="s">
        <v>72</v>
      </c>
      <c r="H92" s="10" t="s">
        <v>239</v>
      </c>
      <c r="I92" s="10" t="s">
        <v>254</v>
      </c>
      <c r="J92" s="10">
        <v>16</v>
      </c>
      <c r="K92" s="12">
        <v>45687</v>
      </c>
      <c r="L92" s="33">
        <v>0.48481481481481481</v>
      </c>
      <c r="M92" s="10">
        <v>1</v>
      </c>
      <c r="N92" s="10" t="s">
        <v>167</v>
      </c>
      <c r="O92" s="10">
        <v>1.2999999999999999E-2</v>
      </c>
      <c r="P92" s="10">
        <v>7.5799999999999999E-4</v>
      </c>
      <c r="Q92" s="10">
        <v>4.22</v>
      </c>
      <c r="R92" s="10" t="s">
        <v>76</v>
      </c>
      <c r="S92" s="34">
        <f t="shared" si="22"/>
        <v>4.22</v>
      </c>
      <c r="T92" s="10" t="s">
        <v>956</v>
      </c>
      <c r="U92" s="34" t="str">
        <f t="shared" si="28"/>
        <v/>
      </c>
      <c r="V92" s="31" t="str">
        <f>IF(H92="CHK",VLOOKUP(I92,QCCHK,3,),IF(H92="GUP",VLOOKUP(E92,QCGUP,2,),IF(AND(H92="ATP",OR(I92="TN",I92="TDN",I92="TNO2-3",I92="NO2-3")),VLOOKUP(E92,QCREC_N,2,),IF(AND(H92="NIC",OR(I92="TN",I92="TDN",I92="TNO2-3",I92="NO2-3")),VLOOKUP(E92,QCNIC_N,2,),IF(AND(H92="UREA",OR(I92="TN",I92="TDN",I92="TNO2-3",I92="NO2-3")),VLOOKUP(E92,QCUREA_N,2,),IF(H92="PER",VLOOKUP(I92,QCPER,MATCH(E92,QCACTUAL!$J$25:$AA$25,0),),IF(H92="SPK",VLOOKUP(I92,QCSPK,3,),IF(AND(H92="ATP",OR(I92="TP",I92="TDP")),VLOOKUP(E92,QCATP_P,2,),""))))))))</f>
        <v/>
      </c>
      <c r="W92" s="31" t="str">
        <f t="shared" si="23"/>
        <v>TRUE</v>
      </c>
      <c r="X92" s="31" t="str">
        <f t="shared" si="24"/>
        <v/>
      </c>
      <c r="Y92" s="10" t="s">
        <v>951</v>
      </c>
      <c r="Z92" s="10"/>
      <c r="AL92" s="10" t="str">
        <f t="shared" si="25"/>
        <v>FALSE</v>
      </c>
      <c r="AM92" s="10" t="str">
        <f t="shared" si="25"/>
        <v>FALSE</v>
      </c>
      <c r="AN92" s="10" t="str">
        <f t="shared" si="25"/>
        <v>FALSE</v>
      </c>
      <c r="AO92" s="10" t="str">
        <f t="shared" si="26"/>
        <v>FALSE</v>
      </c>
      <c r="AP92" s="10" t="str">
        <f t="shared" si="26"/>
        <v>FALSE</v>
      </c>
      <c r="AQ92" s="10" t="b">
        <f>IF(AND(I92="TP",S92&lt;=150),VLOOKUP(AF92,TPCalibEq150!$AZ$2:$BB$166,3,),IF(AND(I92="TDP",S92&lt;=150),VLOOKUP(AF92,TPCalibEq150!$AZ$2:$BB$166,3,)))</f>
        <v>0</v>
      </c>
      <c r="AR92" s="10" t="b">
        <f>IF(AND(I92="TP",S92&lt;=300),VLOOKUP(AF92,TPCalibEq300!$AZ$2:$BB$166,3,),IF(AND(I92="TDP",S92&lt;=300),VLOOKUP(AF92,TPCalibEq300!$AZ$2:$BB$166,3,)))</f>
        <v>0</v>
      </c>
      <c r="AS92" s="10" t="b">
        <f>IF(AND(I92="TP",S92&lt;=500),VLOOKUP(AF92,TPCalibEq500!$AZ$2:$BB$165,3,),IF(AND(I92="TDP",S92&lt;=500),VLOOKUP(AF92,TPCalibEq500!$AZ$2:$BB$165,3,)))</f>
        <v>0</v>
      </c>
      <c r="AT92" s="10" t="b">
        <f>IF(AND(I92="TN",S92&lt;=2800),VLOOKUP(AF92,TNCalibEq2500!$AZ$2:$BB$165,3,),IF(AND(I92="TDN",S92&lt;=2800),VLOOKUP(AF92,TNCalibEq2500!$AZ$2:$BB$165,3,)))</f>
        <v>0</v>
      </c>
      <c r="AU92" s="10" t="b">
        <f>IF(I92="TP",VLOOKUP(AF92,TPCalibEqFull!$AZ$2:$BB$165,3),IF(I92="TDP",VLOOKUP(AF92,TPCalibEqFull!$AZ$2:$BB$165,3),IF(I92="TDN",VLOOKUP(AF92,TNCalibEqFull!$AZ$2:$BB$164,3),IF(I92="TN",VLOOKUP(AF92,TNCalibEqFull!$AZ$2:$BB$164,3),FALSE))))</f>
        <v>0</v>
      </c>
      <c r="AV92" s="10" t="str">
        <f t="shared" si="27"/>
        <v>20240803 00:00:00-1000-9-Sh-1-DI-BLK</v>
      </c>
    </row>
    <row r="93" spans="1:48" x14ac:dyDescent="0.3">
      <c r="A93" s="32">
        <v>45507</v>
      </c>
      <c r="B93" s="33">
        <v>0</v>
      </c>
      <c r="C93" s="10">
        <v>1000</v>
      </c>
      <c r="D93" s="10">
        <v>9</v>
      </c>
      <c r="E93" s="10" t="s">
        <v>953</v>
      </c>
      <c r="F93" s="10">
        <v>1</v>
      </c>
      <c r="G93" s="10" t="s">
        <v>229</v>
      </c>
      <c r="H93" s="10" t="s">
        <v>320</v>
      </c>
      <c r="I93" s="10" t="s">
        <v>254</v>
      </c>
      <c r="J93" s="10">
        <v>17</v>
      </c>
      <c r="K93" s="12">
        <v>45687</v>
      </c>
      <c r="L93" s="33">
        <v>0.48562499999999997</v>
      </c>
      <c r="M93" s="10">
        <v>1</v>
      </c>
      <c r="N93" s="10" t="s">
        <v>167</v>
      </c>
      <c r="O93" s="10">
        <v>5.9400000000000001E-2</v>
      </c>
      <c r="P93" s="10">
        <v>3.2699999999999999E-3</v>
      </c>
      <c r="Q93" s="10">
        <v>11.1</v>
      </c>
      <c r="R93" s="10" t="s">
        <v>76</v>
      </c>
      <c r="S93" s="34">
        <f t="shared" si="22"/>
        <v>11.1</v>
      </c>
      <c r="T93" s="10" t="s">
        <v>956</v>
      </c>
      <c r="U93" s="34" t="str">
        <f t="shared" si="28"/>
        <v/>
      </c>
      <c r="V93" s="31" t="str">
        <f>IF(H93="CHK",VLOOKUP(I93,QCCHK,3,),IF(H93="GUP",VLOOKUP(E93,QCGUP,2,),IF(AND(H93="ATP",OR(I93="TN",I93="TDN",I93="TNO2-3",I93="NO2-3")),VLOOKUP(E93,QCREC_N,2,),IF(AND(H93="NIC",OR(I93="TN",I93="TDN",I93="TNO2-3",I93="NO2-3")),VLOOKUP(E93,QCNIC_N,2,),IF(AND(H93="UREA",OR(I93="TN",I93="TDN",I93="TNO2-3",I93="NO2-3")),VLOOKUP(E93,QCUREA_N,2,),IF(H93="PER",VLOOKUP(I93,QCPER,MATCH(E93,QCACTUAL!$J$25:$AA$25,0),),IF(H93="SPK",VLOOKUP(I93,QCSPK,3,),IF(AND(H93="ATP",OR(I93="TP",I93="TDP")),VLOOKUP(E93,QCATP_P,2,),""))))))))</f>
        <v/>
      </c>
      <c r="W93" s="31" t="str">
        <f t="shared" si="23"/>
        <v>TRUE</v>
      </c>
      <c r="X93" s="31" t="str">
        <f t="shared" si="24"/>
        <v/>
      </c>
      <c r="Y93" s="10" t="s">
        <v>951</v>
      </c>
      <c r="Z93" s="10"/>
      <c r="AL93" s="10" t="str">
        <f t="shared" si="25"/>
        <v>FALSE</v>
      </c>
      <c r="AM93" s="10" t="str">
        <f t="shared" si="25"/>
        <v>FALSE</v>
      </c>
      <c r="AN93" s="10" t="str">
        <f t="shared" si="25"/>
        <v>FALSE</v>
      </c>
      <c r="AO93" s="10" t="str">
        <f t="shared" si="26"/>
        <v>FALSE</v>
      </c>
      <c r="AP93" s="10" t="str">
        <f t="shared" si="26"/>
        <v>FALSE</v>
      </c>
      <c r="AQ93" s="10" t="b">
        <f>IF(AND(I93="TP",S93&lt;=150),VLOOKUP(AF93,TPCalibEq150!$AZ$2:$BB$166,3,),IF(AND(I93="TDP",S93&lt;=150),VLOOKUP(AF93,TPCalibEq150!$AZ$2:$BB$166,3,)))</f>
        <v>0</v>
      </c>
      <c r="AR93" s="10" t="b">
        <f>IF(AND(I93="TP",S93&lt;=300),VLOOKUP(AF93,TPCalibEq300!$AZ$2:$BB$166,3,),IF(AND(I93="TDP",S93&lt;=300),VLOOKUP(AF93,TPCalibEq300!$AZ$2:$BB$166,3,)))</f>
        <v>0</v>
      </c>
      <c r="AS93" s="10" t="b">
        <f>IF(AND(I93="TP",S93&lt;=500),VLOOKUP(AF93,TPCalibEq500!$AZ$2:$BB$165,3,),IF(AND(I93="TDP",S93&lt;=500),VLOOKUP(AF93,TPCalibEq500!$AZ$2:$BB$165,3,)))</f>
        <v>0</v>
      </c>
      <c r="AT93" s="10" t="b">
        <f>IF(AND(I93="TN",S93&lt;=2800),VLOOKUP(AF93,TNCalibEq2500!$AZ$2:$BB$165,3,),IF(AND(I93="TDN",S93&lt;=2800),VLOOKUP(AF93,TNCalibEq2500!$AZ$2:$BB$165,3,)))</f>
        <v>0</v>
      </c>
      <c r="AU93" s="10" t="b">
        <f>IF(I93="TP",VLOOKUP(AF93,TPCalibEqFull!$AZ$2:$BB$165,3),IF(I93="TDP",VLOOKUP(AF93,TPCalibEqFull!$AZ$2:$BB$165,3),IF(I93="TDN",VLOOKUP(AF93,TNCalibEqFull!$AZ$2:$BB$164,3),IF(I93="TN",VLOOKUP(AF93,TNCalibEqFull!$AZ$2:$BB$164,3),FALSE))))</f>
        <v>0</v>
      </c>
      <c r="AV93" s="10" t="str">
        <f t="shared" si="27"/>
        <v>20240803 00:00:00-1000-9-Sh-1-SW-UKN</v>
      </c>
    </row>
    <row r="94" spans="1:48" x14ac:dyDescent="0.3">
      <c r="A94" s="32">
        <v>45507</v>
      </c>
      <c r="B94" s="33">
        <v>0</v>
      </c>
      <c r="C94" s="10">
        <v>1000</v>
      </c>
      <c r="D94" s="10">
        <v>9</v>
      </c>
      <c r="E94" s="10" t="s">
        <v>954</v>
      </c>
      <c r="F94" s="10">
        <v>1</v>
      </c>
      <c r="G94" s="10" t="s">
        <v>229</v>
      </c>
      <c r="H94" s="10" t="s">
        <v>320</v>
      </c>
      <c r="I94" s="10" t="s">
        <v>254</v>
      </c>
      <c r="J94" s="10">
        <v>18</v>
      </c>
      <c r="K94" s="12">
        <v>45687</v>
      </c>
      <c r="L94" s="33">
        <v>0.49444444444444446</v>
      </c>
      <c r="M94" s="10">
        <v>1</v>
      </c>
      <c r="N94" s="10" t="s">
        <v>167</v>
      </c>
      <c r="O94" s="10">
        <v>2.76E-2</v>
      </c>
      <c r="P94" s="10">
        <v>1.1999999999999999E-3</v>
      </c>
      <c r="Q94" s="10">
        <v>6.38</v>
      </c>
      <c r="R94" s="10" t="s">
        <v>76</v>
      </c>
      <c r="S94" s="34">
        <f t="shared" si="22"/>
        <v>6.38</v>
      </c>
      <c r="T94" s="10" t="s">
        <v>956</v>
      </c>
      <c r="U94" s="34" t="str">
        <f>IF(OR(H94="CHK",H94="ATP",H94="GUP",H94="PER", H94="NIC", H94="UREA"),(S94/V94*100),IF(H94="DUP",((ABS(S94-#REF!))/((#REF!+S94)/2))*100,IF(H94="SPK",((S94-#REF!)/V94*100),IF(OR(H94="LAB",H94="FLD",H94="ESF"),S94,""))))</f>
        <v/>
      </c>
      <c r="V94" s="31" t="str">
        <f>IF(H94="CHK",VLOOKUP(I94,QCCHK,3,),IF(H94="GUP",VLOOKUP(E94,QCGUP,2,),IF(AND(H94="ATP",OR(I94="TN",I94="TDN",I94="TNO2-3",I94="NO2-3")),VLOOKUP(E94,QCREC_N,2,),IF(AND(H94="NIC",OR(I94="TN",I94="TDN",I94="TNO2-3",I94="NO2-3")),VLOOKUP(E94,QCNIC_N,2,),IF(AND(H94="UREA",OR(I94="TN",I94="TDN",I94="TNO2-3",I94="NO2-3")),VLOOKUP(E94,QCUREA_N,2,),IF(H94="PER",VLOOKUP(I94,QCPER,MATCH(E94,QCACTUAL!$J$25:$AA$25,0),),IF(H94="SPK",VLOOKUP(I94,QCSPK,3,),IF(AND(H94="ATP",OR(I94="TP",I94="TDP")),VLOOKUP(E94,QCATP_P,2,),""))))))))</f>
        <v/>
      </c>
      <c r="W94" s="31" t="str">
        <f t="shared" si="23"/>
        <v>TRUE</v>
      </c>
      <c r="X94" s="31" t="str">
        <f t="shared" si="24"/>
        <v/>
      </c>
      <c r="Y94" s="10" t="s">
        <v>951</v>
      </c>
      <c r="Z94" s="10"/>
      <c r="AL94" s="10" t="str">
        <f t="shared" si="25"/>
        <v>FALSE</v>
      </c>
      <c r="AM94" s="10" t="str">
        <f t="shared" si="25"/>
        <v>FALSE</v>
      </c>
      <c r="AN94" s="10" t="str">
        <f t="shared" si="25"/>
        <v>FALSE</v>
      </c>
      <c r="AO94" s="10" t="str">
        <f t="shared" si="26"/>
        <v>FALSE</v>
      </c>
      <c r="AP94" s="10" t="str">
        <f t="shared" si="26"/>
        <v>FALSE</v>
      </c>
      <c r="AQ94" s="10" t="b">
        <f>IF(AND(I94="TP",S94&lt;=150),VLOOKUP(AF94,TPCalibEq150!$AZ$2:$BB$166,3,),IF(AND(I94="TDP",S94&lt;=150),VLOOKUP(AF94,TPCalibEq150!$AZ$2:$BB$166,3,)))</f>
        <v>0</v>
      </c>
      <c r="AR94" s="10" t="b">
        <f>IF(AND(I94="TP",S94&lt;=300),VLOOKUP(AF94,TPCalibEq300!$AZ$2:$BB$166,3,),IF(AND(I94="TDP",S94&lt;=300),VLOOKUP(AF94,TPCalibEq300!$AZ$2:$BB$166,3,)))</f>
        <v>0</v>
      </c>
      <c r="AS94" s="10" t="b">
        <f>IF(AND(I94="TP",S94&lt;=500),VLOOKUP(AF94,TPCalibEq500!$AZ$2:$BB$165,3,),IF(AND(I94="TDP",S94&lt;=500),VLOOKUP(AF94,TPCalibEq500!$AZ$2:$BB$165,3,)))</f>
        <v>0</v>
      </c>
      <c r="AT94" s="10" t="b">
        <f>IF(AND(I94="TN",S94&lt;=2800),VLOOKUP(AF94,TNCalibEq2500!$AZ$2:$BB$165,3,),IF(AND(I94="TDN",S94&lt;=2800),VLOOKUP(AF94,TNCalibEq2500!$AZ$2:$BB$165,3,)))</f>
        <v>0</v>
      </c>
      <c r="AU94" s="10" t="b">
        <f>IF(I94="TP",VLOOKUP(AF94,TPCalibEqFull!$AZ$2:$BB$165,3),IF(I94="TDP",VLOOKUP(AF94,TPCalibEqFull!$AZ$2:$BB$165,3),IF(I94="TDN",VLOOKUP(AF94,TNCalibEqFull!$AZ$2:$BB$164,3),IF(I94="TN",VLOOKUP(AF94,TNCalibEqFull!$AZ$2:$BB$164,3),FALSE))))</f>
        <v>0</v>
      </c>
      <c r="AV94" s="10" t="str">
        <f t="shared" si="27"/>
        <v>20240803 00:00:00-1000-9-Dp-1-SW-UKN</v>
      </c>
    </row>
    <row r="95" spans="1:48" x14ac:dyDescent="0.3">
      <c r="A95" s="32">
        <v>45507</v>
      </c>
      <c r="B95" s="33">
        <v>0</v>
      </c>
      <c r="C95" s="10">
        <v>1000</v>
      </c>
      <c r="D95" s="10">
        <v>16</v>
      </c>
      <c r="E95" s="10" t="s">
        <v>954</v>
      </c>
      <c r="F95" s="10">
        <v>1</v>
      </c>
      <c r="G95" s="10" t="s">
        <v>72</v>
      </c>
      <c r="H95" s="10" t="s">
        <v>320</v>
      </c>
      <c r="I95" s="10" t="s">
        <v>254</v>
      </c>
      <c r="J95" s="10">
        <v>19</v>
      </c>
      <c r="K95" s="12">
        <v>45687</v>
      </c>
      <c r="L95" s="33">
        <v>0.4952893518518518</v>
      </c>
      <c r="M95" s="10">
        <v>1</v>
      </c>
      <c r="N95" s="10" t="s">
        <v>167</v>
      </c>
      <c r="O95" s="10">
        <v>5.3800000000000001E-2</v>
      </c>
      <c r="P95" s="10">
        <v>4.62E-3</v>
      </c>
      <c r="Q95" s="10">
        <v>10.199999999999999</v>
      </c>
      <c r="R95" s="10" t="s">
        <v>76</v>
      </c>
      <c r="S95" s="34">
        <f t="shared" si="22"/>
        <v>10.199999999999999</v>
      </c>
      <c r="T95" s="10" t="s">
        <v>956</v>
      </c>
      <c r="U95" s="34" t="str">
        <f t="shared" si="28"/>
        <v/>
      </c>
      <c r="V95" s="31" t="str">
        <f>IF(H95="CHK",VLOOKUP(I95,QCCHK,3,),IF(H95="GUP",VLOOKUP(E95,QCGUP,2,),IF(AND(H95="ATP",OR(I95="TN",I95="TDN",I95="TNO2-3",I95="NO2-3")),VLOOKUP(E95,QCREC_N,2,),IF(AND(H95="NIC",OR(I95="TN",I95="TDN",I95="TNO2-3",I95="NO2-3")),VLOOKUP(E95,QCNIC_N,2,),IF(AND(H95="UREA",OR(I95="TN",I95="TDN",I95="TNO2-3",I95="NO2-3")),VLOOKUP(E95,QCUREA_N,2,),IF(H95="PER",VLOOKUP(I95,QCPER,MATCH(E95,QCACTUAL!$J$25:$AA$25,0),),IF(H95="SPK",VLOOKUP(I95,QCSPK,3,),IF(AND(H95="ATP",OR(I95="TP",I95="TDP")),VLOOKUP(E95,QCATP_P,2,),""))))))))</f>
        <v/>
      </c>
      <c r="W95" s="31" t="str">
        <f t="shared" si="23"/>
        <v>TRUE</v>
      </c>
      <c r="X95" s="31" t="str">
        <f t="shared" si="24"/>
        <v/>
      </c>
      <c r="Y95" s="10" t="s">
        <v>951</v>
      </c>
      <c r="Z95" s="10"/>
      <c r="AL95" s="10" t="str">
        <f t="shared" si="25"/>
        <v>FALSE</v>
      </c>
      <c r="AM95" s="10" t="str">
        <f t="shared" si="25"/>
        <v>FALSE</v>
      </c>
      <c r="AN95" s="10" t="str">
        <f t="shared" si="25"/>
        <v>FALSE</v>
      </c>
      <c r="AO95" s="10" t="str">
        <f t="shared" si="26"/>
        <v>FALSE</v>
      </c>
      <c r="AP95" s="10" t="str">
        <f t="shared" si="26"/>
        <v>FALSE</v>
      </c>
      <c r="AQ95" s="10" t="b">
        <f>IF(AND(I95="TP",S95&lt;=150),VLOOKUP(AF95,TPCalibEq150!$AZ$2:$BB$166,3,),IF(AND(I95="TDP",S95&lt;=150),VLOOKUP(AF95,TPCalibEq150!$AZ$2:$BB$166,3,)))</f>
        <v>0</v>
      </c>
      <c r="AR95" s="10" t="b">
        <f>IF(AND(I95="TP",S95&lt;=300),VLOOKUP(AF95,TPCalibEq300!$AZ$2:$BB$166,3,),IF(AND(I95="TDP",S95&lt;=300),VLOOKUP(AF95,TPCalibEq300!$AZ$2:$BB$166,3,)))</f>
        <v>0</v>
      </c>
      <c r="AS95" s="10" t="b">
        <f>IF(AND(I95="TP",S95&lt;=500),VLOOKUP(AF95,TPCalibEq500!$AZ$2:$BB$165,3,),IF(AND(I95="TDP",S95&lt;=500),VLOOKUP(AF95,TPCalibEq500!$AZ$2:$BB$165,3,)))</f>
        <v>0</v>
      </c>
      <c r="AT95" s="10" t="b">
        <f>IF(AND(I95="TN",S95&lt;=2800),VLOOKUP(AF95,TNCalibEq2500!$AZ$2:$BB$165,3,),IF(AND(I95="TDN",S95&lt;=2800),VLOOKUP(AF95,TNCalibEq2500!$AZ$2:$BB$165,3,)))</f>
        <v>0</v>
      </c>
      <c r="AU95" s="10" t="b">
        <f>IF(I95="TP",VLOOKUP(AF95,TPCalibEqFull!$AZ$2:$BB$165,3),IF(I95="TDP",VLOOKUP(AF95,TPCalibEqFull!$AZ$2:$BB$165,3),IF(I95="TDN",VLOOKUP(AF95,TNCalibEqFull!$AZ$2:$BB$164,3),IF(I95="TN",VLOOKUP(AF95,TNCalibEqFull!$AZ$2:$BB$164,3),FALSE))))</f>
        <v>0</v>
      </c>
      <c r="AV95" s="10" t="str">
        <f t="shared" si="27"/>
        <v>20240803 00:00:00-1000-16-Dp-1-DI-UKN</v>
      </c>
    </row>
    <row r="96" spans="1:48" x14ac:dyDescent="0.3">
      <c r="A96" s="32">
        <v>45507</v>
      </c>
      <c r="B96" s="33">
        <v>0</v>
      </c>
      <c r="C96" s="10">
        <v>1000</v>
      </c>
      <c r="D96" s="10">
        <v>16</v>
      </c>
      <c r="E96" s="10" t="s">
        <v>953</v>
      </c>
      <c r="F96" s="10">
        <v>1</v>
      </c>
      <c r="G96" s="10" t="s">
        <v>72</v>
      </c>
      <c r="H96" s="10" t="s">
        <v>239</v>
      </c>
      <c r="I96" s="10" t="s">
        <v>254</v>
      </c>
      <c r="J96" s="10">
        <v>20</v>
      </c>
      <c r="K96" s="12">
        <v>45687</v>
      </c>
      <c r="L96" s="33">
        <v>0.49607638888888889</v>
      </c>
      <c r="M96" s="10">
        <v>1</v>
      </c>
      <c r="N96" s="10" t="s">
        <v>167</v>
      </c>
      <c r="O96" s="10">
        <v>2.1499999999999998E-2</v>
      </c>
      <c r="P96" s="10">
        <v>1.01E-3</v>
      </c>
      <c r="Q96" s="10">
        <v>5.48</v>
      </c>
      <c r="R96" s="10" t="s">
        <v>76</v>
      </c>
      <c r="S96" s="34">
        <f t="shared" si="22"/>
        <v>5.48</v>
      </c>
      <c r="T96" s="10" t="s">
        <v>956</v>
      </c>
      <c r="U96" s="34" t="str">
        <f t="shared" si="28"/>
        <v/>
      </c>
      <c r="V96" s="31" t="str">
        <f>IF(H96="CHK",VLOOKUP(I96,QCCHK,3,),IF(H96="GUP",VLOOKUP(E96,QCGUP,2,),IF(AND(H96="ATP",OR(I96="TN",I96="TDN",I96="TNO2-3",I96="NO2-3")),VLOOKUP(E96,QCREC_N,2,),IF(AND(H96="NIC",OR(I96="TN",I96="TDN",I96="TNO2-3",I96="NO2-3")),VLOOKUP(E96,QCNIC_N,2,),IF(AND(H96="UREA",OR(I96="TN",I96="TDN",I96="TNO2-3",I96="NO2-3")),VLOOKUP(E96,QCUREA_N,2,),IF(H96="PER",VLOOKUP(I96,QCPER,MATCH(E96,QCACTUAL!$J$25:$AA$25,0),),IF(H96="SPK",VLOOKUP(I96,QCSPK,3,),IF(AND(H96="ATP",OR(I96="TP",I96="TDP")),VLOOKUP(E96,QCATP_P,2,),""))))))))</f>
        <v/>
      </c>
      <c r="W96" s="31" t="str">
        <f t="shared" si="23"/>
        <v>TRUE</v>
      </c>
      <c r="X96" s="31" t="str">
        <f t="shared" si="24"/>
        <v/>
      </c>
      <c r="Y96" s="10" t="s">
        <v>951</v>
      </c>
      <c r="Z96" s="10"/>
      <c r="AL96" s="10" t="str">
        <f t="shared" si="25"/>
        <v>FALSE</v>
      </c>
      <c r="AM96" s="10" t="str">
        <f t="shared" si="25"/>
        <v>FALSE</v>
      </c>
      <c r="AN96" s="10" t="str">
        <f t="shared" si="25"/>
        <v>FALSE</v>
      </c>
      <c r="AO96" s="10" t="str">
        <f t="shared" si="26"/>
        <v>FALSE</v>
      </c>
      <c r="AP96" s="10" t="str">
        <f t="shared" si="26"/>
        <v>FALSE</v>
      </c>
      <c r="AQ96" s="10" t="b">
        <f>IF(AND(I96="TP",S96&lt;=150),VLOOKUP(AF96,TPCalibEq150!$AZ$2:$BB$166,3,),IF(AND(I96="TDP",S96&lt;=150),VLOOKUP(AF96,TPCalibEq150!$AZ$2:$BB$166,3,)))</f>
        <v>0</v>
      </c>
      <c r="AR96" s="10" t="b">
        <f>IF(AND(I96="TP",S96&lt;=300),VLOOKUP(AF96,TPCalibEq300!$AZ$2:$BB$166,3,),IF(AND(I96="TDP",S96&lt;=300),VLOOKUP(AF96,TPCalibEq300!$AZ$2:$BB$166,3,)))</f>
        <v>0</v>
      </c>
      <c r="AS96" s="10" t="b">
        <f>IF(AND(I96="TP",S96&lt;=500),VLOOKUP(AF96,TPCalibEq500!$AZ$2:$BB$165,3,),IF(AND(I96="TDP",S96&lt;=500),VLOOKUP(AF96,TPCalibEq500!$AZ$2:$BB$165,3,)))</f>
        <v>0</v>
      </c>
      <c r="AT96" s="10" t="b">
        <f>IF(AND(I96="TN",S96&lt;=2800),VLOOKUP(AF96,TNCalibEq2500!$AZ$2:$BB$165,3,),IF(AND(I96="TDN",S96&lt;=2800),VLOOKUP(AF96,TNCalibEq2500!$AZ$2:$BB$165,3,)))</f>
        <v>0</v>
      </c>
      <c r="AU96" s="10" t="b">
        <f>IF(I96="TP",VLOOKUP(AF96,TPCalibEqFull!$AZ$2:$BB$165,3),IF(I96="TDP",VLOOKUP(AF96,TPCalibEqFull!$AZ$2:$BB$165,3),IF(I96="TDN",VLOOKUP(AF96,TNCalibEqFull!$AZ$2:$BB$164,3),IF(I96="TN",VLOOKUP(AF96,TNCalibEqFull!$AZ$2:$BB$164,3),FALSE))))</f>
        <v>0</v>
      </c>
      <c r="AV96" s="10" t="str">
        <f t="shared" si="27"/>
        <v>20240803 00:00:00-1000-16-Sh-1-DI-BLK</v>
      </c>
    </row>
    <row r="97" spans="1:48" x14ac:dyDescent="0.3">
      <c r="A97" s="32">
        <v>45507</v>
      </c>
      <c r="B97" s="33">
        <v>0</v>
      </c>
      <c r="C97" s="10">
        <v>1000</v>
      </c>
      <c r="D97" s="10">
        <v>16</v>
      </c>
      <c r="E97" s="10" t="s">
        <v>953</v>
      </c>
      <c r="F97" s="10">
        <v>1</v>
      </c>
      <c r="G97" s="10" t="s">
        <v>229</v>
      </c>
      <c r="H97" s="10" t="s">
        <v>320</v>
      </c>
      <c r="I97" s="10" t="s">
        <v>254</v>
      </c>
      <c r="J97" s="10">
        <v>21</v>
      </c>
      <c r="K97" s="12">
        <v>45687</v>
      </c>
      <c r="L97" s="33">
        <v>0.49692129629629633</v>
      </c>
      <c r="M97" s="10">
        <v>1</v>
      </c>
      <c r="N97" s="10" t="s">
        <v>167</v>
      </c>
      <c r="O97" s="10">
        <v>6.6799999999999998E-2</v>
      </c>
      <c r="P97" s="10">
        <v>3.6600000000000001E-3</v>
      </c>
      <c r="Q97" s="10">
        <v>12.1</v>
      </c>
      <c r="R97" s="10" t="s">
        <v>76</v>
      </c>
      <c r="S97" s="34">
        <f t="shared" si="22"/>
        <v>12.1</v>
      </c>
      <c r="T97" s="10" t="s">
        <v>956</v>
      </c>
      <c r="U97" s="34" t="str">
        <f t="shared" si="28"/>
        <v/>
      </c>
      <c r="V97" s="31" t="str">
        <f>IF(H97="CHK",VLOOKUP(I97,QCCHK,3,),IF(H97="GUP",VLOOKUP(E97,QCGUP,2,),IF(AND(H97="ATP",OR(I97="TN",I97="TDN",I97="TNO2-3",I97="NO2-3")),VLOOKUP(E97,QCREC_N,2,),IF(AND(H97="NIC",OR(I97="TN",I97="TDN",I97="TNO2-3",I97="NO2-3")),VLOOKUP(E97,QCNIC_N,2,),IF(AND(H97="UREA",OR(I97="TN",I97="TDN",I97="TNO2-3",I97="NO2-3")),VLOOKUP(E97,QCUREA_N,2,),IF(H97="PER",VLOOKUP(I97,QCPER,MATCH(E97,QCACTUAL!$J$25:$AA$25,0),),IF(H97="SPK",VLOOKUP(I97,QCSPK,3,),IF(AND(H97="ATP",OR(I97="TP",I97="TDP")),VLOOKUP(E97,QCATP_P,2,),""))))))))</f>
        <v/>
      </c>
      <c r="W97" s="31" t="str">
        <f t="shared" si="23"/>
        <v>TRUE</v>
      </c>
      <c r="X97" s="31" t="str">
        <f t="shared" si="24"/>
        <v/>
      </c>
      <c r="Y97" s="10" t="s">
        <v>951</v>
      </c>
      <c r="Z97" s="10"/>
      <c r="AL97" s="10" t="str">
        <f t="shared" si="25"/>
        <v>FALSE</v>
      </c>
      <c r="AM97" s="10" t="str">
        <f t="shared" si="25"/>
        <v>FALSE</v>
      </c>
      <c r="AN97" s="10" t="str">
        <f t="shared" si="25"/>
        <v>FALSE</v>
      </c>
      <c r="AO97" s="10" t="str">
        <f t="shared" si="26"/>
        <v>FALSE</v>
      </c>
      <c r="AP97" s="10" t="str">
        <f t="shared" si="26"/>
        <v>FALSE</v>
      </c>
      <c r="AQ97" s="10" t="b">
        <f>IF(AND(I97="TP",S97&lt;=150),VLOOKUP(AF97,TPCalibEq150!$AZ$2:$BB$166,3,),IF(AND(I97="TDP",S97&lt;=150),VLOOKUP(AF97,TPCalibEq150!$AZ$2:$BB$166,3,)))</f>
        <v>0</v>
      </c>
      <c r="AR97" s="10" t="b">
        <f>IF(AND(I97="TP",S97&lt;=300),VLOOKUP(AF97,TPCalibEq300!$AZ$2:$BB$166,3,),IF(AND(I97="TDP",S97&lt;=300),VLOOKUP(AF97,TPCalibEq300!$AZ$2:$BB$166,3,)))</f>
        <v>0</v>
      </c>
      <c r="AS97" s="10" t="b">
        <f>IF(AND(I97="TP",S97&lt;=500),VLOOKUP(AF97,TPCalibEq500!$AZ$2:$BB$165,3,),IF(AND(I97="TDP",S97&lt;=500),VLOOKUP(AF97,TPCalibEq500!$AZ$2:$BB$165,3,)))</f>
        <v>0</v>
      </c>
      <c r="AT97" s="10" t="b">
        <f>IF(AND(I97="TN",S97&lt;=2800),VLOOKUP(AF97,TNCalibEq2500!$AZ$2:$BB$165,3,),IF(AND(I97="TDN",S97&lt;=2800),VLOOKUP(AF97,TNCalibEq2500!$AZ$2:$BB$165,3,)))</f>
        <v>0</v>
      </c>
      <c r="AU97" s="10" t="b">
        <f>IF(I97="TP",VLOOKUP(AF97,TPCalibEqFull!$AZ$2:$BB$165,3),IF(I97="TDP",VLOOKUP(AF97,TPCalibEqFull!$AZ$2:$BB$165,3),IF(I97="TDN",VLOOKUP(AF97,TNCalibEqFull!$AZ$2:$BB$164,3),IF(I97="TN",VLOOKUP(AF97,TNCalibEqFull!$AZ$2:$BB$164,3),FALSE))))</f>
        <v>0</v>
      </c>
      <c r="AV97" s="10" t="str">
        <f t="shared" si="27"/>
        <v>20240803 00:00:00-1000-16-Sh-1-SW-UKN</v>
      </c>
    </row>
    <row r="98" spans="1:48" x14ac:dyDescent="0.3">
      <c r="A98" s="32">
        <v>45507</v>
      </c>
      <c r="B98" s="33">
        <v>0</v>
      </c>
      <c r="C98" s="10">
        <v>1000</v>
      </c>
      <c r="D98" s="10">
        <v>16</v>
      </c>
      <c r="E98" s="10" t="s">
        <v>953</v>
      </c>
      <c r="F98" s="10">
        <v>2</v>
      </c>
      <c r="G98" s="10" t="s">
        <v>229</v>
      </c>
      <c r="H98" s="10" t="s">
        <v>320</v>
      </c>
      <c r="I98" s="10" t="s">
        <v>254</v>
      </c>
      <c r="J98" s="10">
        <v>22</v>
      </c>
      <c r="K98" s="12">
        <v>45687</v>
      </c>
      <c r="L98" s="33">
        <v>0.4977314814814815</v>
      </c>
      <c r="M98" s="10">
        <v>1</v>
      </c>
      <c r="N98" s="10" t="s">
        <v>167</v>
      </c>
      <c r="O98" s="10">
        <v>1.23E-2</v>
      </c>
      <c r="P98" s="10">
        <v>7.0200000000000004E-4</v>
      </c>
      <c r="Q98" s="10">
        <v>4.13</v>
      </c>
      <c r="R98" s="10" t="s">
        <v>76</v>
      </c>
      <c r="S98" s="34">
        <f t="shared" si="22"/>
        <v>4.13</v>
      </c>
      <c r="T98" s="10" t="s">
        <v>956</v>
      </c>
      <c r="U98" s="34" t="str">
        <f t="shared" si="28"/>
        <v/>
      </c>
      <c r="V98" s="31" t="str">
        <f>IF(H98="CHK",VLOOKUP(I98,QCCHK,3,),IF(H98="GUP",VLOOKUP(E98,QCGUP,2,),IF(AND(H98="ATP",OR(I98="TN",I98="TDN",I98="TNO2-3",I98="NO2-3")),VLOOKUP(E98,QCREC_N,2,),IF(AND(H98="NIC",OR(I98="TN",I98="TDN",I98="TNO2-3",I98="NO2-3")),VLOOKUP(E98,QCNIC_N,2,),IF(AND(H98="UREA",OR(I98="TN",I98="TDN",I98="TNO2-3",I98="NO2-3")),VLOOKUP(E98,QCUREA_N,2,),IF(H98="PER",VLOOKUP(I98,QCPER,MATCH(E98,QCACTUAL!$J$25:$AA$25,0),),IF(H98="SPK",VLOOKUP(I98,QCSPK,3,),IF(AND(H98="ATP",OR(I98="TP",I98="TDP")),VLOOKUP(E98,QCATP_P,2,),""))))))))</f>
        <v/>
      </c>
      <c r="W98" s="31" t="str">
        <f t="shared" si="23"/>
        <v>TRUE</v>
      </c>
      <c r="X98" s="31" t="str">
        <f t="shared" si="24"/>
        <v/>
      </c>
      <c r="Y98" s="10" t="s">
        <v>951</v>
      </c>
      <c r="Z98" s="10"/>
      <c r="AL98" s="10" t="str">
        <f t="shared" si="25"/>
        <v>FALSE</v>
      </c>
      <c r="AM98" s="10" t="str">
        <f t="shared" si="25"/>
        <v>FALSE</v>
      </c>
      <c r="AN98" s="10" t="str">
        <f t="shared" si="25"/>
        <v>FALSE</v>
      </c>
      <c r="AO98" s="10" t="str">
        <f t="shared" si="26"/>
        <v>FALSE</v>
      </c>
      <c r="AP98" s="10" t="str">
        <f t="shared" si="26"/>
        <v>FALSE</v>
      </c>
      <c r="AQ98" s="10" t="b">
        <f>IF(AND(I98="TP",S98&lt;=150),VLOOKUP(AF98,TPCalibEq150!$AZ$2:$BB$166,3,),IF(AND(I98="TDP",S98&lt;=150),VLOOKUP(AF98,TPCalibEq150!$AZ$2:$BB$166,3,)))</f>
        <v>0</v>
      </c>
      <c r="AR98" s="10" t="b">
        <f>IF(AND(I98="TP",S98&lt;=300),VLOOKUP(AF98,TPCalibEq300!$AZ$2:$BB$166,3,),IF(AND(I98="TDP",S98&lt;=300),VLOOKUP(AF98,TPCalibEq300!$AZ$2:$BB$166,3,)))</f>
        <v>0</v>
      </c>
      <c r="AS98" s="10" t="b">
        <f>IF(AND(I98="TP",S98&lt;=500),VLOOKUP(AF98,TPCalibEq500!$AZ$2:$BB$165,3,),IF(AND(I98="TDP",S98&lt;=500),VLOOKUP(AF98,TPCalibEq500!$AZ$2:$BB$165,3,)))</f>
        <v>0</v>
      </c>
      <c r="AT98" s="10" t="b">
        <f>IF(AND(I98="TN",S98&lt;=2800),VLOOKUP(AF98,TNCalibEq2500!$AZ$2:$BB$165,3,),IF(AND(I98="TDN",S98&lt;=2800),VLOOKUP(AF98,TNCalibEq2500!$AZ$2:$BB$165,3,)))</f>
        <v>0</v>
      </c>
      <c r="AU98" s="10" t="b">
        <f>IF(I98="TP",VLOOKUP(AF98,TPCalibEqFull!$AZ$2:$BB$165,3),IF(I98="TDP",VLOOKUP(AF98,TPCalibEqFull!$AZ$2:$BB$165,3),IF(I98="TDN",VLOOKUP(AF98,TNCalibEqFull!$AZ$2:$BB$164,3),IF(I98="TN",VLOOKUP(AF98,TNCalibEqFull!$AZ$2:$BB$164,3),FALSE))))</f>
        <v>0</v>
      </c>
      <c r="AV98" s="10" t="str">
        <f t="shared" si="27"/>
        <v>20240803 00:00:00-1000-16-Sh-2-SW-UKN</v>
      </c>
    </row>
    <row r="99" spans="1:48" x14ac:dyDescent="0.3">
      <c r="A99" s="32">
        <v>45507</v>
      </c>
      <c r="B99" s="33">
        <v>0</v>
      </c>
      <c r="C99" s="10">
        <v>1000</v>
      </c>
      <c r="D99" s="10">
        <v>16</v>
      </c>
      <c r="E99" s="10" t="s">
        <v>953</v>
      </c>
      <c r="F99" s="10">
        <v>2</v>
      </c>
      <c r="G99" s="10" t="s">
        <v>229</v>
      </c>
      <c r="H99" s="10" t="s">
        <v>231</v>
      </c>
      <c r="I99" s="10" t="s">
        <v>254</v>
      </c>
      <c r="J99" s="10">
        <v>22</v>
      </c>
      <c r="K99" s="12">
        <v>45687</v>
      </c>
      <c r="L99" s="33">
        <v>0.49855324074074076</v>
      </c>
      <c r="M99" s="10">
        <v>1</v>
      </c>
      <c r="N99" s="10" t="s">
        <v>167</v>
      </c>
      <c r="O99" s="10">
        <v>1.23E-2</v>
      </c>
      <c r="P99" s="10">
        <v>7.2000000000000005E-4</v>
      </c>
      <c r="Q99" s="10">
        <v>4.13</v>
      </c>
      <c r="R99" s="10" t="s">
        <v>76</v>
      </c>
      <c r="S99" s="34">
        <f t="shared" si="22"/>
        <v>4.13</v>
      </c>
      <c r="T99" s="10" t="s">
        <v>956</v>
      </c>
      <c r="U99" s="34">
        <f t="shared" si="28"/>
        <v>0</v>
      </c>
      <c r="V99" s="31" t="str">
        <f>IF(H99="CHK",VLOOKUP(I99,QCCHK,3,),IF(H99="GUP",VLOOKUP(E99,QCGUP,2,),IF(AND(H99="ATP",OR(I99="TN",I99="TDN",I99="TNO2-3",I99="NO2-3")),VLOOKUP(E99,QCREC_N,2,),IF(AND(H99="NIC",OR(I99="TN",I99="TDN",I99="TNO2-3",I99="NO2-3")),VLOOKUP(E99,QCNIC_N,2,),IF(AND(H99="UREA",OR(I99="TN",I99="TDN",I99="TNO2-3",I99="NO2-3")),VLOOKUP(E99,QCUREA_N,2,),IF(H99="PER",VLOOKUP(I99,QCPER,MATCH(E99,QCACTUAL!$J$25:$AA$25,0),),IF(H99="SPK",VLOOKUP(I99,QCSPK,3,),IF(AND(H99="ATP",OR(I99="TP",I99="TDP")),VLOOKUP(E99,QCATP_P,2,),""))))))))</f>
        <v/>
      </c>
      <c r="W99" s="31" t="str">
        <f t="shared" si="23"/>
        <v>TRUE</v>
      </c>
      <c r="X99" s="31" t="str">
        <f t="shared" si="24"/>
        <v>((ABS(rep1-rep2))/((rep1+rep2)/2)*100</v>
      </c>
      <c r="Y99" s="10" t="s">
        <v>951</v>
      </c>
      <c r="Z99" s="10"/>
      <c r="AL99" s="10" t="str">
        <f t="shared" si="25"/>
        <v>FALSE</v>
      </c>
      <c r="AM99" s="10" t="str">
        <f t="shared" si="25"/>
        <v>FALSE</v>
      </c>
      <c r="AN99" s="10" t="str">
        <f t="shared" si="25"/>
        <v>FALSE</v>
      </c>
      <c r="AO99" s="10" t="str">
        <f t="shared" si="26"/>
        <v>FALSE</v>
      </c>
      <c r="AP99" s="10" t="str">
        <f t="shared" si="26"/>
        <v>FALSE</v>
      </c>
      <c r="AQ99" s="10" t="b">
        <f>IF(AND(I99="TP",S99&lt;=150),VLOOKUP(AF99,TPCalibEq150!$AZ$2:$BB$166,3,),IF(AND(I99="TDP",S99&lt;=150),VLOOKUP(AF99,TPCalibEq150!$AZ$2:$BB$166,3,)))</f>
        <v>0</v>
      </c>
      <c r="AR99" s="10" t="b">
        <f>IF(AND(I99="TP",S99&lt;=300),VLOOKUP(AF99,TPCalibEq300!$AZ$2:$BB$166,3,),IF(AND(I99="TDP",S99&lt;=300),VLOOKUP(AF99,TPCalibEq300!$AZ$2:$BB$166,3,)))</f>
        <v>0</v>
      </c>
      <c r="AS99" s="10" t="b">
        <f>IF(AND(I99="TP",S99&lt;=500),VLOOKUP(AF99,TPCalibEq500!$AZ$2:$BB$165,3,),IF(AND(I99="TDP",S99&lt;=500),VLOOKUP(AF99,TPCalibEq500!$AZ$2:$BB$165,3,)))</f>
        <v>0</v>
      </c>
      <c r="AT99" s="10" t="b">
        <f>IF(AND(I99="TN",S99&lt;=2800),VLOOKUP(AF99,TNCalibEq2500!$AZ$2:$BB$165,3,),IF(AND(I99="TDN",S99&lt;=2800),VLOOKUP(AF99,TNCalibEq2500!$AZ$2:$BB$165,3,)))</f>
        <v>0</v>
      </c>
      <c r="AU99" s="10" t="b">
        <f>IF(I99="TP",VLOOKUP(AF99,TPCalibEqFull!$AZ$2:$BB$165,3),IF(I99="TDP",VLOOKUP(AF99,TPCalibEqFull!$AZ$2:$BB$165,3),IF(I99="TDN",VLOOKUP(AF99,TNCalibEqFull!$AZ$2:$BB$164,3),IF(I99="TN",VLOOKUP(AF99,TNCalibEqFull!$AZ$2:$BB$164,3),FALSE))))</f>
        <v>0</v>
      </c>
      <c r="AV99" s="10" t="str">
        <f t="shared" si="27"/>
        <v>20240803 00:00:00-1000-16-Sh-2-SW-DUP</v>
      </c>
    </row>
    <row r="100" spans="1:48" x14ac:dyDescent="0.3">
      <c r="A100" s="32">
        <v>45514</v>
      </c>
      <c r="B100" s="33">
        <v>0</v>
      </c>
      <c r="C100" s="10">
        <v>1000</v>
      </c>
      <c r="D100" s="10">
        <v>17</v>
      </c>
      <c r="E100" s="10" t="s">
        <v>953</v>
      </c>
      <c r="F100" s="10">
        <v>1</v>
      </c>
      <c r="G100" s="10" t="s">
        <v>72</v>
      </c>
      <c r="H100" s="10" t="s">
        <v>239</v>
      </c>
      <c r="I100" s="10" t="s">
        <v>254</v>
      </c>
      <c r="J100" s="10">
        <v>23</v>
      </c>
      <c r="K100" s="12">
        <v>45687</v>
      </c>
      <c r="L100" s="33">
        <v>0.50101851851851853</v>
      </c>
      <c r="M100" s="10">
        <v>1</v>
      </c>
      <c r="N100" s="10" t="s">
        <v>167</v>
      </c>
      <c r="O100" s="10">
        <v>3.6400000000000002E-2</v>
      </c>
      <c r="P100" s="10">
        <v>2.1800000000000001E-3</v>
      </c>
      <c r="Q100" s="10">
        <v>7.67</v>
      </c>
      <c r="R100" s="10" t="s">
        <v>76</v>
      </c>
      <c r="S100" s="34">
        <f t="shared" si="22"/>
        <v>7.67</v>
      </c>
      <c r="T100" s="10" t="s">
        <v>956</v>
      </c>
      <c r="U100" s="34" t="str">
        <f>IF(OR(H100="CHK",H100="ATP",H100="GUP",H100="PER", H100="NIC", H100="UREA"),(S100/V100*100),IF(H100="DUP",((ABS(S100-#REF!))/((#REF!+S100)/2))*100,IF(H100="SPK",((S100-#REF!)/V100*100),IF(OR(H100="LAB",H100="FLD",H100="ESF"),S100,""))))</f>
        <v/>
      </c>
      <c r="V100" s="31" t="str">
        <f>IF(H100="CHK",VLOOKUP(I100,QCCHK,3,),IF(H100="GUP",VLOOKUP(E100,QCGUP,2,),IF(AND(H100="ATP",OR(I100="TN",I100="TDN",I100="TNO2-3",I100="NO2-3")),VLOOKUP(E100,QCREC_N,2,),IF(AND(H100="NIC",OR(I100="TN",I100="TDN",I100="TNO2-3",I100="NO2-3")),VLOOKUP(E100,QCNIC_N,2,),IF(AND(H100="UREA",OR(I100="TN",I100="TDN",I100="TNO2-3",I100="NO2-3")),VLOOKUP(E100,QCUREA_N,2,),IF(H100="PER",VLOOKUP(I100,QCPER,MATCH(E100,QCACTUAL!$J$25:$AA$25,0),),IF(H100="SPK",VLOOKUP(I100,QCSPK,3,),IF(AND(H100="ATP",OR(I100="TP",I100="TDP")),VLOOKUP(E100,QCATP_P,2,),""))))))))</f>
        <v/>
      </c>
      <c r="W100" s="31" t="str">
        <f t="shared" si="23"/>
        <v>TRUE</v>
      </c>
      <c r="X100" s="31" t="str">
        <f t="shared" si="24"/>
        <v/>
      </c>
      <c r="Y100" s="10" t="s">
        <v>951</v>
      </c>
      <c r="Z100" s="10"/>
      <c r="AL100" s="10" t="str">
        <f t="shared" si="25"/>
        <v>FALSE</v>
      </c>
      <c r="AM100" s="10" t="str">
        <f t="shared" si="25"/>
        <v>FALSE</v>
      </c>
      <c r="AN100" s="10" t="str">
        <f t="shared" si="25"/>
        <v>FALSE</v>
      </c>
      <c r="AO100" s="10" t="str">
        <f t="shared" si="26"/>
        <v>FALSE</v>
      </c>
      <c r="AP100" s="10" t="str">
        <f t="shared" si="26"/>
        <v>FALSE</v>
      </c>
      <c r="AQ100" s="10" t="b">
        <f>IF(AND(I100="TP",S100&lt;=150),VLOOKUP(AF100,TPCalibEq150!$AZ$2:$BB$166,3,),IF(AND(I100="TDP",S100&lt;=150),VLOOKUP(AF100,TPCalibEq150!$AZ$2:$BB$166,3,)))</f>
        <v>0</v>
      </c>
      <c r="AR100" s="10" t="b">
        <f>IF(AND(I100="TP",S100&lt;=300),VLOOKUP(AF100,TPCalibEq300!$AZ$2:$BB$166,3,),IF(AND(I100="TDP",S100&lt;=300),VLOOKUP(AF100,TPCalibEq300!$AZ$2:$BB$166,3,)))</f>
        <v>0</v>
      </c>
      <c r="AS100" s="10" t="b">
        <f>IF(AND(I100="TP",S100&lt;=500),VLOOKUP(AF100,TPCalibEq500!$AZ$2:$BB$165,3,),IF(AND(I100="TDP",S100&lt;=500),VLOOKUP(AF100,TPCalibEq500!$AZ$2:$BB$165,3,)))</f>
        <v>0</v>
      </c>
      <c r="AT100" s="10" t="b">
        <f>IF(AND(I100="TN",S100&lt;=2800),VLOOKUP(AF100,TNCalibEq2500!$AZ$2:$BB$165,3,),IF(AND(I100="TDN",S100&lt;=2800),VLOOKUP(AF100,TNCalibEq2500!$AZ$2:$BB$165,3,)))</f>
        <v>0</v>
      </c>
      <c r="AU100" s="10" t="b">
        <f>IF(I100="TP",VLOOKUP(AF100,TPCalibEqFull!$AZ$2:$BB$165,3),IF(I100="TDP",VLOOKUP(AF100,TPCalibEqFull!$AZ$2:$BB$165,3),IF(I100="TDN",VLOOKUP(AF100,TNCalibEqFull!$AZ$2:$BB$164,3),IF(I100="TN",VLOOKUP(AF100,TNCalibEqFull!$AZ$2:$BB$164,3),FALSE))))</f>
        <v>0</v>
      </c>
      <c r="AV100" s="10" t="str">
        <f t="shared" si="27"/>
        <v>20240810 00:00:00-1000-17-Sh-1-DI-BLK</v>
      </c>
    </row>
    <row r="101" spans="1:48" x14ac:dyDescent="0.3">
      <c r="A101" s="32">
        <v>45514</v>
      </c>
      <c r="B101" s="33">
        <v>0</v>
      </c>
      <c r="C101" s="10">
        <v>1000</v>
      </c>
      <c r="D101" s="10">
        <v>17</v>
      </c>
      <c r="E101" s="10" t="s">
        <v>953</v>
      </c>
      <c r="F101" s="10">
        <v>1</v>
      </c>
      <c r="G101" s="10" t="s">
        <v>229</v>
      </c>
      <c r="H101" s="10" t="s">
        <v>320</v>
      </c>
      <c r="I101" s="10" t="s">
        <v>254</v>
      </c>
      <c r="J101" s="10">
        <v>24</v>
      </c>
      <c r="K101" s="12">
        <v>45687</v>
      </c>
      <c r="L101" s="33">
        <v>0.5018055555555555</v>
      </c>
      <c r="M101" s="10">
        <v>1</v>
      </c>
      <c r="N101" s="10" t="s">
        <v>167</v>
      </c>
      <c r="O101" s="10">
        <v>8.5400000000000007E-3</v>
      </c>
      <c r="P101" s="10">
        <v>7.6499999999999995E-4</v>
      </c>
      <c r="Q101" s="10">
        <v>3.57</v>
      </c>
      <c r="R101" s="10" t="s">
        <v>76</v>
      </c>
      <c r="S101" s="34">
        <f t="shared" si="22"/>
        <v>3.57</v>
      </c>
      <c r="T101" s="10" t="s">
        <v>956</v>
      </c>
      <c r="U101" s="34" t="str">
        <f t="shared" si="28"/>
        <v/>
      </c>
      <c r="V101" s="31" t="str">
        <f>IF(H101="CHK",VLOOKUP(I101,QCCHK,3,),IF(H101="GUP",VLOOKUP(E101,QCGUP,2,),IF(AND(H101="ATP",OR(I101="TN",I101="TDN",I101="TNO2-3",I101="NO2-3")),VLOOKUP(E101,QCREC_N,2,),IF(AND(H101="NIC",OR(I101="TN",I101="TDN",I101="TNO2-3",I101="NO2-3")),VLOOKUP(E101,QCNIC_N,2,),IF(AND(H101="UREA",OR(I101="TN",I101="TDN",I101="TNO2-3",I101="NO2-3")),VLOOKUP(E101,QCUREA_N,2,),IF(H101="PER",VLOOKUP(I101,QCPER,MATCH(E101,QCACTUAL!$J$25:$AA$25,0),),IF(H101="SPK",VLOOKUP(I101,QCSPK,3,),IF(AND(H101="ATP",OR(I101="TP",I101="TDP")),VLOOKUP(E101,QCATP_P,2,),""))))))))</f>
        <v/>
      </c>
      <c r="W101" s="31" t="str">
        <f t="shared" si="23"/>
        <v>TRUE</v>
      </c>
      <c r="X101" s="31" t="str">
        <f t="shared" si="24"/>
        <v/>
      </c>
      <c r="Y101" s="10" t="s">
        <v>951</v>
      </c>
      <c r="Z101" s="10"/>
      <c r="AL101" s="10" t="str">
        <f t="shared" si="25"/>
        <v>FALSE</v>
      </c>
      <c r="AM101" s="10" t="str">
        <f t="shared" si="25"/>
        <v>FALSE</v>
      </c>
      <c r="AN101" s="10" t="str">
        <f t="shared" si="25"/>
        <v>FALSE</v>
      </c>
      <c r="AO101" s="10" t="str">
        <f t="shared" si="26"/>
        <v>FALSE</v>
      </c>
      <c r="AP101" s="10" t="str">
        <f t="shared" si="26"/>
        <v>FALSE</v>
      </c>
      <c r="AQ101" s="10" t="b">
        <f>IF(AND(I101="TP",S101&lt;=150),VLOOKUP(AF101,TPCalibEq150!$AZ$2:$BB$166,3,),IF(AND(I101="TDP",S101&lt;=150),VLOOKUP(AF101,TPCalibEq150!$AZ$2:$BB$166,3,)))</f>
        <v>0</v>
      </c>
      <c r="AR101" s="10" t="b">
        <f>IF(AND(I101="TP",S101&lt;=300),VLOOKUP(AF101,TPCalibEq300!$AZ$2:$BB$166,3,),IF(AND(I101="TDP",S101&lt;=300),VLOOKUP(AF101,TPCalibEq300!$AZ$2:$BB$166,3,)))</f>
        <v>0</v>
      </c>
      <c r="AS101" s="10" t="b">
        <f>IF(AND(I101="TP",S101&lt;=500),VLOOKUP(AF101,TPCalibEq500!$AZ$2:$BB$165,3,),IF(AND(I101="TDP",S101&lt;=500),VLOOKUP(AF101,TPCalibEq500!$AZ$2:$BB$165,3,)))</f>
        <v>0</v>
      </c>
      <c r="AT101" s="10" t="b">
        <f>IF(AND(I101="TN",S101&lt;=2800),VLOOKUP(AF101,TNCalibEq2500!$AZ$2:$BB$165,3,),IF(AND(I101="TDN",S101&lt;=2800),VLOOKUP(AF101,TNCalibEq2500!$AZ$2:$BB$165,3,)))</f>
        <v>0</v>
      </c>
      <c r="AU101" s="10" t="b">
        <f>IF(I101="TP",VLOOKUP(AF101,TPCalibEqFull!$AZ$2:$BB$165,3),IF(I101="TDP",VLOOKUP(AF101,TPCalibEqFull!$AZ$2:$BB$165,3),IF(I101="TDN",VLOOKUP(AF101,TNCalibEqFull!$AZ$2:$BB$164,3),IF(I101="TN",VLOOKUP(AF101,TNCalibEqFull!$AZ$2:$BB$164,3),FALSE))))</f>
        <v>0</v>
      </c>
      <c r="AV101" s="10" t="str">
        <f t="shared" si="27"/>
        <v>20240810 00:00:00-1000-17-Sh-1-SW-UKN</v>
      </c>
    </row>
    <row r="102" spans="1:48" x14ac:dyDescent="0.3">
      <c r="A102" s="32">
        <v>45514</v>
      </c>
      <c r="B102" s="33">
        <v>0</v>
      </c>
      <c r="C102" s="10">
        <v>1000</v>
      </c>
      <c r="D102" s="10">
        <v>17</v>
      </c>
      <c r="E102" s="10" t="s">
        <v>953</v>
      </c>
      <c r="F102" s="10">
        <v>2</v>
      </c>
      <c r="G102" s="10" t="s">
        <v>229</v>
      </c>
      <c r="H102" s="10" t="s">
        <v>320</v>
      </c>
      <c r="I102" s="10" t="s">
        <v>254</v>
      </c>
      <c r="J102" s="10">
        <v>25</v>
      </c>
      <c r="K102" s="12">
        <v>45687</v>
      </c>
      <c r="L102" s="33">
        <v>0.50263888888888886</v>
      </c>
      <c r="M102" s="10">
        <v>1</v>
      </c>
      <c r="N102" s="10" t="s">
        <v>167</v>
      </c>
      <c r="O102" s="10">
        <v>1.29E-2</v>
      </c>
      <c r="P102" s="10">
        <v>9.9799999999999997E-4</v>
      </c>
      <c r="Q102" s="10">
        <v>4.22</v>
      </c>
      <c r="R102" s="10" t="s">
        <v>76</v>
      </c>
      <c r="S102" s="34">
        <f t="shared" si="22"/>
        <v>4.22</v>
      </c>
      <c r="T102" s="10" t="s">
        <v>956</v>
      </c>
      <c r="U102" s="34" t="str">
        <f t="shared" si="28"/>
        <v/>
      </c>
      <c r="V102" s="31" t="str">
        <f>IF(H102="CHK",VLOOKUP(I102,QCCHK,3,),IF(H102="GUP",VLOOKUP(E102,QCGUP,2,),IF(AND(H102="ATP",OR(I102="TN",I102="TDN",I102="TNO2-3",I102="NO2-3")),VLOOKUP(E102,QCREC_N,2,),IF(AND(H102="NIC",OR(I102="TN",I102="TDN",I102="TNO2-3",I102="NO2-3")),VLOOKUP(E102,QCNIC_N,2,),IF(AND(H102="UREA",OR(I102="TN",I102="TDN",I102="TNO2-3",I102="NO2-3")),VLOOKUP(E102,QCUREA_N,2,),IF(H102="PER",VLOOKUP(I102,QCPER,MATCH(E102,QCACTUAL!$J$25:$AA$25,0),),IF(H102="SPK",VLOOKUP(I102,QCSPK,3,),IF(AND(H102="ATP",OR(I102="TP",I102="TDP")),VLOOKUP(E102,QCATP_P,2,),""))))))))</f>
        <v/>
      </c>
      <c r="W102" s="31" t="str">
        <f t="shared" si="23"/>
        <v>TRUE</v>
      </c>
      <c r="X102" s="31" t="str">
        <f t="shared" si="24"/>
        <v/>
      </c>
      <c r="Y102" s="10" t="s">
        <v>951</v>
      </c>
      <c r="Z102" s="10"/>
      <c r="AL102" s="10" t="str">
        <f t="shared" si="25"/>
        <v>FALSE</v>
      </c>
      <c r="AM102" s="10" t="str">
        <f t="shared" si="25"/>
        <v>FALSE</v>
      </c>
      <c r="AN102" s="10" t="str">
        <f t="shared" si="25"/>
        <v>FALSE</v>
      </c>
      <c r="AO102" s="10" t="str">
        <f t="shared" si="26"/>
        <v>FALSE</v>
      </c>
      <c r="AP102" s="10" t="str">
        <f t="shared" si="26"/>
        <v>FALSE</v>
      </c>
      <c r="AQ102" s="10" t="b">
        <f>IF(AND(I102="TP",S102&lt;=150),VLOOKUP(AF102,TPCalibEq150!$AZ$2:$BB$166,3,),IF(AND(I102="TDP",S102&lt;=150),VLOOKUP(AF102,TPCalibEq150!$AZ$2:$BB$166,3,)))</f>
        <v>0</v>
      </c>
      <c r="AR102" s="10" t="b">
        <f>IF(AND(I102="TP",S102&lt;=300),VLOOKUP(AF102,TPCalibEq300!$AZ$2:$BB$166,3,),IF(AND(I102="TDP",S102&lt;=300),VLOOKUP(AF102,TPCalibEq300!$AZ$2:$BB$166,3,)))</f>
        <v>0</v>
      </c>
      <c r="AS102" s="10" t="b">
        <f>IF(AND(I102="TP",S102&lt;=500),VLOOKUP(AF102,TPCalibEq500!$AZ$2:$BB$165,3,),IF(AND(I102="TDP",S102&lt;=500),VLOOKUP(AF102,TPCalibEq500!$AZ$2:$BB$165,3,)))</f>
        <v>0</v>
      </c>
      <c r="AT102" s="10" t="b">
        <f>IF(AND(I102="TN",S102&lt;=2800),VLOOKUP(AF102,TNCalibEq2500!$AZ$2:$BB$165,3,),IF(AND(I102="TDN",S102&lt;=2800),VLOOKUP(AF102,TNCalibEq2500!$AZ$2:$BB$165,3,)))</f>
        <v>0</v>
      </c>
      <c r="AU102" s="10" t="b">
        <f>IF(I102="TP",VLOOKUP(AF102,TPCalibEqFull!$AZ$2:$BB$165,3),IF(I102="TDP",VLOOKUP(AF102,TPCalibEqFull!$AZ$2:$BB$165,3),IF(I102="TDN",VLOOKUP(AF102,TNCalibEqFull!$AZ$2:$BB$164,3),IF(I102="TN",VLOOKUP(AF102,TNCalibEqFull!$AZ$2:$BB$164,3),FALSE))))</f>
        <v>0</v>
      </c>
      <c r="AV102" s="10" t="str">
        <f t="shared" si="27"/>
        <v>20240810 00:00:00-1000-17-Sh-2-SW-UKN</v>
      </c>
    </row>
    <row r="103" spans="1:48" x14ac:dyDescent="0.3">
      <c r="A103" s="32">
        <v>45514</v>
      </c>
      <c r="B103" s="33">
        <v>0</v>
      </c>
      <c r="C103" s="10">
        <v>1000</v>
      </c>
      <c r="D103" s="10">
        <v>17</v>
      </c>
      <c r="E103" s="10" t="s">
        <v>954</v>
      </c>
      <c r="F103" s="10">
        <v>1</v>
      </c>
      <c r="G103" s="10" t="s">
        <v>229</v>
      </c>
      <c r="H103" s="10" t="s">
        <v>320</v>
      </c>
      <c r="I103" s="10" t="s">
        <v>254</v>
      </c>
      <c r="J103" s="10">
        <v>26</v>
      </c>
      <c r="K103" s="12">
        <v>45687</v>
      </c>
      <c r="L103" s="33">
        <v>0.50342592592592594</v>
      </c>
      <c r="M103" s="10">
        <v>1</v>
      </c>
      <c r="N103" s="10" t="s">
        <v>167</v>
      </c>
      <c r="O103" s="10">
        <v>2.2200000000000001E-2</v>
      </c>
      <c r="P103" s="10">
        <v>8.2200000000000003E-4</v>
      </c>
      <c r="Q103" s="10">
        <v>5.58</v>
      </c>
      <c r="R103" s="10" t="s">
        <v>76</v>
      </c>
      <c r="S103" s="34">
        <f t="shared" si="22"/>
        <v>5.58</v>
      </c>
      <c r="T103" s="10" t="s">
        <v>956</v>
      </c>
      <c r="U103" s="34" t="str">
        <f t="shared" si="28"/>
        <v/>
      </c>
      <c r="V103" s="31" t="str">
        <f>IF(H103="CHK",VLOOKUP(I103,QCCHK,3,),IF(H103="GUP",VLOOKUP(E103,QCGUP,2,),IF(AND(H103="ATP",OR(I103="TN",I103="TDN",I103="TNO2-3",I103="NO2-3")),VLOOKUP(E103,QCREC_N,2,),IF(AND(H103="NIC",OR(I103="TN",I103="TDN",I103="TNO2-3",I103="NO2-3")),VLOOKUP(E103,QCNIC_N,2,),IF(AND(H103="UREA",OR(I103="TN",I103="TDN",I103="TNO2-3",I103="NO2-3")),VLOOKUP(E103,QCUREA_N,2,),IF(H103="PER",VLOOKUP(I103,QCPER,MATCH(E103,QCACTUAL!$J$25:$AA$25,0),),IF(H103="SPK",VLOOKUP(I103,QCSPK,3,),IF(AND(H103="ATP",OR(I103="TP",I103="TDP")),VLOOKUP(E103,QCATP_P,2,),""))))))))</f>
        <v/>
      </c>
      <c r="W103" s="31" t="str">
        <f t="shared" si="23"/>
        <v>TRUE</v>
      </c>
      <c r="X103" s="31" t="str">
        <f t="shared" si="24"/>
        <v/>
      </c>
      <c r="Y103" s="10" t="s">
        <v>951</v>
      </c>
      <c r="Z103" s="10"/>
      <c r="AL103" s="10" t="str">
        <f t="shared" si="25"/>
        <v>FALSE</v>
      </c>
      <c r="AM103" s="10" t="str">
        <f t="shared" si="25"/>
        <v>FALSE</v>
      </c>
      <c r="AN103" s="10" t="str">
        <f t="shared" si="25"/>
        <v>FALSE</v>
      </c>
      <c r="AO103" s="10" t="str">
        <f t="shared" si="26"/>
        <v>FALSE</v>
      </c>
      <c r="AP103" s="10" t="str">
        <f t="shared" si="26"/>
        <v>FALSE</v>
      </c>
      <c r="AQ103" s="10" t="b">
        <f>IF(AND(I103="TP",S103&lt;=150),VLOOKUP(AF103,TPCalibEq150!$AZ$2:$BB$166,3,),IF(AND(I103="TDP",S103&lt;=150),VLOOKUP(AF103,TPCalibEq150!$AZ$2:$BB$166,3,)))</f>
        <v>0</v>
      </c>
      <c r="AR103" s="10" t="b">
        <f>IF(AND(I103="TP",S103&lt;=300),VLOOKUP(AF103,TPCalibEq300!$AZ$2:$BB$166,3,),IF(AND(I103="TDP",S103&lt;=300),VLOOKUP(AF103,TPCalibEq300!$AZ$2:$BB$166,3,)))</f>
        <v>0</v>
      </c>
      <c r="AS103" s="10" t="b">
        <f>IF(AND(I103="TP",S103&lt;=500),VLOOKUP(AF103,TPCalibEq500!$AZ$2:$BB$165,3,),IF(AND(I103="TDP",S103&lt;=500),VLOOKUP(AF103,TPCalibEq500!$AZ$2:$BB$165,3,)))</f>
        <v>0</v>
      </c>
      <c r="AT103" s="10" t="b">
        <f>IF(AND(I103="TN",S103&lt;=2800),VLOOKUP(AF103,TNCalibEq2500!$AZ$2:$BB$165,3,),IF(AND(I103="TDN",S103&lt;=2800),VLOOKUP(AF103,TNCalibEq2500!$AZ$2:$BB$165,3,)))</f>
        <v>0</v>
      </c>
      <c r="AU103" s="10" t="b">
        <f>IF(I103="TP",VLOOKUP(AF103,TPCalibEqFull!$AZ$2:$BB$165,3),IF(I103="TDP",VLOOKUP(AF103,TPCalibEqFull!$AZ$2:$BB$165,3),IF(I103="TDN",VLOOKUP(AF103,TNCalibEqFull!$AZ$2:$BB$164,3),IF(I103="TN",VLOOKUP(AF103,TNCalibEqFull!$AZ$2:$BB$164,3),FALSE))))</f>
        <v>0</v>
      </c>
      <c r="AV103" s="10" t="str">
        <f t="shared" si="27"/>
        <v>20240810 00:00:00-1000-17-Dp-1-SW-UKN</v>
      </c>
    </row>
    <row r="104" spans="1:48" x14ac:dyDescent="0.3">
      <c r="A104" s="32">
        <v>45514</v>
      </c>
      <c r="B104" s="33">
        <v>0</v>
      </c>
      <c r="C104" s="10">
        <v>1000</v>
      </c>
      <c r="D104" s="10">
        <v>18</v>
      </c>
      <c r="E104" s="10" t="s">
        <v>953</v>
      </c>
      <c r="F104" s="10">
        <v>1</v>
      </c>
      <c r="G104" s="10" t="s">
        <v>72</v>
      </c>
      <c r="H104" s="10" t="s">
        <v>239</v>
      </c>
      <c r="I104" s="10" t="s">
        <v>254</v>
      </c>
      <c r="J104" s="10">
        <v>27</v>
      </c>
      <c r="K104" s="12">
        <v>45687</v>
      </c>
      <c r="L104" s="33">
        <v>0.50424768518518526</v>
      </c>
      <c r="M104" s="10">
        <v>1</v>
      </c>
      <c r="N104" s="10" t="s">
        <v>167</v>
      </c>
      <c r="O104" s="10">
        <v>5.21E-2</v>
      </c>
      <c r="P104" s="10">
        <v>2.49E-3</v>
      </c>
      <c r="Q104" s="10">
        <v>9.99</v>
      </c>
      <c r="R104" s="10" t="s">
        <v>76</v>
      </c>
      <c r="S104" s="34">
        <f t="shared" si="22"/>
        <v>9.99</v>
      </c>
      <c r="T104" s="10" t="s">
        <v>956</v>
      </c>
      <c r="U104" s="34" t="str">
        <f t="shared" si="28"/>
        <v/>
      </c>
      <c r="V104" s="31" t="str">
        <f>IF(H104="CHK",VLOOKUP(I104,QCCHK,3,),IF(H104="GUP",VLOOKUP(E104,QCGUP,2,),IF(AND(H104="ATP",OR(I104="TN",I104="TDN",I104="TNO2-3",I104="NO2-3")),VLOOKUP(E104,QCREC_N,2,),IF(AND(H104="NIC",OR(I104="TN",I104="TDN",I104="TNO2-3",I104="NO2-3")),VLOOKUP(E104,QCNIC_N,2,),IF(AND(H104="UREA",OR(I104="TN",I104="TDN",I104="TNO2-3",I104="NO2-3")),VLOOKUP(E104,QCUREA_N,2,),IF(H104="PER",VLOOKUP(I104,QCPER,MATCH(E104,QCACTUAL!$J$25:$AA$25,0),),IF(H104="SPK",VLOOKUP(I104,QCSPK,3,),IF(AND(H104="ATP",OR(I104="TP",I104="TDP")),VLOOKUP(E104,QCATP_P,2,),""))))))))</f>
        <v/>
      </c>
      <c r="W104" s="31" t="str">
        <f t="shared" si="23"/>
        <v>TRUE</v>
      </c>
      <c r="X104" s="31" t="str">
        <f t="shared" si="24"/>
        <v/>
      </c>
      <c r="Y104" s="10" t="s">
        <v>951</v>
      </c>
      <c r="Z104" s="10"/>
      <c r="AL104" s="10" t="str">
        <f t="shared" si="25"/>
        <v>FALSE</v>
      </c>
      <c r="AM104" s="10" t="str">
        <f t="shared" si="25"/>
        <v>FALSE</v>
      </c>
      <c r="AN104" s="10" t="str">
        <f t="shared" si="25"/>
        <v>FALSE</v>
      </c>
      <c r="AO104" s="10" t="str">
        <f t="shared" si="26"/>
        <v>FALSE</v>
      </c>
      <c r="AP104" s="10" t="str">
        <f t="shared" si="26"/>
        <v>FALSE</v>
      </c>
      <c r="AQ104" s="10" t="b">
        <f>IF(AND(I104="TP",S104&lt;=150),VLOOKUP(AF104,TPCalibEq150!$AZ$2:$BB$166,3,),IF(AND(I104="TDP",S104&lt;=150),VLOOKUP(AF104,TPCalibEq150!$AZ$2:$BB$166,3,)))</f>
        <v>0</v>
      </c>
      <c r="AR104" s="10" t="b">
        <f>IF(AND(I104="TP",S104&lt;=300),VLOOKUP(AF104,TPCalibEq300!$AZ$2:$BB$166,3,),IF(AND(I104="TDP",S104&lt;=300),VLOOKUP(AF104,TPCalibEq300!$AZ$2:$BB$166,3,)))</f>
        <v>0</v>
      </c>
      <c r="AS104" s="10" t="b">
        <f>IF(AND(I104="TP",S104&lt;=500),VLOOKUP(AF104,TPCalibEq500!$AZ$2:$BB$165,3,),IF(AND(I104="TDP",S104&lt;=500),VLOOKUP(AF104,TPCalibEq500!$AZ$2:$BB$165,3,)))</f>
        <v>0</v>
      </c>
      <c r="AT104" s="10" t="b">
        <f>IF(AND(I104="TN",S104&lt;=2800),VLOOKUP(AF104,TNCalibEq2500!$AZ$2:$BB$165,3,),IF(AND(I104="TDN",S104&lt;=2800),VLOOKUP(AF104,TNCalibEq2500!$AZ$2:$BB$165,3,)))</f>
        <v>0</v>
      </c>
      <c r="AU104" s="10" t="b">
        <f>IF(I104="TP",VLOOKUP(AF104,TPCalibEqFull!$AZ$2:$BB$165,3),IF(I104="TDP",VLOOKUP(AF104,TPCalibEqFull!$AZ$2:$BB$165,3),IF(I104="TDN",VLOOKUP(AF104,TNCalibEqFull!$AZ$2:$BB$164,3),IF(I104="TN",VLOOKUP(AF104,TNCalibEqFull!$AZ$2:$BB$164,3),FALSE))))</f>
        <v>0</v>
      </c>
      <c r="AV104" s="10" t="str">
        <f t="shared" si="27"/>
        <v>20240810 00:00:00-1000-18-Sh-1-DI-BLK</v>
      </c>
    </row>
    <row r="105" spans="1:48" x14ac:dyDescent="0.3">
      <c r="A105" s="32">
        <v>45514</v>
      </c>
      <c r="B105" s="33">
        <v>0</v>
      </c>
      <c r="C105" s="10">
        <v>1000</v>
      </c>
      <c r="D105" s="10">
        <v>18</v>
      </c>
      <c r="E105" s="10" t="s">
        <v>953</v>
      </c>
      <c r="F105" s="10">
        <v>1</v>
      </c>
      <c r="G105" s="10" t="s">
        <v>229</v>
      </c>
      <c r="H105" s="10" t="s">
        <v>320</v>
      </c>
      <c r="I105" s="10" t="s">
        <v>254</v>
      </c>
      <c r="J105" s="10">
        <v>28</v>
      </c>
      <c r="K105" s="12">
        <v>45687</v>
      </c>
      <c r="L105" s="33">
        <v>0.50504629629629627</v>
      </c>
      <c r="M105" s="10">
        <v>1</v>
      </c>
      <c r="N105" s="10" t="s">
        <v>167</v>
      </c>
      <c r="O105" s="10">
        <v>3.49E-2</v>
      </c>
      <c r="P105" s="10">
        <v>1.7700000000000001E-3</v>
      </c>
      <c r="Q105" s="10">
        <v>7.45</v>
      </c>
      <c r="R105" s="10" t="s">
        <v>76</v>
      </c>
      <c r="S105" s="34">
        <f t="shared" si="22"/>
        <v>7.45</v>
      </c>
      <c r="T105" s="10" t="s">
        <v>956</v>
      </c>
      <c r="U105" s="34" t="str">
        <f t="shared" si="28"/>
        <v/>
      </c>
      <c r="V105" s="31" t="str">
        <f>IF(H105="CHK",VLOOKUP(I105,QCCHK,3,),IF(H105="GUP",VLOOKUP(E105,QCGUP,2,),IF(AND(H105="ATP",OR(I105="TN",I105="TDN",I105="TNO2-3",I105="NO2-3")),VLOOKUP(E105,QCREC_N,2,),IF(AND(H105="NIC",OR(I105="TN",I105="TDN",I105="TNO2-3",I105="NO2-3")),VLOOKUP(E105,QCNIC_N,2,),IF(AND(H105="UREA",OR(I105="TN",I105="TDN",I105="TNO2-3",I105="NO2-3")),VLOOKUP(E105,QCUREA_N,2,),IF(H105="PER",VLOOKUP(I105,QCPER,MATCH(E105,QCACTUAL!$J$25:$AA$25,0),),IF(H105="SPK",VLOOKUP(I105,QCSPK,3,),IF(AND(H105="ATP",OR(I105="TP",I105="TDP")),VLOOKUP(E105,QCATP_P,2,),""))))))))</f>
        <v/>
      </c>
      <c r="W105" s="31" t="str">
        <f t="shared" si="23"/>
        <v>TRUE</v>
      </c>
      <c r="X105" s="31" t="str">
        <f t="shared" si="24"/>
        <v/>
      </c>
      <c r="Y105" s="10" t="s">
        <v>951</v>
      </c>
      <c r="Z105" s="10"/>
      <c r="AL105" s="10" t="str">
        <f t="shared" si="25"/>
        <v>FALSE</v>
      </c>
      <c r="AM105" s="10" t="str">
        <f t="shared" si="25"/>
        <v>FALSE</v>
      </c>
      <c r="AN105" s="10" t="str">
        <f t="shared" si="25"/>
        <v>FALSE</v>
      </c>
      <c r="AO105" s="10" t="str">
        <f t="shared" si="26"/>
        <v>FALSE</v>
      </c>
      <c r="AP105" s="10" t="str">
        <f t="shared" si="26"/>
        <v>FALSE</v>
      </c>
      <c r="AQ105" s="10" t="b">
        <f>IF(AND(I105="TP",S105&lt;=150),VLOOKUP(AF105,TPCalibEq150!$AZ$2:$BB$166,3,),IF(AND(I105="TDP",S105&lt;=150),VLOOKUP(AF105,TPCalibEq150!$AZ$2:$BB$166,3,)))</f>
        <v>0</v>
      </c>
      <c r="AR105" s="10" t="b">
        <f>IF(AND(I105="TP",S105&lt;=300),VLOOKUP(AF105,TPCalibEq300!$AZ$2:$BB$166,3,),IF(AND(I105="TDP",S105&lt;=300),VLOOKUP(AF105,TPCalibEq300!$AZ$2:$BB$166,3,)))</f>
        <v>0</v>
      </c>
      <c r="AS105" s="10" t="b">
        <f>IF(AND(I105="TP",S105&lt;=500),VLOOKUP(AF105,TPCalibEq500!$AZ$2:$BB$165,3,),IF(AND(I105="TDP",S105&lt;=500),VLOOKUP(AF105,TPCalibEq500!$AZ$2:$BB$165,3,)))</f>
        <v>0</v>
      </c>
      <c r="AT105" s="10" t="b">
        <f>IF(AND(I105="TN",S105&lt;=2800),VLOOKUP(AF105,TNCalibEq2500!$AZ$2:$BB$165,3,),IF(AND(I105="TDN",S105&lt;=2800),VLOOKUP(AF105,TNCalibEq2500!$AZ$2:$BB$165,3,)))</f>
        <v>0</v>
      </c>
      <c r="AU105" s="10" t="b">
        <f>IF(I105="TP",VLOOKUP(AF105,TPCalibEqFull!$AZ$2:$BB$165,3),IF(I105="TDP",VLOOKUP(AF105,TPCalibEqFull!$AZ$2:$BB$165,3),IF(I105="TDN",VLOOKUP(AF105,TNCalibEqFull!$AZ$2:$BB$164,3),IF(I105="TN",VLOOKUP(AF105,TNCalibEqFull!$AZ$2:$BB$164,3),FALSE))))</f>
        <v>0</v>
      </c>
      <c r="AV105" s="10" t="str">
        <f t="shared" si="27"/>
        <v>20240810 00:00:00-1000-18-Sh-1-SW-UKN</v>
      </c>
    </row>
    <row r="106" spans="1:48" x14ac:dyDescent="0.3">
      <c r="A106" s="32">
        <v>45514</v>
      </c>
      <c r="B106" s="33">
        <v>0</v>
      </c>
      <c r="C106" s="10">
        <v>1000</v>
      </c>
      <c r="D106" s="10">
        <v>18</v>
      </c>
      <c r="E106" s="10" t="s">
        <v>953</v>
      </c>
      <c r="F106" s="10">
        <v>2</v>
      </c>
      <c r="G106" s="10" t="s">
        <v>229</v>
      </c>
      <c r="H106" s="10" t="s">
        <v>320</v>
      </c>
      <c r="I106" s="10" t="s">
        <v>254</v>
      </c>
      <c r="J106" s="10">
        <v>29</v>
      </c>
      <c r="K106" s="12">
        <v>45687</v>
      </c>
      <c r="L106" s="33">
        <v>0.50587962962962962</v>
      </c>
      <c r="M106" s="10">
        <v>1</v>
      </c>
      <c r="N106" s="10" t="s">
        <v>167</v>
      </c>
      <c r="O106" s="10">
        <v>3.5099999999999999E-2</v>
      </c>
      <c r="P106" s="10">
        <v>1.41E-3</v>
      </c>
      <c r="Q106" s="10">
        <v>7.48</v>
      </c>
      <c r="R106" s="10" t="s">
        <v>76</v>
      </c>
      <c r="S106" s="34">
        <f t="shared" si="22"/>
        <v>7.48</v>
      </c>
      <c r="T106" s="10" t="s">
        <v>956</v>
      </c>
      <c r="U106" s="34" t="str">
        <f t="shared" si="28"/>
        <v/>
      </c>
      <c r="V106" s="31" t="str">
        <f>IF(H106="CHK",VLOOKUP(I106,QCCHK,3,),IF(H106="GUP",VLOOKUP(E106,QCGUP,2,),IF(AND(H106="ATP",OR(I106="TN",I106="TDN",I106="TNO2-3",I106="NO2-3")),VLOOKUP(E106,QCREC_N,2,),IF(AND(H106="NIC",OR(I106="TN",I106="TDN",I106="TNO2-3",I106="NO2-3")),VLOOKUP(E106,QCNIC_N,2,),IF(AND(H106="UREA",OR(I106="TN",I106="TDN",I106="TNO2-3",I106="NO2-3")),VLOOKUP(E106,QCUREA_N,2,),IF(H106="PER",VLOOKUP(I106,QCPER,MATCH(E106,QCACTUAL!$J$25:$AA$25,0),),IF(H106="SPK",VLOOKUP(I106,QCSPK,3,),IF(AND(H106="ATP",OR(I106="TP",I106="TDP")),VLOOKUP(E106,QCATP_P,2,),""))))))))</f>
        <v/>
      </c>
      <c r="W106" s="31" t="str">
        <f t="shared" si="23"/>
        <v>TRUE</v>
      </c>
      <c r="X106" s="31" t="str">
        <f t="shared" si="24"/>
        <v/>
      </c>
      <c r="Y106" s="10" t="s">
        <v>951</v>
      </c>
      <c r="Z106" s="10"/>
      <c r="AL106" s="10" t="str">
        <f t="shared" si="25"/>
        <v>FALSE</v>
      </c>
      <c r="AM106" s="10" t="str">
        <f t="shared" si="25"/>
        <v>FALSE</v>
      </c>
      <c r="AN106" s="10" t="str">
        <f t="shared" si="25"/>
        <v>FALSE</v>
      </c>
      <c r="AO106" s="10" t="str">
        <f t="shared" si="26"/>
        <v>FALSE</v>
      </c>
      <c r="AP106" s="10" t="str">
        <f t="shared" si="26"/>
        <v>FALSE</v>
      </c>
      <c r="AQ106" s="10" t="b">
        <f>IF(AND(I106="TP",S106&lt;=150),VLOOKUP(AF106,TPCalibEq150!$AZ$2:$BB$166,3,),IF(AND(I106="TDP",S106&lt;=150),VLOOKUP(AF106,TPCalibEq150!$AZ$2:$BB$166,3,)))</f>
        <v>0</v>
      </c>
      <c r="AR106" s="10" t="b">
        <f>IF(AND(I106="TP",S106&lt;=300),VLOOKUP(AF106,TPCalibEq300!$AZ$2:$BB$166,3,),IF(AND(I106="TDP",S106&lt;=300),VLOOKUP(AF106,TPCalibEq300!$AZ$2:$BB$166,3,)))</f>
        <v>0</v>
      </c>
      <c r="AS106" s="10" t="b">
        <f>IF(AND(I106="TP",S106&lt;=500),VLOOKUP(AF106,TPCalibEq500!$AZ$2:$BB$165,3,),IF(AND(I106="TDP",S106&lt;=500),VLOOKUP(AF106,TPCalibEq500!$AZ$2:$BB$165,3,)))</f>
        <v>0</v>
      </c>
      <c r="AT106" s="10" t="b">
        <f>IF(AND(I106="TN",S106&lt;=2800),VLOOKUP(AF106,TNCalibEq2500!$AZ$2:$BB$165,3,),IF(AND(I106="TDN",S106&lt;=2800),VLOOKUP(AF106,TNCalibEq2500!$AZ$2:$BB$165,3,)))</f>
        <v>0</v>
      </c>
      <c r="AU106" s="10" t="b">
        <f>IF(I106="TP",VLOOKUP(AF106,TPCalibEqFull!$AZ$2:$BB$165,3),IF(I106="TDP",VLOOKUP(AF106,TPCalibEqFull!$AZ$2:$BB$165,3),IF(I106="TDN",VLOOKUP(AF106,TNCalibEqFull!$AZ$2:$BB$164,3),IF(I106="TN",VLOOKUP(AF106,TNCalibEqFull!$AZ$2:$BB$164,3),FALSE))))</f>
        <v>0</v>
      </c>
      <c r="AV106" s="10" t="str">
        <f t="shared" si="27"/>
        <v>20240810 00:00:00-1000-18-Sh-2-SW-UKN</v>
      </c>
    </row>
    <row r="107" spans="1:48" x14ac:dyDescent="0.3">
      <c r="A107" s="32">
        <v>45514</v>
      </c>
      <c r="B107" s="33">
        <v>0</v>
      </c>
      <c r="C107" s="10">
        <v>1000</v>
      </c>
      <c r="D107" s="10">
        <v>18</v>
      </c>
      <c r="E107" s="10" t="s">
        <v>954</v>
      </c>
      <c r="F107" s="10">
        <v>1</v>
      </c>
      <c r="G107" s="10" t="s">
        <v>229</v>
      </c>
      <c r="H107" s="10" t="s">
        <v>320</v>
      </c>
      <c r="I107" s="10" t="s">
        <v>254</v>
      </c>
      <c r="J107" s="10">
        <v>30</v>
      </c>
      <c r="K107" s="12">
        <v>45687</v>
      </c>
      <c r="L107" s="33">
        <v>0.50667824074074075</v>
      </c>
      <c r="M107" s="10">
        <v>1</v>
      </c>
      <c r="N107" s="10" t="s">
        <v>167</v>
      </c>
      <c r="O107" s="10">
        <v>3.0099999999999998E-2</v>
      </c>
      <c r="P107" s="10">
        <v>1.65E-3</v>
      </c>
      <c r="Q107" s="10">
        <v>6.74</v>
      </c>
      <c r="R107" s="10" t="s">
        <v>76</v>
      </c>
      <c r="S107" s="34">
        <f t="shared" si="22"/>
        <v>6.74</v>
      </c>
      <c r="T107" s="10" t="s">
        <v>956</v>
      </c>
      <c r="U107" s="34" t="str">
        <f t="shared" si="28"/>
        <v/>
      </c>
      <c r="V107" s="31" t="str">
        <f>IF(H107="CHK",VLOOKUP(I107,QCCHK,3,),IF(H107="GUP",VLOOKUP(E107,QCGUP,2,),IF(AND(H107="ATP",OR(I107="TN",I107="TDN",I107="TNO2-3",I107="NO2-3")),VLOOKUP(E107,QCREC_N,2,),IF(AND(H107="NIC",OR(I107="TN",I107="TDN",I107="TNO2-3",I107="NO2-3")),VLOOKUP(E107,QCNIC_N,2,),IF(AND(H107="UREA",OR(I107="TN",I107="TDN",I107="TNO2-3",I107="NO2-3")),VLOOKUP(E107,QCUREA_N,2,),IF(H107="PER",VLOOKUP(I107,QCPER,MATCH(E107,QCACTUAL!$J$25:$AA$25,0),),IF(H107="SPK",VLOOKUP(I107,QCSPK,3,),IF(AND(H107="ATP",OR(I107="TP",I107="TDP")),VLOOKUP(E107,QCATP_P,2,),""))))))))</f>
        <v/>
      </c>
      <c r="W107" s="31" t="str">
        <f t="shared" si="23"/>
        <v>TRUE</v>
      </c>
      <c r="X107" s="31" t="str">
        <f t="shared" si="24"/>
        <v/>
      </c>
      <c r="Y107" s="10" t="s">
        <v>951</v>
      </c>
      <c r="Z107" s="10"/>
      <c r="AL107" s="10" t="str">
        <f t="shared" si="25"/>
        <v>FALSE</v>
      </c>
      <c r="AM107" s="10" t="str">
        <f t="shared" si="25"/>
        <v>FALSE</v>
      </c>
      <c r="AN107" s="10" t="str">
        <f t="shared" si="25"/>
        <v>FALSE</v>
      </c>
      <c r="AO107" s="10" t="str">
        <f t="shared" si="26"/>
        <v>FALSE</v>
      </c>
      <c r="AP107" s="10" t="str">
        <f t="shared" si="26"/>
        <v>FALSE</v>
      </c>
      <c r="AQ107" s="10" t="b">
        <f>IF(AND(I107="TP",S107&lt;=150),VLOOKUP(AF107,TPCalibEq150!$AZ$2:$BB$166,3,),IF(AND(I107="TDP",S107&lt;=150),VLOOKUP(AF107,TPCalibEq150!$AZ$2:$BB$166,3,)))</f>
        <v>0</v>
      </c>
      <c r="AR107" s="10" t="b">
        <f>IF(AND(I107="TP",S107&lt;=300),VLOOKUP(AF107,TPCalibEq300!$AZ$2:$BB$166,3,),IF(AND(I107="TDP",S107&lt;=300),VLOOKUP(AF107,TPCalibEq300!$AZ$2:$BB$166,3,)))</f>
        <v>0</v>
      </c>
      <c r="AS107" s="10" t="b">
        <f>IF(AND(I107="TP",S107&lt;=500),VLOOKUP(AF107,TPCalibEq500!$AZ$2:$BB$165,3,),IF(AND(I107="TDP",S107&lt;=500),VLOOKUP(AF107,TPCalibEq500!$AZ$2:$BB$165,3,)))</f>
        <v>0</v>
      </c>
      <c r="AT107" s="10" t="b">
        <f>IF(AND(I107="TN",S107&lt;=2800),VLOOKUP(AF107,TNCalibEq2500!$AZ$2:$BB$165,3,),IF(AND(I107="TDN",S107&lt;=2800),VLOOKUP(AF107,TNCalibEq2500!$AZ$2:$BB$165,3,)))</f>
        <v>0</v>
      </c>
      <c r="AU107" s="10" t="b">
        <f>IF(I107="TP",VLOOKUP(AF107,TPCalibEqFull!$AZ$2:$BB$165,3),IF(I107="TDP",VLOOKUP(AF107,TPCalibEqFull!$AZ$2:$BB$165,3),IF(I107="TDN",VLOOKUP(AF107,TNCalibEqFull!$AZ$2:$BB$164,3),IF(I107="TN",VLOOKUP(AF107,TNCalibEqFull!$AZ$2:$BB$164,3),FALSE))))</f>
        <v>0</v>
      </c>
      <c r="AV107" s="10" t="str">
        <f t="shared" si="27"/>
        <v>20240810 00:00:00-1000-18-Dp-1-SW-UKN</v>
      </c>
    </row>
    <row r="108" spans="1:48" x14ac:dyDescent="0.3">
      <c r="A108" s="32">
        <v>45514</v>
      </c>
      <c r="B108" s="33">
        <v>0</v>
      </c>
      <c r="C108" s="10">
        <v>1000</v>
      </c>
      <c r="D108" s="10">
        <v>26</v>
      </c>
      <c r="E108" s="10" t="s">
        <v>953</v>
      </c>
      <c r="F108" s="10">
        <v>1</v>
      </c>
      <c r="G108" s="10" t="s">
        <v>72</v>
      </c>
      <c r="H108" s="10" t="s">
        <v>239</v>
      </c>
      <c r="I108" s="10" t="s">
        <v>254</v>
      </c>
      <c r="J108" s="10">
        <v>31</v>
      </c>
      <c r="K108" s="12">
        <v>45687</v>
      </c>
      <c r="L108" s="33">
        <v>0.50749999999999995</v>
      </c>
      <c r="M108" s="10">
        <v>1</v>
      </c>
      <c r="N108" s="10" t="s">
        <v>167</v>
      </c>
      <c r="O108" s="10">
        <v>2.4400000000000002E-2</v>
      </c>
      <c r="P108" s="10">
        <v>1.07E-3</v>
      </c>
      <c r="Q108" s="10">
        <v>5.9</v>
      </c>
      <c r="R108" s="10" t="s">
        <v>76</v>
      </c>
      <c r="S108" s="34">
        <f t="shared" si="22"/>
        <v>5.9</v>
      </c>
      <c r="T108" s="10" t="s">
        <v>956</v>
      </c>
      <c r="U108" s="34" t="str">
        <f t="shared" si="28"/>
        <v/>
      </c>
      <c r="V108" s="31" t="str">
        <f>IF(H108="CHK",VLOOKUP(I108,QCCHK,3,),IF(H108="GUP",VLOOKUP(E108,QCGUP,2,),IF(AND(H108="ATP",OR(I108="TN",I108="TDN",I108="TNO2-3",I108="NO2-3")),VLOOKUP(E108,QCREC_N,2,),IF(AND(H108="NIC",OR(I108="TN",I108="TDN",I108="TNO2-3",I108="NO2-3")),VLOOKUP(E108,QCNIC_N,2,),IF(AND(H108="UREA",OR(I108="TN",I108="TDN",I108="TNO2-3",I108="NO2-3")),VLOOKUP(E108,QCUREA_N,2,),IF(H108="PER",VLOOKUP(I108,QCPER,MATCH(E108,QCACTUAL!$J$25:$AA$25,0),),IF(H108="SPK",VLOOKUP(I108,QCSPK,3,),IF(AND(H108="ATP",OR(I108="TP",I108="TDP")),VLOOKUP(E108,QCATP_P,2,),""))))))))</f>
        <v/>
      </c>
      <c r="W108" s="31" t="str">
        <f t="shared" si="23"/>
        <v>TRUE</v>
      </c>
      <c r="X108" s="31" t="str">
        <f t="shared" si="24"/>
        <v/>
      </c>
      <c r="Y108" s="10" t="s">
        <v>951</v>
      </c>
      <c r="Z108" s="10"/>
      <c r="AL108" s="10" t="str">
        <f t="shared" si="25"/>
        <v>FALSE</v>
      </c>
      <c r="AM108" s="10" t="str">
        <f t="shared" si="25"/>
        <v>FALSE</v>
      </c>
      <c r="AN108" s="10" t="str">
        <f t="shared" si="25"/>
        <v>FALSE</v>
      </c>
      <c r="AO108" s="10" t="str">
        <f t="shared" si="26"/>
        <v>FALSE</v>
      </c>
      <c r="AP108" s="10" t="str">
        <f t="shared" si="26"/>
        <v>FALSE</v>
      </c>
      <c r="AQ108" s="10" t="b">
        <f>IF(AND(I108="TP",S108&lt;=150),VLOOKUP(AF108,TPCalibEq150!$AZ$2:$BB$166,3,),IF(AND(I108="TDP",S108&lt;=150),VLOOKUP(AF108,TPCalibEq150!$AZ$2:$BB$166,3,)))</f>
        <v>0</v>
      </c>
      <c r="AR108" s="10" t="b">
        <f>IF(AND(I108="TP",S108&lt;=300),VLOOKUP(AF108,TPCalibEq300!$AZ$2:$BB$166,3,),IF(AND(I108="TDP",S108&lt;=300),VLOOKUP(AF108,TPCalibEq300!$AZ$2:$BB$166,3,)))</f>
        <v>0</v>
      </c>
      <c r="AS108" s="10" t="b">
        <f>IF(AND(I108="TP",S108&lt;=500),VLOOKUP(AF108,TPCalibEq500!$AZ$2:$BB$165,3,),IF(AND(I108="TDP",S108&lt;=500),VLOOKUP(AF108,TPCalibEq500!$AZ$2:$BB$165,3,)))</f>
        <v>0</v>
      </c>
      <c r="AT108" s="10" t="b">
        <f>IF(AND(I108="TN",S108&lt;=2800),VLOOKUP(AF108,TNCalibEq2500!$AZ$2:$BB$165,3,),IF(AND(I108="TDN",S108&lt;=2800),VLOOKUP(AF108,TNCalibEq2500!$AZ$2:$BB$165,3,)))</f>
        <v>0</v>
      </c>
      <c r="AU108" s="10" t="b">
        <f>IF(I108="TP",VLOOKUP(AF108,TPCalibEqFull!$AZ$2:$BB$165,3),IF(I108="TDP",VLOOKUP(AF108,TPCalibEqFull!$AZ$2:$BB$165,3),IF(I108="TDN",VLOOKUP(AF108,TNCalibEqFull!$AZ$2:$BB$164,3),IF(I108="TN",VLOOKUP(AF108,TNCalibEqFull!$AZ$2:$BB$164,3),FALSE))))</f>
        <v>0</v>
      </c>
      <c r="AV108" s="10" t="str">
        <f t="shared" si="27"/>
        <v>20240810 00:00:00-1000-26-Sh-1-DI-BLK</v>
      </c>
    </row>
    <row r="109" spans="1:48" x14ac:dyDescent="0.3">
      <c r="A109" s="32">
        <v>45514</v>
      </c>
      <c r="B109" s="33">
        <v>0</v>
      </c>
      <c r="C109" s="10">
        <v>1000</v>
      </c>
      <c r="D109" s="10">
        <v>26</v>
      </c>
      <c r="E109" s="10" t="s">
        <v>953</v>
      </c>
      <c r="F109" s="10">
        <v>1</v>
      </c>
      <c r="G109" s="10" t="s">
        <v>229</v>
      </c>
      <c r="H109" s="10" t="s">
        <v>320</v>
      </c>
      <c r="I109" s="10" t="s">
        <v>254</v>
      </c>
      <c r="J109" s="10">
        <v>32</v>
      </c>
      <c r="K109" s="12">
        <v>45687</v>
      </c>
      <c r="L109" s="33">
        <v>0.50831018518518511</v>
      </c>
      <c r="M109" s="10">
        <v>1</v>
      </c>
      <c r="N109" s="10" t="s">
        <v>167</v>
      </c>
      <c r="O109" s="10">
        <v>2.81E-2</v>
      </c>
      <c r="P109" s="10">
        <v>1.2199999999999999E-3</v>
      </c>
      <c r="Q109" s="10">
        <v>6.46</v>
      </c>
      <c r="R109" s="10" t="s">
        <v>76</v>
      </c>
      <c r="S109" s="34">
        <f t="shared" si="22"/>
        <v>6.46</v>
      </c>
      <c r="T109" s="10" t="s">
        <v>956</v>
      </c>
      <c r="U109" s="34" t="str">
        <f t="shared" si="28"/>
        <v/>
      </c>
      <c r="V109" s="31" t="str">
        <f>IF(H109="CHK",VLOOKUP(I109,QCCHK,3,),IF(H109="GUP",VLOOKUP(E109,QCGUP,2,),IF(AND(H109="ATP",OR(I109="TN",I109="TDN",I109="TNO2-3",I109="NO2-3")),VLOOKUP(E109,QCREC_N,2,),IF(AND(H109="NIC",OR(I109="TN",I109="TDN",I109="TNO2-3",I109="NO2-3")),VLOOKUP(E109,QCNIC_N,2,),IF(AND(H109="UREA",OR(I109="TN",I109="TDN",I109="TNO2-3",I109="NO2-3")),VLOOKUP(E109,QCUREA_N,2,),IF(H109="PER",VLOOKUP(I109,QCPER,MATCH(E109,QCACTUAL!$J$25:$AA$25,0),),IF(H109="SPK",VLOOKUP(I109,QCSPK,3,),IF(AND(H109="ATP",OR(I109="TP",I109="TDP")),VLOOKUP(E109,QCATP_P,2,),""))))))))</f>
        <v/>
      </c>
      <c r="W109" s="31" t="str">
        <f t="shared" si="23"/>
        <v>TRUE</v>
      </c>
      <c r="X109" s="31" t="str">
        <f t="shared" si="24"/>
        <v/>
      </c>
      <c r="Y109" s="10" t="s">
        <v>951</v>
      </c>
      <c r="Z109" s="10"/>
      <c r="AL109" s="10" t="str">
        <f t="shared" si="25"/>
        <v>FALSE</v>
      </c>
      <c r="AM109" s="10" t="str">
        <f t="shared" si="25"/>
        <v>FALSE</v>
      </c>
      <c r="AN109" s="10" t="str">
        <f t="shared" si="25"/>
        <v>FALSE</v>
      </c>
      <c r="AO109" s="10" t="str">
        <f t="shared" si="26"/>
        <v>FALSE</v>
      </c>
      <c r="AP109" s="10" t="str">
        <f t="shared" si="26"/>
        <v>FALSE</v>
      </c>
      <c r="AQ109" s="10" t="b">
        <f>IF(AND(I109="TP",S109&lt;=150),VLOOKUP(AF109,TPCalibEq150!$AZ$2:$BB$166,3,),IF(AND(I109="TDP",S109&lt;=150),VLOOKUP(AF109,TPCalibEq150!$AZ$2:$BB$166,3,)))</f>
        <v>0</v>
      </c>
      <c r="AR109" s="10" t="b">
        <f>IF(AND(I109="TP",S109&lt;=300),VLOOKUP(AF109,TPCalibEq300!$AZ$2:$BB$166,3,),IF(AND(I109="TDP",S109&lt;=300),VLOOKUP(AF109,TPCalibEq300!$AZ$2:$BB$166,3,)))</f>
        <v>0</v>
      </c>
      <c r="AS109" s="10" t="b">
        <f>IF(AND(I109="TP",S109&lt;=500),VLOOKUP(AF109,TPCalibEq500!$AZ$2:$BB$165,3,),IF(AND(I109="TDP",S109&lt;=500),VLOOKUP(AF109,TPCalibEq500!$AZ$2:$BB$165,3,)))</f>
        <v>0</v>
      </c>
      <c r="AT109" s="10" t="b">
        <f>IF(AND(I109="TN",S109&lt;=2800),VLOOKUP(AF109,TNCalibEq2500!$AZ$2:$BB$165,3,),IF(AND(I109="TDN",S109&lt;=2800),VLOOKUP(AF109,TNCalibEq2500!$AZ$2:$BB$165,3,)))</f>
        <v>0</v>
      </c>
      <c r="AU109" s="10" t="b">
        <f>IF(I109="TP",VLOOKUP(AF109,TPCalibEqFull!$AZ$2:$BB$165,3),IF(I109="TDP",VLOOKUP(AF109,TPCalibEqFull!$AZ$2:$BB$165,3),IF(I109="TDN",VLOOKUP(AF109,TNCalibEqFull!$AZ$2:$BB$164,3),IF(I109="TN",VLOOKUP(AF109,TNCalibEqFull!$AZ$2:$BB$164,3),FALSE))))</f>
        <v>0</v>
      </c>
      <c r="AV109" s="10" t="str">
        <f t="shared" si="27"/>
        <v>20240810 00:00:00-1000-26-Sh-1-SW-UKN</v>
      </c>
    </row>
    <row r="110" spans="1:48" x14ac:dyDescent="0.3">
      <c r="A110" s="32">
        <v>45514</v>
      </c>
      <c r="B110" s="33">
        <v>0</v>
      </c>
      <c r="C110" s="10">
        <v>1000</v>
      </c>
      <c r="D110" s="10">
        <v>26</v>
      </c>
      <c r="E110" s="10" t="s">
        <v>953</v>
      </c>
      <c r="F110" s="10">
        <v>2</v>
      </c>
      <c r="G110" s="10" t="s">
        <v>229</v>
      </c>
      <c r="H110" s="10" t="s">
        <v>320</v>
      </c>
      <c r="I110" s="10" t="s">
        <v>254</v>
      </c>
      <c r="J110" s="10">
        <v>33</v>
      </c>
      <c r="K110" s="12">
        <v>45687</v>
      </c>
      <c r="L110" s="33">
        <v>0.50915509259259262</v>
      </c>
      <c r="M110" s="10">
        <v>1</v>
      </c>
      <c r="N110" s="10" t="s">
        <v>167</v>
      </c>
      <c r="O110" s="10">
        <v>2.92E-2</v>
      </c>
      <c r="P110" s="10">
        <v>1.57E-3</v>
      </c>
      <c r="Q110" s="10">
        <v>6.61</v>
      </c>
      <c r="R110" s="10" t="s">
        <v>76</v>
      </c>
      <c r="S110" s="34">
        <f t="shared" si="22"/>
        <v>6.61</v>
      </c>
      <c r="T110" s="10" t="s">
        <v>956</v>
      </c>
      <c r="U110" s="34" t="str">
        <f t="shared" si="28"/>
        <v/>
      </c>
      <c r="V110" s="31" t="str">
        <f>IF(H110="CHK",VLOOKUP(I110,QCCHK,3,),IF(H110="GUP",VLOOKUP(E110,QCGUP,2,),IF(AND(H110="ATP",OR(I110="TN",I110="TDN",I110="TNO2-3",I110="NO2-3")),VLOOKUP(E110,QCREC_N,2,),IF(AND(H110="NIC",OR(I110="TN",I110="TDN",I110="TNO2-3",I110="NO2-3")),VLOOKUP(E110,QCNIC_N,2,),IF(AND(H110="UREA",OR(I110="TN",I110="TDN",I110="TNO2-3",I110="NO2-3")),VLOOKUP(E110,QCUREA_N,2,),IF(H110="PER",VLOOKUP(I110,QCPER,MATCH(E110,QCACTUAL!$J$25:$AA$25,0),),IF(H110="SPK",VLOOKUP(I110,QCSPK,3,),IF(AND(H110="ATP",OR(I110="TP",I110="TDP")),VLOOKUP(E110,QCATP_P,2,),""))))))))</f>
        <v/>
      </c>
      <c r="W110" s="31" t="str">
        <f t="shared" si="23"/>
        <v>TRUE</v>
      </c>
      <c r="X110" s="31" t="str">
        <f t="shared" si="24"/>
        <v/>
      </c>
      <c r="Y110" s="10" t="s">
        <v>951</v>
      </c>
      <c r="Z110" s="10"/>
      <c r="AL110" s="10" t="str">
        <f t="shared" si="25"/>
        <v>FALSE</v>
      </c>
      <c r="AM110" s="10" t="str">
        <f t="shared" si="25"/>
        <v>FALSE</v>
      </c>
      <c r="AN110" s="10" t="str">
        <f t="shared" si="25"/>
        <v>FALSE</v>
      </c>
      <c r="AO110" s="10" t="str">
        <f t="shared" si="26"/>
        <v>FALSE</v>
      </c>
      <c r="AP110" s="10" t="str">
        <f t="shared" si="26"/>
        <v>FALSE</v>
      </c>
      <c r="AQ110" s="10" t="b">
        <f>IF(AND(I110="TP",S110&lt;=150),VLOOKUP(AF110,TPCalibEq150!$AZ$2:$BB$166,3,),IF(AND(I110="TDP",S110&lt;=150),VLOOKUP(AF110,TPCalibEq150!$AZ$2:$BB$166,3,)))</f>
        <v>0</v>
      </c>
      <c r="AR110" s="10" t="b">
        <f>IF(AND(I110="TP",S110&lt;=300),VLOOKUP(AF110,TPCalibEq300!$AZ$2:$BB$166,3,),IF(AND(I110="TDP",S110&lt;=300),VLOOKUP(AF110,TPCalibEq300!$AZ$2:$BB$166,3,)))</f>
        <v>0</v>
      </c>
      <c r="AS110" s="10" t="b">
        <f>IF(AND(I110="TP",S110&lt;=500),VLOOKUP(AF110,TPCalibEq500!$AZ$2:$BB$165,3,),IF(AND(I110="TDP",S110&lt;=500),VLOOKUP(AF110,TPCalibEq500!$AZ$2:$BB$165,3,)))</f>
        <v>0</v>
      </c>
      <c r="AT110" s="10" t="b">
        <f>IF(AND(I110="TN",S110&lt;=2800),VLOOKUP(AF110,TNCalibEq2500!$AZ$2:$BB$165,3,),IF(AND(I110="TDN",S110&lt;=2800),VLOOKUP(AF110,TNCalibEq2500!$AZ$2:$BB$165,3,)))</f>
        <v>0</v>
      </c>
      <c r="AU110" s="10" t="b">
        <f>IF(I110="TP",VLOOKUP(AF110,TPCalibEqFull!$AZ$2:$BB$165,3),IF(I110="TDP",VLOOKUP(AF110,TPCalibEqFull!$AZ$2:$BB$165,3),IF(I110="TDN",VLOOKUP(AF110,TNCalibEqFull!$AZ$2:$BB$164,3),IF(I110="TN",VLOOKUP(AF110,TNCalibEqFull!$AZ$2:$BB$164,3),FALSE))))</f>
        <v>0</v>
      </c>
      <c r="AV110" s="10" t="str">
        <f t="shared" si="27"/>
        <v>20240810 00:00:00-1000-26-Sh-2-SW-UKN</v>
      </c>
    </row>
    <row r="111" spans="1:48" x14ac:dyDescent="0.3">
      <c r="A111" s="32">
        <v>45514</v>
      </c>
      <c r="B111" s="33">
        <v>0</v>
      </c>
      <c r="C111" s="10">
        <v>1000</v>
      </c>
      <c r="D111" s="10">
        <v>26</v>
      </c>
      <c r="E111" s="10" t="s">
        <v>954</v>
      </c>
      <c r="F111" s="10">
        <v>1</v>
      </c>
      <c r="G111" s="10" t="s">
        <v>229</v>
      </c>
      <c r="H111" s="10" t="s">
        <v>320</v>
      </c>
      <c r="I111" s="10" t="s">
        <v>254</v>
      </c>
      <c r="J111" s="10">
        <v>34</v>
      </c>
      <c r="K111" s="12">
        <v>45687</v>
      </c>
      <c r="L111" s="33">
        <v>0.50996527777777778</v>
      </c>
      <c r="M111" s="10">
        <v>1</v>
      </c>
      <c r="N111" s="10" t="s">
        <v>167</v>
      </c>
      <c r="O111" s="10">
        <v>2.7099999999999999E-2</v>
      </c>
      <c r="P111" s="10">
        <v>1.3600000000000001E-3</v>
      </c>
      <c r="Q111" s="10">
        <v>6.3</v>
      </c>
      <c r="R111" s="10" t="s">
        <v>76</v>
      </c>
      <c r="S111" s="34">
        <f t="shared" si="22"/>
        <v>6.3</v>
      </c>
      <c r="T111" s="10" t="s">
        <v>956</v>
      </c>
      <c r="U111" s="34" t="str">
        <f t="shared" si="28"/>
        <v/>
      </c>
      <c r="V111" s="31" t="str">
        <f>IF(H111="CHK",VLOOKUP(I111,QCCHK,3,),IF(H111="GUP",VLOOKUP(E111,QCGUP,2,),IF(AND(H111="ATP",OR(I111="TN",I111="TDN",I111="TNO2-3",I111="NO2-3")),VLOOKUP(E111,QCREC_N,2,),IF(AND(H111="NIC",OR(I111="TN",I111="TDN",I111="TNO2-3",I111="NO2-3")),VLOOKUP(E111,QCNIC_N,2,),IF(AND(H111="UREA",OR(I111="TN",I111="TDN",I111="TNO2-3",I111="NO2-3")),VLOOKUP(E111,QCUREA_N,2,),IF(H111="PER",VLOOKUP(I111,QCPER,MATCH(E111,QCACTUAL!$J$25:$AA$25,0),),IF(H111="SPK",VLOOKUP(I111,QCSPK,3,),IF(AND(H111="ATP",OR(I111="TP",I111="TDP")),VLOOKUP(E111,QCATP_P,2,),""))))))))</f>
        <v/>
      </c>
      <c r="W111" s="31" t="str">
        <f t="shared" si="23"/>
        <v>TRUE</v>
      </c>
      <c r="X111" s="31" t="str">
        <f t="shared" si="24"/>
        <v/>
      </c>
      <c r="Y111" s="10" t="s">
        <v>951</v>
      </c>
      <c r="Z111" s="10"/>
      <c r="AL111" s="10" t="str">
        <f t="shared" si="25"/>
        <v>FALSE</v>
      </c>
      <c r="AM111" s="10" t="str">
        <f t="shared" si="25"/>
        <v>FALSE</v>
      </c>
      <c r="AN111" s="10" t="str">
        <f t="shared" si="25"/>
        <v>FALSE</v>
      </c>
      <c r="AO111" s="10" t="str">
        <f t="shared" si="26"/>
        <v>FALSE</v>
      </c>
      <c r="AP111" s="10" t="str">
        <f t="shared" si="26"/>
        <v>FALSE</v>
      </c>
      <c r="AQ111" s="10" t="b">
        <f>IF(AND(I111="TP",S111&lt;=150),VLOOKUP(AF111,TPCalibEq150!$AZ$2:$BB$166,3,),IF(AND(I111="TDP",S111&lt;=150),VLOOKUP(AF111,TPCalibEq150!$AZ$2:$BB$166,3,)))</f>
        <v>0</v>
      </c>
      <c r="AR111" s="10" t="b">
        <f>IF(AND(I111="TP",S111&lt;=300),VLOOKUP(AF111,TPCalibEq300!$AZ$2:$BB$166,3,),IF(AND(I111="TDP",S111&lt;=300),VLOOKUP(AF111,TPCalibEq300!$AZ$2:$BB$166,3,)))</f>
        <v>0</v>
      </c>
      <c r="AS111" s="10" t="b">
        <f>IF(AND(I111="TP",S111&lt;=500),VLOOKUP(AF111,TPCalibEq500!$AZ$2:$BB$165,3,),IF(AND(I111="TDP",S111&lt;=500),VLOOKUP(AF111,TPCalibEq500!$AZ$2:$BB$165,3,)))</f>
        <v>0</v>
      </c>
      <c r="AT111" s="10" t="b">
        <f>IF(AND(I111="TN",S111&lt;=2800),VLOOKUP(AF111,TNCalibEq2500!$AZ$2:$BB$165,3,),IF(AND(I111="TDN",S111&lt;=2800),VLOOKUP(AF111,TNCalibEq2500!$AZ$2:$BB$165,3,)))</f>
        <v>0</v>
      </c>
      <c r="AU111" s="10" t="b">
        <f>IF(I111="TP",VLOOKUP(AF111,TPCalibEqFull!$AZ$2:$BB$165,3),IF(I111="TDP",VLOOKUP(AF111,TPCalibEqFull!$AZ$2:$BB$165,3),IF(I111="TDN",VLOOKUP(AF111,TNCalibEqFull!$AZ$2:$BB$164,3),IF(I111="TN",VLOOKUP(AF111,TNCalibEqFull!$AZ$2:$BB$164,3),FALSE))))</f>
        <v>0</v>
      </c>
      <c r="AV111" s="10" t="str">
        <f t="shared" si="27"/>
        <v>20240810 00:00:00-1000-26-Dp-1-SW-UKN</v>
      </c>
    </row>
    <row r="112" spans="1:48" x14ac:dyDescent="0.3">
      <c r="A112" s="32">
        <v>45514</v>
      </c>
      <c r="B112" s="33">
        <v>0</v>
      </c>
      <c r="C112" s="10">
        <v>1000</v>
      </c>
      <c r="D112" s="10">
        <v>26</v>
      </c>
      <c r="E112" s="10" t="s">
        <v>954</v>
      </c>
      <c r="F112" s="10">
        <v>1</v>
      </c>
      <c r="G112" s="10" t="s">
        <v>229</v>
      </c>
      <c r="H112" s="10" t="s">
        <v>231</v>
      </c>
      <c r="I112" s="10" t="s">
        <v>254</v>
      </c>
      <c r="J112" s="10">
        <v>34</v>
      </c>
      <c r="K112" s="12">
        <v>45687</v>
      </c>
      <c r="L112" s="33">
        <v>0.51078703703703698</v>
      </c>
      <c r="M112" s="10">
        <v>1</v>
      </c>
      <c r="N112" s="10" t="s">
        <v>167</v>
      </c>
      <c r="O112" s="10">
        <v>2.0199999999999999E-2</v>
      </c>
      <c r="P112" s="10">
        <v>1.64E-3</v>
      </c>
      <c r="Q112" s="10">
        <v>5.29</v>
      </c>
      <c r="R112" s="10" t="s">
        <v>76</v>
      </c>
      <c r="S112" s="34">
        <f t="shared" si="22"/>
        <v>5.29</v>
      </c>
      <c r="T112" s="10" t="s">
        <v>956</v>
      </c>
      <c r="U112" s="34">
        <f t="shared" si="28"/>
        <v>17.428817946505603</v>
      </c>
      <c r="V112" s="31" t="str">
        <f>IF(H112="CHK",VLOOKUP(I112,QCCHK,3,),IF(H112="GUP",VLOOKUP(E112,QCGUP,2,),IF(AND(H112="ATP",OR(I112="TN",I112="TDN",I112="TNO2-3",I112="NO2-3")),VLOOKUP(E112,QCREC_N,2,),IF(AND(H112="NIC",OR(I112="TN",I112="TDN",I112="TNO2-3",I112="NO2-3")),VLOOKUP(E112,QCNIC_N,2,),IF(AND(H112="UREA",OR(I112="TN",I112="TDN",I112="TNO2-3",I112="NO2-3")),VLOOKUP(E112,QCUREA_N,2,),IF(H112="PER",VLOOKUP(I112,QCPER,MATCH(E112,QCACTUAL!$J$25:$AA$25,0),),IF(H112="SPK",VLOOKUP(I112,QCSPK,3,),IF(AND(H112="ATP",OR(I112="TP",I112="TDP")),VLOOKUP(E112,QCATP_P,2,),""))))))))</f>
        <v/>
      </c>
      <c r="W112" s="31" t="str">
        <f t="shared" si="23"/>
        <v>TRUE</v>
      </c>
      <c r="X112" s="31" t="str">
        <f t="shared" si="24"/>
        <v>((ABS(rep1-rep2))/((rep1+rep2)/2)*100</v>
      </c>
      <c r="Y112" s="10" t="s">
        <v>951</v>
      </c>
      <c r="Z112" s="10"/>
      <c r="AL112" s="10" t="str">
        <f t="shared" si="25"/>
        <v>FALSE</v>
      </c>
      <c r="AM112" s="10" t="str">
        <f t="shared" si="25"/>
        <v>FALSE</v>
      </c>
      <c r="AN112" s="10" t="str">
        <f t="shared" si="25"/>
        <v>FALSE</v>
      </c>
      <c r="AO112" s="10" t="str">
        <f t="shared" si="26"/>
        <v>FALSE</v>
      </c>
      <c r="AP112" s="10" t="str">
        <f t="shared" si="26"/>
        <v>FALSE</v>
      </c>
      <c r="AQ112" s="10" t="b">
        <f>IF(AND(I112="TP",S112&lt;=150),VLOOKUP(AF112,TPCalibEq150!$AZ$2:$BB$166,3,),IF(AND(I112="TDP",S112&lt;=150),VLOOKUP(AF112,TPCalibEq150!$AZ$2:$BB$166,3,)))</f>
        <v>0</v>
      </c>
      <c r="AR112" s="10" t="b">
        <f>IF(AND(I112="TP",S112&lt;=300),VLOOKUP(AF112,TPCalibEq300!$AZ$2:$BB$166,3,),IF(AND(I112="TDP",S112&lt;=300),VLOOKUP(AF112,TPCalibEq300!$AZ$2:$BB$166,3,)))</f>
        <v>0</v>
      </c>
      <c r="AS112" s="10" t="b">
        <f>IF(AND(I112="TP",S112&lt;=500),VLOOKUP(AF112,TPCalibEq500!$AZ$2:$BB$165,3,),IF(AND(I112="TDP",S112&lt;=500),VLOOKUP(AF112,TPCalibEq500!$AZ$2:$BB$165,3,)))</f>
        <v>0</v>
      </c>
      <c r="AT112" s="10" t="b">
        <f>IF(AND(I112="TN",S112&lt;=2800),VLOOKUP(AF112,TNCalibEq2500!$AZ$2:$BB$165,3,),IF(AND(I112="TDN",S112&lt;=2800),VLOOKUP(AF112,TNCalibEq2500!$AZ$2:$BB$165,3,)))</f>
        <v>0</v>
      </c>
      <c r="AU112" s="10" t="b">
        <f>IF(I112="TP",VLOOKUP(AF112,TPCalibEqFull!$AZ$2:$BB$165,3),IF(I112="TDP",VLOOKUP(AF112,TPCalibEqFull!$AZ$2:$BB$165,3),IF(I112="TDN",VLOOKUP(AF112,TNCalibEqFull!$AZ$2:$BB$164,3),IF(I112="TN",VLOOKUP(AF112,TNCalibEqFull!$AZ$2:$BB$164,3),FALSE))))</f>
        <v>0</v>
      </c>
      <c r="AV112" s="10" t="str">
        <f t="shared" si="27"/>
        <v>20240810 00:00:00-1000-26-Dp-1-SW-DUP</v>
      </c>
    </row>
    <row r="113" spans="1:48" s="10" customFormat="1" x14ac:dyDescent="0.3">
      <c r="A113" s="32">
        <v>45500</v>
      </c>
      <c r="B113" s="33">
        <v>0</v>
      </c>
      <c r="C113" s="10">
        <v>1000</v>
      </c>
      <c r="D113" s="10">
        <v>1</v>
      </c>
      <c r="E113" s="10" t="s">
        <v>953</v>
      </c>
      <c r="F113" s="10">
        <v>1</v>
      </c>
      <c r="G113" s="10" t="s">
        <v>72</v>
      </c>
      <c r="H113" s="10" t="s">
        <v>239</v>
      </c>
      <c r="I113" s="10" t="s">
        <v>233</v>
      </c>
      <c r="J113" s="10">
        <v>1</v>
      </c>
      <c r="K113" s="12">
        <v>45686</v>
      </c>
      <c r="L113" s="33">
        <v>0.72932870370370362</v>
      </c>
      <c r="M113" s="10">
        <v>1</v>
      </c>
      <c r="N113" s="10" t="s">
        <v>194</v>
      </c>
      <c r="O113" s="10">
        <v>0.45800000000000002</v>
      </c>
      <c r="P113" s="10">
        <v>2.8299999999999999E-2</v>
      </c>
      <c r="Q113" s="10">
        <v>6.35</v>
      </c>
      <c r="R113" s="10" t="s">
        <v>168</v>
      </c>
      <c r="S113" s="34">
        <f t="shared" ref="S113:S149" si="29">IF(OR(AND(I113&lt;&gt;"TP", I113&lt;&gt;"TDP",I113&lt;&gt;"TN", I113&lt;&gt;"TDN"),H113="CAL"), Q113*M113, IF(OR(AND(I113="TN", Q113&gt;2500), AND(I113="TDN", Q113&gt;2500)),MAX(Q113, AK113)*M113, IF(OR(AND(I113="TN", Q113&lt;=2500), AND(I113="TDN", Q113&lt;=2500)),MAX(Q113, AJ113,AK113)*M113, IF(OR(AND(I113="TP",Q113&gt;500), AND(I113="TDP", Q113&gt;500)),MAX(Q113,AK113)*M113,IF(OR(AND(I113="TP",Q113&lt;=150), AND(I113="TDP", Q113&lt;=150)),MAX(Q113,AG113:AI113,AK113)*M113,IF(OR(AND(I113="TP",Q113&lt;=300), AND(I113="TDP", Q113&lt;=300)),MAX(Q113,AH113,AI113,AK113)*M113,IF(OR(AND(I113="TP",Q113&lt;=500), AND(I113="TDP", Q113&lt;=500)),MAX(Q113,AI113,AK113)*M113,"")))))))</f>
        <v>6.9920291851999963</v>
      </c>
      <c r="T113" s="10" t="s">
        <v>958</v>
      </c>
      <c r="U113" s="34" t="str">
        <f>IF(OR(H113="CHK",H113="ATP",H113="GUP",H113="PER", H113="NIC", H113="UREA"),(S113/V113*100),IF(H113="DUP",((ABS(S113-#REF!))/((#REF!+S113)/2))*100,IF(H113="SPK",((S113-#REF!)/V113*100),IF(OR(H113="LAB",H113="FLD",H113="ESF"),S113,""))))</f>
        <v/>
      </c>
      <c r="V113" s="31" t="str">
        <f>IF(H113="CHK",VLOOKUP(I113,QCCHK,3,),IF(H113="GUP",VLOOKUP(E113,QCGUP,2,),IF(AND(H113="ATP",OR(I113="TN",I113="TDN",I113="TNO2-3",I113="NO2-3")),VLOOKUP(E113,QCREC_N,2,),IF(AND(H113="NIC",OR(I113="TN",I113="TDN",I113="TNO2-3",I113="NO2-3")),VLOOKUP(E113,QCNIC_N,2,),IF(AND(H113="UREA",OR(I113="TN",I113="TDN",I113="TNO2-3",I113="NO2-3")),VLOOKUP(E113,QCUREA_N,2,),IF(H113="PER",VLOOKUP(I113,QCPER,MATCH(E113,QCACTUAL!$J$25:$AA$25,0),),IF(H113="SPK",VLOOKUP(I113,QCSPK,3,),IF(AND(H113="ATP",OR(I113="TP",I113="TDP")),VLOOKUP(E113,QCATP_P,2,),""))))))))</f>
        <v/>
      </c>
      <c r="W113" s="31" t="str">
        <f t="shared" ref="W113:W149" si="30">IF(AND(OR(H113="PER",H113="ATP",H113="GUP",H113="CHK",H113="SPK", H113="NIC"),OR(U113&gt;125,U113&lt;75)),"FALSE",IF(AND(H113="DUP",OR(U113&gt;25, U113&lt;-25)),"FALSE",IF(AND(OR(H113="LAB",H113="FLD",H113="ESF"),U113&gt;15),"FALSE","TRUE")))</f>
        <v>TRUE</v>
      </c>
      <c r="X113" s="31" t="str">
        <f t="shared" ref="X113:X149" si="31">IF(ISNA(VLOOKUP(H113,QCEQUATIONS,2,)),"",(VLOOKUP(H113,QCEQUATIONS,2,)))</f>
        <v/>
      </c>
      <c r="Y113" s="10" t="s">
        <v>957</v>
      </c>
      <c r="AF113" s="12">
        <v>45686</v>
      </c>
      <c r="AJ113" s="10">
        <f>-0.1957*0.458^2+248.26*0.458-106.67</f>
        <v>6.9920291851999963</v>
      </c>
      <c r="AK113" s="10">
        <f>-0.184*0.458^2+251.8*0.458-113.39</f>
        <v>1.8958034240000075</v>
      </c>
      <c r="AL113" s="10" t="str">
        <f t="shared" ref="AL113:AN147" si="32">IF($O113="", "", IF(AQ113&lt;&gt;"", SUBSTITUTE(SUBSTITUTE(AQ113, "x", "*"&amp;$O113&amp;"^", 1), "x", "*"&amp;$O113, 1), ""))</f>
        <v>FALSE</v>
      </c>
      <c r="AM113" s="10" t="str">
        <f t="shared" si="32"/>
        <v>FALSE</v>
      </c>
      <c r="AN113" s="10" t="str">
        <f t="shared" si="32"/>
        <v>FALSE</v>
      </c>
      <c r="AO113" s="10" t="str">
        <f t="shared" ref="AO113:AP147" si="33">IF($O113="", "FALSE", IF(AT113&lt;&gt;"FALSE", SUBSTITUTE(SUBSTITUTE(AT113, "x", "*"&amp;$O113&amp;"^", 1), "x", "*"&amp;$O113, 1), ""))</f>
        <v>y=-0.1957*0.458^2+248.26*0.458-106.67</v>
      </c>
      <c r="AP113" s="10" t="str">
        <f t="shared" si="33"/>
        <v>y=-0.184*0.458^2+251.8*0.458-113.39</v>
      </c>
      <c r="AQ113" s="10" t="b">
        <f>IF(AND(I113="TP",S113&lt;=150),VLOOKUP(AF113,TPCalibEq150!$AZ$2:$BB$166,3,),IF(AND(I113="TDP",S113&lt;=150),VLOOKUP(AF113,TPCalibEq150!$AZ$2:$BB$166,3,)))</f>
        <v>0</v>
      </c>
      <c r="AR113" s="10" t="b">
        <f>IF(AND(I113="TP",S113&lt;=300),VLOOKUP(AF113,TPCalibEq300!$AZ$2:$BB$166,3,),IF(AND(I113="TDP",S113&lt;=300),VLOOKUP(AF113,TPCalibEq300!$AZ$2:$BB$166,3,)))</f>
        <v>0</v>
      </c>
      <c r="AS113" s="10" t="b">
        <f>IF(AND(I113="TP",S113&lt;=500),VLOOKUP(AF113,TPCalibEq500!$AZ$2:$BB$165,3,),IF(AND(I113="TDP",S113&lt;=500),VLOOKUP(AF113,TPCalibEq500!$AZ$2:$BB$165,3,)))</f>
        <v>0</v>
      </c>
      <c r="AT113" s="10" t="str">
        <f>IF(AND(I113="TN",S113&lt;=2800),VLOOKUP(AF113,TNCalibEq2500!$AZ$2:$BB$165,3,),IF(AND(I113="TDN",S113&lt;=2800),VLOOKUP(AF113,TNCalibEq2500!$AZ$2:$BB$165,3,)))</f>
        <v>y=-0.1957x2+248.26x-106.67</v>
      </c>
      <c r="AU113" s="10" t="str">
        <f>IF(I113="TP",VLOOKUP(AF113,TPCalibEqFull!$AZ$2:$BB$165,3),IF(I113="TDP",VLOOKUP(AF113,TPCalibEqFull!$AZ$2:$BB$165,3),IF(I113="TDN",VLOOKUP(AF113,TNCalibEqFull!$AZ$2:$BB$164,3),IF(I113="TN",VLOOKUP(AF113,TNCalibEqFull!$AZ$2:$BB$164,3),FALSE))))</f>
        <v>y=-0.184x2+251.8x-113.39</v>
      </c>
      <c r="AV113" s="10" t="str">
        <f t="shared" ref="AV113:AV114" si="34">TEXT(A113, "YYYYMMDD")&amp;" "&amp;TEXT(B113, "HH:MM:SS")&amp;"-"&amp;C113&amp;"-"&amp;D113&amp;"-"&amp;E113&amp;"-"&amp;F113&amp;"-"&amp;G113&amp;"-"&amp;H113</f>
        <v>20240727 00:00:00-1000-1-Sh-1-DI-BLK</v>
      </c>
    </row>
    <row r="114" spans="1:48" s="10" customFormat="1" x14ac:dyDescent="0.3">
      <c r="A114" s="32">
        <v>45500</v>
      </c>
      <c r="B114" s="33">
        <v>0</v>
      </c>
      <c r="C114" s="10">
        <v>1000</v>
      </c>
      <c r="D114" s="10">
        <v>1</v>
      </c>
      <c r="E114" s="10" t="s">
        <v>953</v>
      </c>
      <c r="F114" s="10">
        <v>1</v>
      </c>
      <c r="G114" s="10" t="s">
        <v>229</v>
      </c>
      <c r="H114" s="10" t="s">
        <v>320</v>
      </c>
      <c r="I114" s="10" t="s">
        <v>233</v>
      </c>
      <c r="J114" s="10">
        <v>2</v>
      </c>
      <c r="K114" s="12">
        <v>45686</v>
      </c>
      <c r="L114" s="33">
        <v>0.73001157407407413</v>
      </c>
      <c r="M114" s="10">
        <v>1</v>
      </c>
      <c r="N114" s="10" t="s">
        <v>194</v>
      </c>
      <c r="O114" s="10">
        <v>1.17</v>
      </c>
      <c r="P114" s="10">
        <v>7.1300000000000002E-2</v>
      </c>
      <c r="Q114" s="10">
        <v>183</v>
      </c>
      <c r="R114" s="10" t="s">
        <v>168</v>
      </c>
      <c r="S114" s="34">
        <f t="shared" si="29"/>
        <v>183.52630626999991</v>
      </c>
      <c r="T114" s="10" t="s">
        <v>958</v>
      </c>
      <c r="U114" s="34" t="str">
        <f t="shared" ref="U114:U149" si="35">IF(OR(H114="CHK",H114="ATP",H114="GUP",H114="PER", H114="NIC", H114="UREA"),(S114/V114*100),IF(H114="DUP",((ABS(S114-S113))/((S113+S114)/2))*100,IF(H114="SPK",((S114-S113)/V114*100),IF(OR(H114="LAB",H114="FLD",H114="ESF"),S114,""))))</f>
        <v/>
      </c>
      <c r="V114" s="31" t="str">
        <f>IF(H114="CHK",VLOOKUP(I114,QCCHK,3,),IF(H114="GUP",VLOOKUP(E114,QCGUP,2,),IF(AND(H114="ATP",OR(I114="TN",I114="TDN",I114="TNO2-3",I114="NO2-3")),VLOOKUP(E114,QCREC_N,2,),IF(AND(H114="NIC",OR(I114="TN",I114="TDN",I114="TNO2-3",I114="NO2-3")),VLOOKUP(E114,QCNIC_N,2,),IF(AND(H114="UREA",OR(I114="TN",I114="TDN",I114="TNO2-3",I114="NO2-3")),VLOOKUP(E114,QCUREA_N,2,),IF(H114="PER",VLOOKUP(I114,QCPER,MATCH(E114,QCACTUAL!$J$25:$AA$25,0),),IF(H114="SPK",VLOOKUP(I114,QCSPK,3,),IF(AND(H114="ATP",OR(I114="TP",I114="TDP")),VLOOKUP(E114,QCATP_P,2,),""))))))))</f>
        <v/>
      </c>
      <c r="W114" s="31" t="str">
        <f t="shared" si="30"/>
        <v>TRUE</v>
      </c>
      <c r="X114" s="31" t="str">
        <f t="shared" si="31"/>
        <v/>
      </c>
      <c r="Y114" s="10" t="s">
        <v>957</v>
      </c>
      <c r="AF114" s="12">
        <v>45686</v>
      </c>
      <c r="AJ114" s="10">
        <f>-0.1957*1.17^2+248.26*1.17-106.67</f>
        <v>183.52630626999991</v>
      </c>
      <c r="AK114" s="10">
        <f>-0.184*1.17^2+251.8*1.17-113.39</f>
        <v>180.96412240000001</v>
      </c>
      <c r="AL114" s="10" t="str">
        <f t="shared" si="32"/>
        <v>FALSE</v>
      </c>
      <c r="AM114" s="10" t="str">
        <f t="shared" si="32"/>
        <v>FALSE</v>
      </c>
      <c r="AN114" s="10" t="str">
        <f t="shared" si="32"/>
        <v>FALSE</v>
      </c>
      <c r="AO114" s="10" t="str">
        <f t="shared" si="33"/>
        <v>y=-0.1957*1.17^2+248.26*1.17-106.67</v>
      </c>
      <c r="AP114" s="10" t="str">
        <f t="shared" si="33"/>
        <v>y=-0.184*1.17^2+251.8*1.17-113.39</v>
      </c>
      <c r="AQ114" s="10" t="b">
        <f>IF(AND(I114="TP",S114&lt;=150),VLOOKUP(AF114,TPCalibEq150!$AZ$2:$BB$166,3,),IF(AND(I114="TDP",S114&lt;=150),VLOOKUP(AF114,TPCalibEq150!$AZ$2:$BB$166,3,)))</f>
        <v>0</v>
      </c>
      <c r="AR114" s="10" t="b">
        <f>IF(AND(I114="TP",S114&lt;=300),VLOOKUP(AF114,TPCalibEq300!$AZ$2:$BB$166,3,),IF(AND(I114="TDP",S114&lt;=300),VLOOKUP(AF114,TPCalibEq300!$AZ$2:$BB$166,3,)))</f>
        <v>0</v>
      </c>
      <c r="AS114" s="10" t="b">
        <f>IF(AND(I114="TP",S114&lt;=500),VLOOKUP(AF114,TPCalibEq500!$AZ$2:$BB$165,3,),IF(AND(I114="TDP",S114&lt;=500),VLOOKUP(AF114,TPCalibEq500!$AZ$2:$BB$165,3,)))</f>
        <v>0</v>
      </c>
      <c r="AT114" s="10" t="str">
        <f>IF(AND(I114="TN",S114&lt;=2800),VLOOKUP(AF114,TNCalibEq2500!$AZ$2:$BB$165,3,),IF(AND(I114="TDN",S114&lt;=2800),VLOOKUP(AF114,TNCalibEq2500!$AZ$2:$BB$165,3,)))</f>
        <v>y=-0.1957x2+248.26x-106.67</v>
      </c>
      <c r="AU114" s="10" t="str">
        <f>IF(I114="TP",VLOOKUP(AF114,TPCalibEqFull!$AZ$2:$BB$165,3),IF(I114="TDP",VLOOKUP(AF114,TPCalibEqFull!$AZ$2:$BB$165,3),IF(I114="TDN",VLOOKUP(AF114,TNCalibEqFull!$AZ$2:$BB$164,3),IF(I114="TN",VLOOKUP(AF114,TNCalibEqFull!$AZ$2:$BB$164,3),FALSE))))</f>
        <v>y=-0.184x2+251.8x-113.39</v>
      </c>
      <c r="AV114" s="10" t="str">
        <f t="shared" si="34"/>
        <v>20240727 00:00:00-1000-1-Sh-1-SW-UKN</v>
      </c>
    </row>
    <row r="115" spans="1:48" s="10" customFormat="1" x14ac:dyDescent="0.3">
      <c r="A115" s="32">
        <v>45500</v>
      </c>
      <c r="B115" s="33">
        <v>0</v>
      </c>
      <c r="C115" s="10">
        <v>1000</v>
      </c>
      <c r="D115" s="10">
        <v>1</v>
      </c>
      <c r="E115" s="10" t="s">
        <v>953</v>
      </c>
      <c r="F115" s="10">
        <v>2</v>
      </c>
      <c r="G115" s="10" t="s">
        <v>229</v>
      </c>
      <c r="H115" s="10" t="s">
        <v>320</v>
      </c>
      <c r="I115" s="10" t="s">
        <v>233</v>
      </c>
      <c r="J115" s="10">
        <v>3</v>
      </c>
      <c r="K115" s="12">
        <v>45686</v>
      </c>
      <c r="L115" s="33">
        <v>0.73069444444444442</v>
      </c>
      <c r="M115" s="10">
        <v>1</v>
      </c>
      <c r="N115" s="10" t="s">
        <v>194</v>
      </c>
      <c r="O115" s="10">
        <v>1.4</v>
      </c>
      <c r="P115" s="10">
        <v>8.8499999999999995E-2</v>
      </c>
      <c r="Q115" s="10">
        <v>241</v>
      </c>
      <c r="R115" s="10" t="s">
        <v>168</v>
      </c>
      <c r="S115" s="34">
        <f t="shared" si="29"/>
        <v>241</v>
      </c>
      <c r="T115" s="10" t="s">
        <v>958</v>
      </c>
      <c r="U115" s="34" t="str">
        <f t="shared" si="35"/>
        <v/>
      </c>
      <c r="V115" s="31" t="str">
        <f>IF(H115="CHK",VLOOKUP(I115,QCCHK,3,),IF(H115="GUP",VLOOKUP(E115,QCGUP,2,),IF(AND(H115="ATP",OR(I115="TN",I115="TDN",I115="TNO2-3",I115="NO2-3")),VLOOKUP(E115,QCREC_N,2,),IF(AND(H115="NIC",OR(I115="TN",I115="TDN",I115="TNO2-3",I115="NO2-3")),VLOOKUP(E115,QCNIC_N,2,),IF(AND(H115="UREA",OR(I115="TN",I115="TDN",I115="TNO2-3",I115="NO2-3")),VLOOKUP(E115,QCUREA_N,2,),IF(H115="PER",VLOOKUP(I115,QCPER,MATCH(E115,QCACTUAL!$J$25:$AA$25,0),),IF(H115="SPK",VLOOKUP(I115,QCSPK,3,),IF(AND(H115="ATP",OR(I115="TP",I115="TDP")),VLOOKUP(E115,QCATP_P,2,),""))))))))</f>
        <v/>
      </c>
      <c r="W115" s="31" t="str">
        <f t="shared" si="30"/>
        <v>TRUE</v>
      </c>
      <c r="X115" s="31" t="str">
        <f t="shared" si="31"/>
        <v/>
      </c>
      <c r="Y115" s="10" t="s">
        <v>957</v>
      </c>
      <c r="AF115" s="12">
        <v>45686</v>
      </c>
      <c r="AJ115" s="10">
        <f>-0.1957*1.4^2+248.26*1.4-106.67</f>
        <v>240.51042799999993</v>
      </c>
      <c r="AK115" s="10">
        <f>-0.184*1.4^2+251.8*1.4-113.39</f>
        <v>238.76936000000001</v>
      </c>
      <c r="AL115" s="10" t="str">
        <f t="shared" si="32"/>
        <v>FALSE</v>
      </c>
      <c r="AM115" s="10" t="str">
        <f t="shared" si="32"/>
        <v>FALSE</v>
      </c>
      <c r="AN115" s="10" t="str">
        <f t="shared" si="32"/>
        <v>FALSE</v>
      </c>
      <c r="AO115" s="10" t="str">
        <f t="shared" si="33"/>
        <v>y=-0.1957*1.4^2+248.26*1.4-106.67</v>
      </c>
      <c r="AP115" s="10" t="str">
        <f t="shared" si="33"/>
        <v>y=-0.184*1.4^2+251.8*1.4-113.39</v>
      </c>
      <c r="AQ115" s="10" t="b">
        <f>IF(AND(I115="TP",S115&lt;=150),VLOOKUP(AF115,TPCalibEq150!$AZ$2:$BB$166,3,),IF(AND(I115="TDP",S115&lt;=150),VLOOKUP(AF115,TPCalibEq150!$AZ$2:$BB$166,3,)))</f>
        <v>0</v>
      </c>
      <c r="AR115" s="10" t="b">
        <f>IF(AND(I115="TP",S115&lt;=300),VLOOKUP(AF115,TPCalibEq300!$AZ$2:$BB$166,3,),IF(AND(I115="TDP",S115&lt;=300),VLOOKUP(AF115,TPCalibEq300!$AZ$2:$BB$166,3,)))</f>
        <v>0</v>
      </c>
      <c r="AS115" s="10" t="b">
        <f>IF(AND(I115="TP",S115&lt;=500),VLOOKUP(AF115,TPCalibEq500!$AZ$2:$BB$165,3,),IF(AND(I115="TDP",S115&lt;=500),VLOOKUP(AF115,TPCalibEq500!$AZ$2:$BB$165,3,)))</f>
        <v>0</v>
      </c>
      <c r="AT115" s="10" t="str">
        <f>IF(AND(I115="TN",S115&lt;=2800),VLOOKUP(AF115,TNCalibEq2500!$AZ$2:$BB$165,3,),IF(AND(I115="TDN",S115&lt;=2800),VLOOKUP(AF115,TNCalibEq2500!$AZ$2:$BB$165,3,)))</f>
        <v>y=-0.1957x2+248.26x-106.67</v>
      </c>
      <c r="AU115" s="10" t="str">
        <f>IF(I115="TP",VLOOKUP(AF115,TPCalibEqFull!$AZ$2:$BB$165,3),IF(I115="TDP",VLOOKUP(AF115,TPCalibEqFull!$AZ$2:$BB$165,3),IF(I115="TDN",VLOOKUP(AF115,TNCalibEqFull!$AZ$2:$BB$164,3),IF(I115="TN",VLOOKUP(AF115,TNCalibEqFull!$AZ$2:$BB$164,3),FALSE))))</f>
        <v>y=-0.184x2+251.8x-113.39</v>
      </c>
      <c r="AV115" s="10" t="str">
        <f t="shared" ref="AV115:AV149" si="36">TEXT(A115, "YYYYMMDD")&amp;" "&amp;TEXT(B115, "HH:MM:SS")&amp;"-"&amp;C115&amp;"-"&amp;D115&amp;"-"&amp;E115&amp;"-"&amp;F115&amp;"-"&amp;G115&amp;"-"&amp;H115</f>
        <v>20240727 00:00:00-1000-1-Sh-2-SW-UKN</v>
      </c>
    </row>
    <row r="116" spans="1:48" s="10" customFormat="1" x14ac:dyDescent="0.3">
      <c r="A116" s="32">
        <v>45507</v>
      </c>
      <c r="B116" s="33">
        <v>0</v>
      </c>
      <c r="C116" s="10">
        <v>1000</v>
      </c>
      <c r="D116" s="10">
        <v>1</v>
      </c>
      <c r="E116" s="10" t="s">
        <v>954</v>
      </c>
      <c r="F116" s="10">
        <v>1</v>
      </c>
      <c r="G116" s="10" t="s">
        <v>229</v>
      </c>
      <c r="H116" s="10" t="s">
        <v>320</v>
      </c>
      <c r="I116" s="10" t="s">
        <v>233</v>
      </c>
      <c r="J116" s="10">
        <v>4</v>
      </c>
      <c r="K116" s="12">
        <v>45686</v>
      </c>
      <c r="L116" s="33">
        <v>0.73136574074074068</v>
      </c>
      <c r="M116" s="10">
        <v>1</v>
      </c>
      <c r="N116" s="10" t="s">
        <v>194</v>
      </c>
      <c r="O116" s="10">
        <v>6.32</v>
      </c>
      <c r="P116" s="10">
        <v>0.4</v>
      </c>
      <c r="Q116" s="10">
        <v>1460</v>
      </c>
      <c r="R116" s="10" t="s">
        <v>168</v>
      </c>
      <c r="S116" s="34">
        <f t="shared" si="29"/>
        <v>1470.6365984000001</v>
      </c>
      <c r="T116" s="10" t="s">
        <v>958</v>
      </c>
      <c r="U116" s="34" t="str">
        <f t="shared" si="35"/>
        <v/>
      </c>
      <c r="V116" s="31" t="str">
        <f>IF(H116="CHK",VLOOKUP(I116,QCCHK,3,),IF(H116="GUP",VLOOKUP(E116,QCGUP,2,),IF(AND(H116="ATP",OR(I116="TN",I116="TDN",I116="TNO2-3",I116="NO2-3")),VLOOKUP(E116,QCREC_N,2,),IF(AND(H116="NIC",OR(I116="TN",I116="TDN",I116="TNO2-3",I116="NO2-3")),VLOOKUP(E116,QCNIC_N,2,),IF(AND(H116="UREA",OR(I116="TN",I116="TDN",I116="TNO2-3",I116="NO2-3")),VLOOKUP(E116,QCUREA_N,2,),IF(H116="PER",VLOOKUP(I116,QCPER,MATCH(E116,QCACTUAL!$J$25:$AA$25,0),),IF(H116="SPK",VLOOKUP(I116,QCSPK,3,),IF(AND(H116="ATP",OR(I116="TP",I116="TDP")),VLOOKUP(E116,QCATP_P,2,),""))))))))</f>
        <v/>
      </c>
      <c r="W116" s="31" t="str">
        <f t="shared" si="30"/>
        <v>TRUE</v>
      </c>
      <c r="X116" s="31" t="str">
        <f t="shared" si="31"/>
        <v/>
      </c>
      <c r="Y116" s="10" t="s">
        <v>957</v>
      </c>
      <c r="AF116" s="12">
        <v>45686</v>
      </c>
      <c r="AJ116" s="10">
        <f>-0.1957*6.32^2+248.26*6.32-106.67</f>
        <v>1454.51647232</v>
      </c>
      <c r="AK116" s="10">
        <f>-0.184*6.32^2+251.8*6.32-113.39</f>
        <v>1470.6365984000001</v>
      </c>
      <c r="AL116" s="10" t="str">
        <f t="shared" si="32"/>
        <v>FALSE</v>
      </c>
      <c r="AM116" s="10" t="str">
        <f t="shared" si="32"/>
        <v>FALSE</v>
      </c>
      <c r="AN116" s="10" t="str">
        <f t="shared" si="32"/>
        <v>FALSE</v>
      </c>
      <c r="AO116" s="10" t="str">
        <f t="shared" si="33"/>
        <v>y=-0.1957*6.32^2+248.26*6.32-106.67</v>
      </c>
      <c r="AP116" s="10" t="str">
        <f t="shared" si="33"/>
        <v>y=-0.184*6.32^2+251.8*6.32-113.39</v>
      </c>
      <c r="AQ116" s="10" t="b">
        <f>IF(AND(I116="TP",S116&lt;=150),VLOOKUP(AF116,TPCalibEq150!$AZ$2:$BB$166,3,),IF(AND(I116="TDP",S116&lt;=150),VLOOKUP(AF116,TPCalibEq150!$AZ$2:$BB$166,3,)))</f>
        <v>0</v>
      </c>
      <c r="AR116" s="10" t="b">
        <f>IF(AND(I116="TP",S116&lt;=300),VLOOKUP(AF116,TPCalibEq300!$AZ$2:$BB$166,3,),IF(AND(I116="TDP",S116&lt;=300),VLOOKUP(AF116,TPCalibEq300!$AZ$2:$BB$166,3,)))</f>
        <v>0</v>
      </c>
      <c r="AS116" s="10" t="b">
        <f>IF(AND(I116="TP",S116&lt;=500),VLOOKUP(AF116,TPCalibEq500!$AZ$2:$BB$165,3,),IF(AND(I116="TDP",S116&lt;=500),VLOOKUP(AF116,TPCalibEq500!$AZ$2:$BB$165,3,)))</f>
        <v>0</v>
      </c>
      <c r="AT116" s="10" t="str">
        <f>IF(AND(I116="TN",S116&lt;=2800),VLOOKUP(AF116,TNCalibEq2500!$AZ$2:$BB$165,3,),IF(AND(I116="TDN",S116&lt;=2800),VLOOKUP(AF116,TNCalibEq2500!$AZ$2:$BB$165,3,)))</f>
        <v>y=-0.1957x2+248.26x-106.67</v>
      </c>
      <c r="AU116" s="10" t="str">
        <f>IF(I116="TP",VLOOKUP(AF116,TPCalibEqFull!$AZ$2:$BB$165,3),IF(I116="TDP",VLOOKUP(AF116,TPCalibEqFull!$AZ$2:$BB$165,3),IF(I116="TDN",VLOOKUP(AF116,TNCalibEqFull!$AZ$2:$BB$164,3),IF(I116="TN",VLOOKUP(AF116,TNCalibEqFull!$AZ$2:$BB$164,3),FALSE))))</f>
        <v>y=-0.184x2+251.8x-113.39</v>
      </c>
      <c r="AV116" s="10" t="str">
        <f t="shared" si="36"/>
        <v>20240803 00:00:00-1000-1-Dp-1-SW-UKN</v>
      </c>
    </row>
    <row r="117" spans="1:48" s="10" customFormat="1" x14ac:dyDescent="0.3">
      <c r="A117" s="32">
        <v>45507</v>
      </c>
      <c r="B117" s="33">
        <v>0</v>
      </c>
      <c r="C117" s="10">
        <v>1000</v>
      </c>
      <c r="D117" s="10">
        <v>2</v>
      </c>
      <c r="E117" s="10" t="s">
        <v>953</v>
      </c>
      <c r="F117" s="10">
        <v>1</v>
      </c>
      <c r="G117" s="10" t="s">
        <v>72</v>
      </c>
      <c r="H117" s="10" t="s">
        <v>239</v>
      </c>
      <c r="I117" s="10" t="s">
        <v>233</v>
      </c>
      <c r="J117" s="10">
        <v>5</v>
      </c>
      <c r="K117" s="12">
        <v>45686</v>
      </c>
      <c r="L117" s="33">
        <v>0.73202546296296289</v>
      </c>
      <c r="M117" s="10">
        <v>1</v>
      </c>
      <c r="N117" s="10" t="s">
        <v>194</v>
      </c>
      <c r="O117" s="10">
        <v>0.29099999999999998</v>
      </c>
      <c r="P117" s="10">
        <v>1.8499999999999999E-2</v>
      </c>
      <c r="Q117" s="10">
        <v>-35</v>
      </c>
      <c r="R117" s="10" t="s">
        <v>168</v>
      </c>
      <c r="S117" s="34">
        <f t="shared" si="29"/>
        <v>-34.442912071700007</v>
      </c>
      <c r="T117" s="10" t="s">
        <v>958</v>
      </c>
      <c r="U117" s="34" t="str">
        <f t="shared" si="35"/>
        <v/>
      </c>
      <c r="V117" s="31" t="str">
        <f>IF(H117="CHK",VLOOKUP(I117,QCCHK,3,),IF(H117="GUP",VLOOKUP(E117,QCGUP,2,),IF(AND(H117="ATP",OR(I117="TN",I117="TDN",I117="TNO2-3",I117="NO2-3")),VLOOKUP(E117,QCREC_N,2,),IF(AND(H117="NIC",OR(I117="TN",I117="TDN",I117="TNO2-3",I117="NO2-3")),VLOOKUP(E117,QCNIC_N,2,),IF(AND(H117="UREA",OR(I117="TN",I117="TDN",I117="TNO2-3",I117="NO2-3")),VLOOKUP(E117,QCUREA_N,2,),IF(H117="PER",VLOOKUP(I117,QCPER,MATCH(E117,QCACTUAL!$J$25:$AA$25,0),),IF(H117="SPK",VLOOKUP(I117,QCSPK,3,),IF(AND(H117="ATP",OR(I117="TP",I117="TDP")),VLOOKUP(E117,QCATP_P,2,),""))))))))</f>
        <v/>
      </c>
      <c r="W117" s="31" t="str">
        <f t="shared" si="30"/>
        <v>TRUE</v>
      </c>
      <c r="X117" s="31" t="str">
        <f t="shared" si="31"/>
        <v/>
      </c>
      <c r="Y117" s="10" t="s">
        <v>957</v>
      </c>
      <c r="AF117" s="12">
        <v>45686</v>
      </c>
      <c r="AJ117" s="10">
        <f>-0.1957*0.291^2+248.26*0.291-106.67</f>
        <v>-34.442912071700007</v>
      </c>
      <c r="AK117" s="10">
        <f>-0.184*0.291^2+251.8*0.291-113.39</f>
        <v>-40.131781304</v>
      </c>
      <c r="AL117" s="10" t="str">
        <f t="shared" si="32"/>
        <v>FALSE</v>
      </c>
      <c r="AM117" s="10" t="str">
        <f t="shared" si="32"/>
        <v>FALSE</v>
      </c>
      <c r="AN117" s="10" t="str">
        <f t="shared" si="32"/>
        <v>FALSE</v>
      </c>
      <c r="AO117" s="10" t="str">
        <f t="shared" si="33"/>
        <v>y=-0.1957*0.291^2+248.26*0.291-106.67</v>
      </c>
      <c r="AP117" s="10" t="str">
        <f t="shared" si="33"/>
        <v>y=-0.184*0.291^2+251.8*0.291-113.39</v>
      </c>
      <c r="AQ117" s="10" t="b">
        <f>IF(AND(I117="TP",S117&lt;=150),VLOOKUP(AF117,TPCalibEq150!$AZ$2:$BB$166,3,),IF(AND(I117="TDP",S117&lt;=150),VLOOKUP(AF117,TPCalibEq150!$AZ$2:$BB$166,3,)))</f>
        <v>0</v>
      </c>
      <c r="AR117" s="10" t="b">
        <f>IF(AND(I117="TP",S117&lt;=300),VLOOKUP(AF117,TPCalibEq300!$AZ$2:$BB$166,3,),IF(AND(I117="TDP",S117&lt;=300),VLOOKUP(AF117,TPCalibEq300!$AZ$2:$BB$166,3,)))</f>
        <v>0</v>
      </c>
      <c r="AS117" s="10" t="b">
        <f>IF(AND(I117="TP",S117&lt;=500),VLOOKUP(AF117,TPCalibEq500!$AZ$2:$BB$165,3,),IF(AND(I117="TDP",S117&lt;=500),VLOOKUP(AF117,TPCalibEq500!$AZ$2:$BB$165,3,)))</f>
        <v>0</v>
      </c>
      <c r="AT117" s="10" t="str">
        <f>IF(AND(I117="TN",S117&lt;=2800),VLOOKUP(AF117,TNCalibEq2500!$AZ$2:$BB$165,3,),IF(AND(I117="TDN",S117&lt;=2800),VLOOKUP(AF117,TNCalibEq2500!$AZ$2:$BB$165,3,)))</f>
        <v>y=-0.1957x2+248.26x-106.67</v>
      </c>
      <c r="AU117" s="10" t="str">
        <f>IF(I117="TP",VLOOKUP(AF117,TPCalibEqFull!$AZ$2:$BB$165,3),IF(I117="TDP",VLOOKUP(AF117,TPCalibEqFull!$AZ$2:$BB$165,3),IF(I117="TDN",VLOOKUP(AF117,TNCalibEqFull!$AZ$2:$BB$164,3),IF(I117="TN",VLOOKUP(AF117,TNCalibEqFull!$AZ$2:$BB$164,3),FALSE))))</f>
        <v>y=-0.184x2+251.8x-113.39</v>
      </c>
      <c r="AV117" s="10" t="str">
        <f t="shared" si="36"/>
        <v>20240803 00:00:00-1000-2-Sh-1-DI-BLK</v>
      </c>
    </row>
    <row r="118" spans="1:48" s="10" customFormat="1" x14ac:dyDescent="0.3">
      <c r="A118" s="32">
        <v>45507</v>
      </c>
      <c r="B118" s="33">
        <v>0</v>
      </c>
      <c r="C118" s="10">
        <v>1000</v>
      </c>
      <c r="D118" s="10">
        <v>2</v>
      </c>
      <c r="E118" s="10" t="s">
        <v>953</v>
      </c>
      <c r="F118" s="10">
        <v>1</v>
      </c>
      <c r="G118" s="10" t="s">
        <v>229</v>
      </c>
      <c r="H118" s="10" t="s">
        <v>320</v>
      </c>
      <c r="I118" s="10" t="s">
        <v>233</v>
      </c>
      <c r="J118" s="10">
        <v>6</v>
      </c>
      <c r="K118" s="12">
        <v>45686</v>
      </c>
      <c r="L118" s="33">
        <v>0.73269675925925926</v>
      </c>
      <c r="M118" s="10">
        <v>1</v>
      </c>
      <c r="N118" s="10" t="s">
        <v>194</v>
      </c>
      <c r="O118" s="10">
        <v>1.34</v>
      </c>
      <c r="P118" s="10">
        <v>8.4199999999999997E-2</v>
      </c>
      <c r="Q118" s="10">
        <v>226</v>
      </c>
      <c r="R118" s="10" t="s">
        <v>168</v>
      </c>
      <c r="S118" s="34">
        <f t="shared" si="29"/>
        <v>226</v>
      </c>
      <c r="T118" s="10" t="s">
        <v>958</v>
      </c>
      <c r="U118" s="34" t="str">
        <f t="shared" si="35"/>
        <v/>
      </c>
      <c r="V118" s="31" t="str">
        <f>IF(H118="CHK",VLOOKUP(I118,QCCHK,3,),IF(H118="GUP",VLOOKUP(E118,QCGUP,2,),IF(AND(H118="ATP",OR(I118="TN",I118="TDN",I118="TNO2-3",I118="NO2-3")),VLOOKUP(E118,QCREC_N,2,),IF(AND(H118="NIC",OR(I118="TN",I118="TDN",I118="TNO2-3",I118="NO2-3")),VLOOKUP(E118,QCNIC_N,2,),IF(AND(H118="UREA",OR(I118="TN",I118="TDN",I118="TNO2-3",I118="NO2-3")),VLOOKUP(E118,QCUREA_N,2,),IF(H118="PER",VLOOKUP(I118,QCPER,MATCH(E118,QCACTUAL!$J$25:$AA$25,0),),IF(H118="SPK",VLOOKUP(I118,QCSPK,3,),IF(AND(H118="ATP",OR(I118="TP",I118="TDP")),VLOOKUP(E118,QCATP_P,2,),""))))))))</f>
        <v/>
      </c>
      <c r="W118" s="31" t="str">
        <f t="shared" si="30"/>
        <v>TRUE</v>
      </c>
      <c r="X118" s="31" t="str">
        <f t="shared" si="31"/>
        <v/>
      </c>
      <c r="Y118" s="10" t="s">
        <v>957</v>
      </c>
      <c r="AF118" s="12">
        <v>45686</v>
      </c>
      <c r="AJ118" s="10">
        <f>-0.1957*1.34^2+248.26*1.34-106.67</f>
        <v>225.64700108</v>
      </c>
      <c r="AK118" s="10">
        <f>-0.184*1.34^2+251.8*1.34-113.39</f>
        <v>223.69160960000005</v>
      </c>
      <c r="AL118" s="10" t="str">
        <f t="shared" si="32"/>
        <v>FALSE</v>
      </c>
      <c r="AM118" s="10" t="str">
        <f t="shared" si="32"/>
        <v>FALSE</v>
      </c>
      <c r="AN118" s="10" t="str">
        <f t="shared" si="32"/>
        <v>FALSE</v>
      </c>
      <c r="AO118" s="10" t="str">
        <f t="shared" si="33"/>
        <v>y=-0.1957*1.34^2+248.26*1.34-106.67</v>
      </c>
      <c r="AP118" s="10" t="str">
        <f t="shared" si="33"/>
        <v>y=-0.184*1.34^2+251.8*1.34-113.39</v>
      </c>
      <c r="AQ118" s="10" t="b">
        <f>IF(AND(I118="TP",S118&lt;=150),VLOOKUP(AF118,TPCalibEq150!$AZ$2:$BB$166,3,),IF(AND(I118="TDP",S118&lt;=150),VLOOKUP(AF118,TPCalibEq150!$AZ$2:$BB$166,3,)))</f>
        <v>0</v>
      </c>
      <c r="AR118" s="10" t="b">
        <f>IF(AND(I118="TP",S118&lt;=300),VLOOKUP(AF118,TPCalibEq300!$AZ$2:$BB$166,3,),IF(AND(I118="TDP",S118&lt;=300),VLOOKUP(AF118,TPCalibEq300!$AZ$2:$BB$166,3,)))</f>
        <v>0</v>
      </c>
      <c r="AS118" s="10" t="b">
        <f>IF(AND(I118="TP",S118&lt;=500),VLOOKUP(AF118,TPCalibEq500!$AZ$2:$BB$165,3,),IF(AND(I118="TDP",S118&lt;=500),VLOOKUP(AF118,TPCalibEq500!$AZ$2:$BB$165,3,)))</f>
        <v>0</v>
      </c>
      <c r="AT118" s="10" t="str">
        <f>IF(AND(I118="TN",S118&lt;=2800),VLOOKUP(AF118,TNCalibEq2500!$AZ$2:$BB$165,3,),IF(AND(I118="TDN",S118&lt;=2800),VLOOKUP(AF118,TNCalibEq2500!$AZ$2:$BB$165,3,)))</f>
        <v>y=-0.1957x2+248.26x-106.67</v>
      </c>
      <c r="AU118" s="10" t="str">
        <f>IF(I118="TP",VLOOKUP(AF118,TPCalibEqFull!$AZ$2:$BB$165,3),IF(I118="TDP",VLOOKUP(AF118,TPCalibEqFull!$AZ$2:$BB$165,3),IF(I118="TDN",VLOOKUP(AF118,TNCalibEqFull!$AZ$2:$BB$164,3),IF(I118="TN",VLOOKUP(AF118,TNCalibEqFull!$AZ$2:$BB$164,3),FALSE))))</f>
        <v>y=-0.184x2+251.8x-113.39</v>
      </c>
      <c r="AV118" s="10" t="str">
        <f t="shared" si="36"/>
        <v>20240803 00:00:00-1000-2-Sh-1-SW-UKN</v>
      </c>
    </row>
    <row r="119" spans="1:48" s="10" customFormat="1" x14ac:dyDescent="0.3">
      <c r="A119" s="32">
        <v>45507</v>
      </c>
      <c r="B119" s="33">
        <v>0</v>
      </c>
      <c r="C119" s="10">
        <v>1000</v>
      </c>
      <c r="D119" s="10">
        <v>2</v>
      </c>
      <c r="E119" s="10" t="s">
        <v>953</v>
      </c>
      <c r="F119" s="10">
        <v>2</v>
      </c>
      <c r="G119" s="10" t="s">
        <v>229</v>
      </c>
      <c r="H119" s="10" t="s">
        <v>320</v>
      </c>
      <c r="I119" s="10" t="s">
        <v>233</v>
      </c>
      <c r="J119" s="10">
        <v>7</v>
      </c>
      <c r="K119" s="12">
        <v>45686</v>
      </c>
      <c r="L119" s="33">
        <v>0.73337962962962966</v>
      </c>
      <c r="M119" s="10">
        <v>1</v>
      </c>
      <c r="N119" s="10" t="s">
        <v>194</v>
      </c>
      <c r="O119" s="10">
        <v>1.57</v>
      </c>
      <c r="P119" s="10">
        <v>9.9699999999999997E-2</v>
      </c>
      <c r="Q119" s="10">
        <v>283</v>
      </c>
      <c r="R119" s="10" t="s">
        <v>168</v>
      </c>
      <c r="S119" s="34">
        <f t="shared" si="29"/>
        <v>283</v>
      </c>
      <c r="T119" s="10" t="s">
        <v>958</v>
      </c>
      <c r="U119" s="34" t="str">
        <f t="shared" si="35"/>
        <v/>
      </c>
      <c r="V119" s="31" t="str">
        <f>IF(H119="CHK",VLOOKUP(I119,QCCHK,3,),IF(H119="GUP",VLOOKUP(E119,QCGUP,2,),IF(AND(H119="ATP",OR(I119="TN",I119="TDN",I119="TNO2-3",I119="NO2-3")),VLOOKUP(E119,QCREC_N,2,),IF(AND(H119="NIC",OR(I119="TN",I119="TDN",I119="TNO2-3",I119="NO2-3")),VLOOKUP(E119,QCNIC_N,2,),IF(AND(H119="UREA",OR(I119="TN",I119="TDN",I119="TNO2-3",I119="NO2-3")),VLOOKUP(E119,QCUREA_N,2,),IF(H119="PER",VLOOKUP(I119,QCPER,MATCH(E119,QCACTUAL!$J$25:$AA$25,0),),IF(H119="SPK",VLOOKUP(I119,QCSPK,3,),IF(AND(H119="ATP",OR(I119="TP",I119="TDP")),VLOOKUP(E119,QCATP_P,2,),""))))))))</f>
        <v/>
      </c>
      <c r="W119" s="31" t="str">
        <f t="shared" si="30"/>
        <v>TRUE</v>
      </c>
      <c r="X119" s="31" t="str">
        <f t="shared" si="31"/>
        <v/>
      </c>
      <c r="Y119" s="10" t="s">
        <v>957</v>
      </c>
      <c r="AF119" s="12">
        <v>45686</v>
      </c>
      <c r="AJ119" s="10">
        <f>-0.1957*1.57^2+248.26*1.57-106.67</f>
        <v>282.61581906999999</v>
      </c>
      <c r="AK119" s="10">
        <f>-0.184*1.57^2+251.8*1.57-113.39</f>
        <v>281.48245840000004</v>
      </c>
      <c r="AL119" s="10" t="str">
        <f t="shared" si="32"/>
        <v>FALSE</v>
      </c>
      <c r="AM119" s="10" t="str">
        <f t="shared" si="32"/>
        <v>FALSE</v>
      </c>
      <c r="AN119" s="10" t="str">
        <f t="shared" si="32"/>
        <v>FALSE</v>
      </c>
      <c r="AO119" s="10" t="str">
        <f t="shared" si="33"/>
        <v>y=-0.1957*1.57^2+248.26*1.57-106.67</v>
      </c>
      <c r="AP119" s="10" t="str">
        <f t="shared" si="33"/>
        <v>y=-0.184*1.57^2+251.8*1.57-113.39</v>
      </c>
      <c r="AQ119" s="10" t="b">
        <f>IF(AND(I119="TP",S119&lt;=150),VLOOKUP(AF119,TPCalibEq150!$AZ$2:$BB$166,3,),IF(AND(I119="TDP",S119&lt;=150),VLOOKUP(AF119,TPCalibEq150!$AZ$2:$BB$166,3,)))</f>
        <v>0</v>
      </c>
      <c r="AR119" s="10" t="b">
        <f>IF(AND(I119="TP",S119&lt;=300),VLOOKUP(AF119,TPCalibEq300!$AZ$2:$BB$166,3,),IF(AND(I119="TDP",S119&lt;=300),VLOOKUP(AF119,TPCalibEq300!$AZ$2:$BB$166,3,)))</f>
        <v>0</v>
      </c>
      <c r="AS119" s="10" t="b">
        <f>IF(AND(I119="TP",S119&lt;=500),VLOOKUP(AF119,TPCalibEq500!$AZ$2:$BB$165,3,),IF(AND(I119="TDP",S119&lt;=500),VLOOKUP(AF119,TPCalibEq500!$AZ$2:$BB$165,3,)))</f>
        <v>0</v>
      </c>
      <c r="AT119" s="10" t="str">
        <f>IF(AND(I119="TN",S119&lt;=2800),VLOOKUP(AF119,TNCalibEq2500!$AZ$2:$BB$165,3,),IF(AND(I119="TDN",S119&lt;=2800),VLOOKUP(AF119,TNCalibEq2500!$AZ$2:$BB$165,3,)))</f>
        <v>y=-0.1957x2+248.26x-106.67</v>
      </c>
      <c r="AU119" s="10" t="str">
        <f>IF(I119="TP",VLOOKUP(AF119,TPCalibEqFull!$AZ$2:$BB$165,3),IF(I119="TDP",VLOOKUP(AF119,TPCalibEqFull!$AZ$2:$BB$165,3),IF(I119="TDN",VLOOKUP(AF119,TNCalibEqFull!$AZ$2:$BB$164,3),IF(I119="TN",VLOOKUP(AF119,TNCalibEqFull!$AZ$2:$BB$164,3),FALSE))))</f>
        <v>y=-0.184x2+251.8x-113.39</v>
      </c>
      <c r="AV119" s="10" t="str">
        <f t="shared" si="36"/>
        <v>20240803 00:00:00-1000-2-Sh-2-SW-UKN</v>
      </c>
    </row>
    <row r="120" spans="1:48" s="10" customFormat="1" x14ac:dyDescent="0.3">
      <c r="A120" s="32">
        <v>45500</v>
      </c>
      <c r="B120" s="33">
        <v>0</v>
      </c>
      <c r="C120" s="10">
        <v>1000</v>
      </c>
      <c r="D120" s="10">
        <v>2</v>
      </c>
      <c r="E120" s="10" t="s">
        <v>954</v>
      </c>
      <c r="F120" s="10">
        <v>1</v>
      </c>
      <c r="G120" s="10" t="s">
        <v>229</v>
      </c>
      <c r="H120" s="10" t="s">
        <v>320</v>
      </c>
      <c r="I120" s="10" t="s">
        <v>233</v>
      </c>
      <c r="J120" s="10">
        <v>8</v>
      </c>
      <c r="K120" s="12">
        <v>45686</v>
      </c>
      <c r="L120" s="33">
        <v>0.73403935185185187</v>
      </c>
      <c r="M120" s="10">
        <v>1</v>
      </c>
      <c r="N120" s="10" t="s">
        <v>194</v>
      </c>
      <c r="O120" s="10">
        <v>1.71</v>
      </c>
      <c r="P120" s="10">
        <v>0.108</v>
      </c>
      <c r="Q120" s="10">
        <v>316</v>
      </c>
      <c r="R120" s="10" t="s">
        <v>168</v>
      </c>
      <c r="S120" s="34">
        <f t="shared" si="29"/>
        <v>317.28235362999993</v>
      </c>
      <c r="T120" s="10" t="s">
        <v>958</v>
      </c>
      <c r="U120" s="34" t="str">
        <f t="shared" si="35"/>
        <v/>
      </c>
      <c r="V120" s="31" t="str">
        <f>IF(H120="CHK",VLOOKUP(I120,QCCHK,3,),IF(H120="GUP",VLOOKUP(E120,QCGUP,2,),IF(AND(H120="ATP",OR(I120="TN",I120="TDN",I120="TNO2-3",I120="NO2-3")),VLOOKUP(E120,QCREC_N,2,),IF(AND(H120="NIC",OR(I120="TN",I120="TDN",I120="TNO2-3",I120="NO2-3")),VLOOKUP(E120,QCNIC_N,2,),IF(AND(H120="UREA",OR(I120="TN",I120="TDN",I120="TNO2-3",I120="NO2-3")),VLOOKUP(E120,QCUREA_N,2,),IF(H120="PER",VLOOKUP(I120,QCPER,MATCH(E120,QCACTUAL!$J$25:$AA$25,0),),IF(H120="SPK",VLOOKUP(I120,QCSPK,3,),IF(AND(H120="ATP",OR(I120="TP",I120="TDP")),VLOOKUP(E120,QCATP_P,2,),""))))))))</f>
        <v/>
      </c>
      <c r="W120" s="31" t="str">
        <f t="shared" si="30"/>
        <v>TRUE</v>
      </c>
      <c r="X120" s="31" t="str">
        <f t="shared" si="31"/>
        <v/>
      </c>
      <c r="Y120" s="10" t="s">
        <v>957</v>
      </c>
      <c r="AF120" s="12">
        <v>45686</v>
      </c>
      <c r="AJ120" s="10">
        <f>-0.1957*1.71^2+248.26*1.71-106.67</f>
        <v>317.28235362999993</v>
      </c>
      <c r="AK120" s="10">
        <f>-0.184*1.71^2+251.8*1.71-113.39</f>
        <v>316.64996560000003</v>
      </c>
      <c r="AL120" s="10" t="str">
        <f t="shared" si="32"/>
        <v>FALSE</v>
      </c>
      <c r="AM120" s="10" t="str">
        <f t="shared" si="32"/>
        <v>FALSE</v>
      </c>
      <c r="AN120" s="10" t="str">
        <f t="shared" si="32"/>
        <v>FALSE</v>
      </c>
      <c r="AO120" s="10" t="str">
        <f t="shared" si="33"/>
        <v>y=-0.1957*1.71^2+248.26*1.71-106.67</v>
      </c>
      <c r="AP120" s="10" t="str">
        <f t="shared" si="33"/>
        <v>y=-0.184*1.71^2+251.8*1.71-113.39</v>
      </c>
      <c r="AQ120" s="10" t="b">
        <f>IF(AND(I120="TP",S120&lt;=150),VLOOKUP(AF120,TPCalibEq150!$AZ$2:$BB$166,3,),IF(AND(I120="TDP",S120&lt;=150),VLOOKUP(AF120,TPCalibEq150!$AZ$2:$BB$166,3,)))</f>
        <v>0</v>
      </c>
      <c r="AR120" s="10" t="b">
        <f>IF(AND(I120="TP",S120&lt;=300),VLOOKUP(AF120,TPCalibEq300!$AZ$2:$BB$166,3,),IF(AND(I120="TDP",S120&lt;=300),VLOOKUP(AF120,TPCalibEq300!$AZ$2:$BB$166,3,)))</f>
        <v>0</v>
      </c>
      <c r="AS120" s="10" t="b">
        <f>IF(AND(I120="TP",S120&lt;=500),VLOOKUP(AF120,TPCalibEq500!$AZ$2:$BB$165,3,),IF(AND(I120="TDP",S120&lt;=500),VLOOKUP(AF120,TPCalibEq500!$AZ$2:$BB$165,3,)))</f>
        <v>0</v>
      </c>
      <c r="AT120" s="10" t="str">
        <f>IF(AND(I120="TN",S120&lt;=2800),VLOOKUP(AF120,TNCalibEq2500!$AZ$2:$BB$165,3,),IF(AND(I120="TDN",S120&lt;=2800),VLOOKUP(AF120,TNCalibEq2500!$AZ$2:$BB$165,3,)))</f>
        <v>y=-0.1957x2+248.26x-106.67</v>
      </c>
      <c r="AU120" s="10" t="str">
        <f>IF(I120="TP",VLOOKUP(AF120,TPCalibEqFull!$AZ$2:$BB$165,3),IF(I120="TDP",VLOOKUP(AF120,TPCalibEqFull!$AZ$2:$BB$165,3),IF(I120="TDN",VLOOKUP(AF120,TNCalibEqFull!$AZ$2:$BB$164,3),IF(I120="TN",VLOOKUP(AF120,TNCalibEqFull!$AZ$2:$BB$164,3),FALSE))))</f>
        <v>y=-0.184x2+251.8x-113.39</v>
      </c>
      <c r="AV120" s="10" t="str">
        <f t="shared" si="36"/>
        <v>20240727 00:00:00-1000-2-Dp-1-SW-UKN</v>
      </c>
    </row>
    <row r="121" spans="1:48" s="10" customFormat="1" x14ac:dyDescent="0.3">
      <c r="A121" s="32">
        <v>45500</v>
      </c>
      <c r="B121" s="33">
        <v>0</v>
      </c>
      <c r="C121" s="10">
        <v>1000</v>
      </c>
      <c r="D121" s="10">
        <v>3</v>
      </c>
      <c r="E121" s="10" t="s">
        <v>953</v>
      </c>
      <c r="F121" s="10">
        <v>1</v>
      </c>
      <c r="G121" s="10" t="s">
        <v>229</v>
      </c>
      <c r="H121" s="10" t="s">
        <v>320</v>
      </c>
      <c r="I121" s="10" t="s">
        <v>233</v>
      </c>
      <c r="J121" s="10">
        <v>9</v>
      </c>
      <c r="K121" s="12">
        <v>45686</v>
      </c>
      <c r="L121" s="33">
        <v>0.73471064814814813</v>
      </c>
      <c r="M121" s="10">
        <v>1</v>
      </c>
      <c r="N121" s="10" t="s">
        <v>194</v>
      </c>
      <c r="O121" s="10">
        <v>1.45</v>
      </c>
      <c r="P121" s="10">
        <v>9.0200000000000002E-2</v>
      </c>
      <c r="Q121" s="10">
        <v>253</v>
      </c>
      <c r="R121" s="10" t="s">
        <v>168</v>
      </c>
      <c r="S121" s="34">
        <f t="shared" si="29"/>
        <v>253</v>
      </c>
      <c r="T121" s="10" t="s">
        <v>958</v>
      </c>
      <c r="U121" s="34" t="str">
        <f t="shared" si="35"/>
        <v/>
      </c>
      <c r="V121" s="31" t="str">
        <f>IF(H121="CHK",VLOOKUP(I121,QCCHK,3,),IF(H121="GUP",VLOOKUP(E121,QCGUP,2,),IF(AND(H121="ATP",OR(I121="TN",I121="TDN",I121="TNO2-3",I121="NO2-3")),VLOOKUP(E121,QCREC_N,2,),IF(AND(H121="NIC",OR(I121="TN",I121="TDN",I121="TNO2-3",I121="NO2-3")),VLOOKUP(E121,QCNIC_N,2,),IF(AND(H121="UREA",OR(I121="TN",I121="TDN",I121="TNO2-3",I121="NO2-3")),VLOOKUP(E121,QCUREA_N,2,),IF(H121="PER",VLOOKUP(I121,QCPER,MATCH(E121,QCACTUAL!$J$25:$AA$25,0),),IF(H121="SPK",VLOOKUP(I121,QCSPK,3,),IF(AND(H121="ATP",OR(I121="TP",I121="TDP")),VLOOKUP(E121,QCATP_P,2,),""))))))))</f>
        <v/>
      </c>
      <c r="W121" s="31" t="str">
        <f t="shared" si="30"/>
        <v>TRUE</v>
      </c>
      <c r="X121" s="31" t="str">
        <f t="shared" si="31"/>
        <v/>
      </c>
      <c r="Y121" s="10" t="s">
        <v>957</v>
      </c>
      <c r="AF121" s="12">
        <v>45686</v>
      </c>
      <c r="AJ121" s="10">
        <f>-0.1957*1.45^2+248.26*1.45-106.67</f>
        <v>252.89554074999995</v>
      </c>
      <c r="AK121" s="10">
        <f>-0.184*1.45^2+251.8*1.45-113.39</f>
        <v>251.33314000000001</v>
      </c>
      <c r="AL121" s="10" t="str">
        <f t="shared" si="32"/>
        <v>FALSE</v>
      </c>
      <c r="AM121" s="10" t="str">
        <f t="shared" si="32"/>
        <v>FALSE</v>
      </c>
      <c r="AN121" s="10" t="str">
        <f t="shared" si="32"/>
        <v>FALSE</v>
      </c>
      <c r="AO121" s="10" t="str">
        <f t="shared" si="33"/>
        <v>y=-0.1957*1.45^2+248.26*1.45-106.67</v>
      </c>
      <c r="AP121" s="10" t="str">
        <f t="shared" si="33"/>
        <v>y=-0.184*1.45^2+251.8*1.45-113.39</v>
      </c>
      <c r="AQ121" s="10" t="b">
        <f>IF(AND(I121="TP",S121&lt;=150),VLOOKUP(AF121,TPCalibEq150!$AZ$2:$BB$166,3,),IF(AND(I121="TDP",S121&lt;=150),VLOOKUP(AF121,TPCalibEq150!$AZ$2:$BB$166,3,)))</f>
        <v>0</v>
      </c>
      <c r="AR121" s="10" t="b">
        <f>IF(AND(I121="TP",S121&lt;=300),VLOOKUP(AF121,TPCalibEq300!$AZ$2:$BB$166,3,),IF(AND(I121="TDP",S121&lt;=300),VLOOKUP(AF121,TPCalibEq300!$AZ$2:$BB$166,3,)))</f>
        <v>0</v>
      </c>
      <c r="AS121" s="10" t="b">
        <f>IF(AND(I121="TP",S121&lt;=500),VLOOKUP(AF121,TPCalibEq500!$AZ$2:$BB$165,3,),IF(AND(I121="TDP",S121&lt;=500),VLOOKUP(AF121,TPCalibEq500!$AZ$2:$BB$165,3,)))</f>
        <v>0</v>
      </c>
      <c r="AT121" s="10" t="str">
        <f>IF(AND(I121="TN",S121&lt;=2800),VLOOKUP(AF121,TNCalibEq2500!$AZ$2:$BB$165,3,),IF(AND(I121="TDN",S121&lt;=2800),VLOOKUP(AF121,TNCalibEq2500!$AZ$2:$BB$165,3,)))</f>
        <v>y=-0.1957x2+248.26x-106.67</v>
      </c>
      <c r="AU121" s="10" t="str">
        <f>IF(I121="TP",VLOOKUP(AF121,TPCalibEqFull!$AZ$2:$BB$165,3),IF(I121="TDP",VLOOKUP(AF121,TPCalibEqFull!$AZ$2:$BB$165,3),IF(I121="TDN",VLOOKUP(AF121,TNCalibEqFull!$AZ$2:$BB$164,3),IF(I121="TN",VLOOKUP(AF121,TNCalibEqFull!$AZ$2:$BB$164,3),FALSE))))</f>
        <v>y=-0.184x2+251.8x-113.39</v>
      </c>
      <c r="AV121" s="10" t="str">
        <f t="shared" si="36"/>
        <v>20240727 00:00:00-1000-3-Sh-1-SW-UKN</v>
      </c>
    </row>
    <row r="122" spans="1:48" s="10" customFormat="1" x14ac:dyDescent="0.3">
      <c r="A122" s="32">
        <v>45500</v>
      </c>
      <c r="B122" s="33">
        <v>0</v>
      </c>
      <c r="C122" s="10">
        <v>1000</v>
      </c>
      <c r="D122" s="10">
        <v>3</v>
      </c>
      <c r="E122" s="10" t="s">
        <v>953</v>
      </c>
      <c r="F122" s="10">
        <v>2</v>
      </c>
      <c r="G122" s="10" t="s">
        <v>229</v>
      </c>
      <c r="H122" s="10" t="s">
        <v>320</v>
      </c>
      <c r="I122" s="10" t="s">
        <v>233</v>
      </c>
      <c r="J122" s="10">
        <v>10</v>
      </c>
      <c r="K122" s="12">
        <v>45686</v>
      </c>
      <c r="L122" s="33">
        <v>0.73537037037037034</v>
      </c>
      <c r="M122" s="10">
        <v>1</v>
      </c>
      <c r="N122" s="10" t="s">
        <v>194</v>
      </c>
      <c r="O122" s="10">
        <v>1.4</v>
      </c>
      <c r="P122" s="10">
        <v>8.9099999999999999E-2</v>
      </c>
      <c r="Q122" s="10">
        <v>240</v>
      </c>
      <c r="R122" s="10" t="s">
        <v>168</v>
      </c>
      <c r="S122" s="34">
        <f t="shared" si="29"/>
        <v>240.51042799999993</v>
      </c>
      <c r="T122" s="10" t="s">
        <v>958</v>
      </c>
      <c r="U122" s="34" t="str">
        <f t="shared" si="35"/>
        <v/>
      </c>
      <c r="V122" s="31" t="str">
        <f>IF(H122="CHK",VLOOKUP(I122,QCCHK,3,),IF(H122="GUP",VLOOKUP(E122,QCGUP,2,),IF(AND(H122="ATP",OR(I122="TN",I122="TDN",I122="TNO2-3",I122="NO2-3")),VLOOKUP(E122,QCREC_N,2,),IF(AND(H122="NIC",OR(I122="TN",I122="TDN",I122="TNO2-3",I122="NO2-3")),VLOOKUP(E122,QCNIC_N,2,),IF(AND(H122="UREA",OR(I122="TN",I122="TDN",I122="TNO2-3",I122="NO2-3")),VLOOKUP(E122,QCUREA_N,2,),IF(H122="PER",VLOOKUP(I122,QCPER,MATCH(E122,QCACTUAL!$J$25:$AA$25,0),),IF(H122="SPK",VLOOKUP(I122,QCSPK,3,),IF(AND(H122="ATP",OR(I122="TP",I122="TDP")),VLOOKUP(E122,QCATP_P,2,),""))))))))</f>
        <v/>
      </c>
      <c r="W122" s="31" t="str">
        <f t="shared" si="30"/>
        <v>TRUE</v>
      </c>
      <c r="X122" s="31" t="str">
        <f t="shared" si="31"/>
        <v/>
      </c>
      <c r="Y122" s="10" t="s">
        <v>957</v>
      </c>
      <c r="AF122" s="12">
        <v>45686</v>
      </c>
      <c r="AJ122" s="10">
        <f>-0.1957*1.4^2+248.26*1.4-106.67</f>
        <v>240.51042799999993</v>
      </c>
      <c r="AK122" s="10">
        <f>-0.184*1.4^2+251.8*1.4-113.39</f>
        <v>238.76936000000001</v>
      </c>
      <c r="AL122" s="10" t="str">
        <f t="shared" si="32"/>
        <v>FALSE</v>
      </c>
      <c r="AM122" s="10" t="str">
        <f t="shared" si="32"/>
        <v>FALSE</v>
      </c>
      <c r="AN122" s="10" t="str">
        <f t="shared" si="32"/>
        <v>FALSE</v>
      </c>
      <c r="AO122" s="10" t="str">
        <f t="shared" si="33"/>
        <v>y=-0.1957*1.4^2+248.26*1.4-106.67</v>
      </c>
      <c r="AP122" s="10" t="str">
        <f t="shared" si="33"/>
        <v>y=-0.184*1.4^2+251.8*1.4-113.39</v>
      </c>
      <c r="AQ122" s="10" t="b">
        <f>IF(AND(I122="TP",S122&lt;=150),VLOOKUP(AF122,TPCalibEq150!$AZ$2:$BB$166,3,),IF(AND(I122="TDP",S122&lt;=150),VLOOKUP(AF122,TPCalibEq150!$AZ$2:$BB$166,3,)))</f>
        <v>0</v>
      </c>
      <c r="AR122" s="10" t="b">
        <f>IF(AND(I122="TP",S122&lt;=300),VLOOKUP(AF122,TPCalibEq300!$AZ$2:$BB$166,3,),IF(AND(I122="TDP",S122&lt;=300),VLOOKUP(AF122,TPCalibEq300!$AZ$2:$BB$166,3,)))</f>
        <v>0</v>
      </c>
      <c r="AS122" s="10" t="b">
        <f>IF(AND(I122="TP",S122&lt;=500),VLOOKUP(AF122,TPCalibEq500!$AZ$2:$BB$165,3,),IF(AND(I122="TDP",S122&lt;=500),VLOOKUP(AF122,TPCalibEq500!$AZ$2:$BB$165,3,)))</f>
        <v>0</v>
      </c>
      <c r="AT122" s="10" t="str">
        <f>IF(AND(I122="TN",S122&lt;=2800),VLOOKUP(AF122,TNCalibEq2500!$AZ$2:$BB$165,3,),IF(AND(I122="TDN",S122&lt;=2800),VLOOKUP(AF122,TNCalibEq2500!$AZ$2:$BB$165,3,)))</f>
        <v>y=-0.1957x2+248.26x-106.67</v>
      </c>
      <c r="AU122" s="10" t="str">
        <f>IF(I122="TP",VLOOKUP(AF122,TPCalibEqFull!$AZ$2:$BB$165,3),IF(I122="TDP",VLOOKUP(AF122,TPCalibEqFull!$AZ$2:$BB$165,3),IF(I122="TDN",VLOOKUP(AF122,TNCalibEqFull!$AZ$2:$BB$164,3),IF(I122="TN",VLOOKUP(AF122,TNCalibEqFull!$AZ$2:$BB$164,3),FALSE))))</f>
        <v>y=-0.184x2+251.8x-113.39</v>
      </c>
      <c r="AV122" s="10" t="str">
        <f t="shared" si="36"/>
        <v>20240727 00:00:00-1000-3-Sh-2-SW-UKN</v>
      </c>
    </row>
    <row r="123" spans="1:48" s="10" customFormat="1" x14ac:dyDescent="0.3">
      <c r="A123" s="32">
        <v>45500</v>
      </c>
      <c r="B123" s="33">
        <v>0</v>
      </c>
      <c r="C123" s="10">
        <v>1000</v>
      </c>
      <c r="D123" s="10">
        <v>3</v>
      </c>
      <c r="E123" s="10" t="s">
        <v>954</v>
      </c>
      <c r="F123" s="10">
        <v>1</v>
      </c>
      <c r="G123" s="10" t="s">
        <v>229</v>
      </c>
      <c r="H123" s="10" t="s">
        <v>320</v>
      </c>
      <c r="I123" s="10" t="s">
        <v>233</v>
      </c>
      <c r="J123" s="10">
        <v>11</v>
      </c>
      <c r="K123" s="12">
        <v>45686</v>
      </c>
      <c r="L123" s="33">
        <v>0.73603009259259267</v>
      </c>
      <c r="M123" s="10">
        <v>1</v>
      </c>
      <c r="N123" s="10" t="s">
        <v>194</v>
      </c>
      <c r="O123" s="10">
        <v>11.7</v>
      </c>
      <c r="P123" s="10">
        <v>0.746</v>
      </c>
      <c r="Q123" s="10">
        <v>2810</v>
      </c>
      <c r="R123" s="10" t="s">
        <v>168</v>
      </c>
      <c r="S123" s="34">
        <f t="shared" si="29"/>
        <v>2810</v>
      </c>
      <c r="T123" s="10" t="s">
        <v>958</v>
      </c>
      <c r="U123" s="34" t="str">
        <f t="shared" si="35"/>
        <v/>
      </c>
      <c r="V123" s="31" t="str">
        <f>IF(H123="CHK",VLOOKUP(I123,QCCHK,3,),IF(H123="GUP",VLOOKUP(E123,QCGUP,2,),IF(AND(H123="ATP",OR(I123="TN",I123="TDN",I123="TNO2-3",I123="NO2-3")),VLOOKUP(E123,QCREC_N,2,),IF(AND(H123="NIC",OR(I123="TN",I123="TDN",I123="TNO2-3",I123="NO2-3")),VLOOKUP(E123,QCNIC_N,2,),IF(AND(H123="UREA",OR(I123="TN",I123="TDN",I123="TNO2-3",I123="NO2-3")),VLOOKUP(E123,QCUREA_N,2,),IF(H123="PER",VLOOKUP(I123,QCPER,MATCH(E123,QCACTUAL!$J$25:$AA$25,0),),IF(H123="SPK",VLOOKUP(I123,QCSPK,3,),IF(AND(H123="ATP",OR(I123="TP",I123="TDP")),VLOOKUP(E123,QCATP_P,2,),""))))))))</f>
        <v/>
      </c>
      <c r="W123" s="31" t="str">
        <f t="shared" si="30"/>
        <v>TRUE</v>
      </c>
      <c r="X123" s="31" t="str">
        <f t="shared" si="31"/>
        <v/>
      </c>
      <c r="Y123" s="10" t="s">
        <v>957</v>
      </c>
      <c r="AF123" s="12">
        <v>45686</v>
      </c>
      <c r="AK123" s="10">
        <f>-0.184*11.7^2+251.8*11.7-113.39</f>
        <v>2807.4822400000003</v>
      </c>
      <c r="AL123" s="10" t="str">
        <f t="shared" si="32"/>
        <v>FALSE</v>
      </c>
      <c r="AM123" s="10" t="str">
        <f t="shared" si="32"/>
        <v>FALSE</v>
      </c>
      <c r="AN123" s="10" t="str">
        <f t="shared" si="32"/>
        <v>FALSE</v>
      </c>
      <c r="AO123" s="10" t="str">
        <f t="shared" si="33"/>
        <v>FALSE</v>
      </c>
      <c r="AP123" s="10" t="str">
        <f t="shared" si="33"/>
        <v>y=-0.184*11.7^2+251.8*11.7-113.39</v>
      </c>
      <c r="AQ123" s="10" t="b">
        <f>IF(AND(I123="TP",S123&lt;=150),VLOOKUP(AF123,TPCalibEq150!$AZ$2:$BB$166,3,),IF(AND(I123="TDP",S123&lt;=150),VLOOKUP(AF123,TPCalibEq150!$AZ$2:$BB$166,3,)))</f>
        <v>0</v>
      </c>
      <c r="AR123" s="10" t="b">
        <f>IF(AND(I123="TP",S123&lt;=300),VLOOKUP(AF123,TPCalibEq300!$AZ$2:$BB$166,3,),IF(AND(I123="TDP",S123&lt;=300),VLOOKUP(AF123,TPCalibEq300!$AZ$2:$BB$166,3,)))</f>
        <v>0</v>
      </c>
      <c r="AS123" s="10" t="b">
        <f>IF(AND(I123="TP",S123&lt;=500),VLOOKUP(AF123,TPCalibEq500!$AZ$2:$BB$165,3,),IF(AND(I123="TDP",S123&lt;=500),VLOOKUP(AF123,TPCalibEq500!$AZ$2:$BB$165,3,)))</f>
        <v>0</v>
      </c>
      <c r="AT123" s="10" t="b">
        <f>IF(AND(I123="TN",S123&lt;=2800),VLOOKUP(AF123,TNCalibEq2500!$AZ$2:$BB$165,3,),IF(AND(I123="TDN",S123&lt;=2800),VLOOKUP(AF123,TNCalibEq2500!$AZ$2:$BB$165,3,)))</f>
        <v>0</v>
      </c>
      <c r="AU123" s="10" t="str">
        <f>IF(I123="TP",VLOOKUP(AF123,TPCalibEqFull!$AZ$2:$BB$165,3),IF(I123="TDP",VLOOKUP(AF123,TPCalibEqFull!$AZ$2:$BB$165,3),IF(I123="TDN",VLOOKUP(AF123,TNCalibEqFull!$AZ$2:$BB$164,3),IF(I123="TN",VLOOKUP(AF123,TNCalibEqFull!$AZ$2:$BB$164,3),FALSE))))</f>
        <v>y=-0.184x2+251.8x-113.39</v>
      </c>
      <c r="AV123" s="10" t="str">
        <f t="shared" si="36"/>
        <v>20240727 00:00:00-1000-3-Dp-1-SW-UKN</v>
      </c>
    </row>
    <row r="124" spans="1:48" s="10" customFormat="1" x14ac:dyDescent="0.3">
      <c r="A124" s="32">
        <v>45500</v>
      </c>
      <c r="B124" s="33">
        <v>0</v>
      </c>
      <c r="C124" s="10">
        <v>1000</v>
      </c>
      <c r="D124" s="10">
        <v>3</v>
      </c>
      <c r="E124" s="10" t="s">
        <v>954</v>
      </c>
      <c r="F124" s="10">
        <v>1</v>
      </c>
      <c r="G124" s="10" t="s">
        <v>229</v>
      </c>
      <c r="H124" s="10" t="s">
        <v>231</v>
      </c>
      <c r="I124" s="10" t="s">
        <v>233</v>
      </c>
      <c r="J124" s="10">
        <v>11</v>
      </c>
      <c r="K124" s="12">
        <v>45686</v>
      </c>
      <c r="L124" s="33">
        <v>0.73670138888888881</v>
      </c>
      <c r="M124" s="10">
        <v>1</v>
      </c>
      <c r="N124" s="10" t="s">
        <v>194</v>
      </c>
      <c r="O124" s="10">
        <v>11.8</v>
      </c>
      <c r="P124" s="10">
        <v>0.749</v>
      </c>
      <c r="Q124" s="10">
        <v>2810</v>
      </c>
      <c r="R124" s="10" t="s">
        <v>168</v>
      </c>
      <c r="S124" s="34">
        <f t="shared" si="29"/>
        <v>2832.2298400000004</v>
      </c>
      <c r="T124" s="10" t="s">
        <v>958</v>
      </c>
      <c r="U124" s="34">
        <f t="shared" si="35"/>
        <v>0.78798066120611709</v>
      </c>
      <c r="V124" s="31" t="str">
        <f>IF(H124="CHK",VLOOKUP(I124,QCCHK,3,),IF(H124="GUP",VLOOKUP(E124,QCGUP,2,),IF(AND(H124="ATP",OR(I124="TN",I124="TDN",I124="TNO2-3",I124="NO2-3")),VLOOKUP(E124,QCREC_N,2,),IF(AND(H124="NIC",OR(I124="TN",I124="TDN",I124="TNO2-3",I124="NO2-3")),VLOOKUP(E124,QCNIC_N,2,),IF(AND(H124="UREA",OR(I124="TN",I124="TDN",I124="TNO2-3",I124="NO2-3")),VLOOKUP(E124,QCUREA_N,2,),IF(H124="PER",VLOOKUP(I124,QCPER,MATCH(E124,QCACTUAL!$J$25:$AA$25,0),),IF(H124="SPK",VLOOKUP(I124,QCSPK,3,),IF(AND(H124="ATP",OR(I124="TP",I124="TDP")),VLOOKUP(E124,QCATP_P,2,),""))))))))</f>
        <v/>
      </c>
      <c r="W124" s="31" t="str">
        <f t="shared" si="30"/>
        <v>TRUE</v>
      </c>
      <c r="X124" s="31" t="str">
        <f t="shared" si="31"/>
        <v>((ABS(rep1-rep2))/((rep1+rep2)/2)*100</v>
      </c>
      <c r="Y124" s="10" t="s">
        <v>957</v>
      </c>
      <c r="AF124" s="12">
        <v>45686</v>
      </c>
      <c r="AK124" s="10">
        <f>-0.184*11.8^2+251.8*11.8-113.39</f>
        <v>2832.2298400000004</v>
      </c>
      <c r="AL124" s="10" t="str">
        <f t="shared" si="32"/>
        <v>FALSE</v>
      </c>
      <c r="AM124" s="10" t="str">
        <f t="shared" si="32"/>
        <v>FALSE</v>
      </c>
      <c r="AN124" s="10" t="str">
        <f t="shared" si="32"/>
        <v>FALSE</v>
      </c>
      <c r="AO124" s="10" t="str">
        <f t="shared" si="33"/>
        <v>FALSE</v>
      </c>
      <c r="AP124" s="10" t="str">
        <f t="shared" si="33"/>
        <v>y=-0.184*11.8^2+251.8*11.8-113.39</v>
      </c>
      <c r="AQ124" s="10" t="b">
        <f>IF(AND(I124="TP",S124&lt;=150),VLOOKUP(AF124,TPCalibEq150!$AZ$2:$BB$166,3,),IF(AND(I124="TDP",S124&lt;=150),VLOOKUP(AF124,TPCalibEq150!$AZ$2:$BB$166,3,)))</f>
        <v>0</v>
      </c>
      <c r="AR124" s="10" t="b">
        <f>IF(AND(I124="TP",S124&lt;=300),VLOOKUP(AF124,TPCalibEq300!$AZ$2:$BB$166,3,),IF(AND(I124="TDP",S124&lt;=300),VLOOKUP(AF124,TPCalibEq300!$AZ$2:$BB$166,3,)))</f>
        <v>0</v>
      </c>
      <c r="AS124" s="10" t="b">
        <f>IF(AND(I124="TP",S124&lt;=500),VLOOKUP(AF124,TPCalibEq500!$AZ$2:$BB$165,3,),IF(AND(I124="TDP",S124&lt;=500),VLOOKUP(AF124,TPCalibEq500!$AZ$2:$BB$165,3,)))</f>
        <v>0</v>
      </c>
      <c r="AT124" s="10" t="b">
        <f>IF(AND(I124="TN",S124&lt;=2800),VLOOKUP(AF124,TNCalibEq2500!$AZ$2:$BB$165,3,),IF(AND(I124="TDN",S124&lt;=2800),VLOOKUP(AF124,TNCalibEq2500!$AZ$2:$BB$165,3,)))</f>
        <v>0</v>
      </c>
      <c r="AU124" s="10" t="str">
        <f>IF(I124="TP",VLOOKUP(AF124,TPCalibEqFull!$AZ$2:$BB$165,3),IF(I124="TDP",VLOOKUP(AF124,TPCalibEqFull!$AZ$2:$BB$165,3),IF(I124="TDN",VLOOKUP(AF124,TNCalibEqFull!$AZ$2:$BB$164,3),IF(I124="TN",VLOOKUP(AF124,TNCalibEqFull!$AZ$2:$BB$164,3),FALSE))))</f>
        <v>y=-0.184x2+251.8x-113.39</v>
      </c>
      <c r="AV124" s="10" t="str">
        <f t="shared" si="36"/>
        <v>20240727 00:00:00-1000-3-Dp-1-SW-DUP</v>
      </c>
    </row>
    <row r="125" spans="1:48" s="10" customFormat="1" x14ac:dyDescent="0.3">
      <c r="A125" s="32">
        <v>45500</v>
      </c>
      <c r="B125" s="33">
        <v>0</v>
      </c>
      <c r="C125" s="10">
        <v>1000</v>
      </c>
      <c r="D125" s="10">
        <v>4</v>
      </c>
      <c r="E125" s="10" t="s">
        <v>953</v>
      </c>
      <c r="F125" s="10">
        <v>1</v>
      </c>
      <c r="G125" s="10" t="s">
        <v>72</v>
      </c>
      <c r="H125" s="10" t="s">
        <v>239</v>
      </c>
      <c r="I125" s="10" t="s">
        <v>233</v>
      </c>
      <c r="J125" s="10">
        <v>12</v>
      </c>
      <c r="K125" s="12">
        <v>45686</v>
      </c>
      <c r="L125" s="33">
        <v>0.73871527777777779</v>
      </c>
      <c r="M125" s="10">
        <v>1</v>
      </c>
      <c r="N125" s="10" t="s">
        <v>194</v>
      </c>
      <c r="O125" s="10">
        <v>0.33500000000000002</v>
      </c>
      <c r="P125" s="10">
        <v>2.07E-2</v>
      </c>
      <c r="Q125" s="10">
        <v>-24.1</v>
      </c>
      <c r="R125" s="10" t="s">
        <v>168</v>
      </c>
      <c r="S125" s="34">
        <f t="shared" si="29"/>
        <v>-23.524862432500001</v>
      </c>
      <c r="T125" s="10" t="s">
        <v>958</v>
      </c>
      <c r="U125" s="34" t="str">
        <f>IF(OR(H125="CHK",H125="ATP",H125="GUP",H125="PER", H125="NIC", H125="UREA"),(S125/V125*100),IF(H125="DUP",((ABS(S125-#REF!))/((#REF!+S125)/2))*100,IF(H125="SPK",((S125-#REF!)/V125*100),IF(OR(H125="LAB",H125="FLD",H125="ESF"),S125,""))))</f>
        <v/>
      </c>
      <c r="V125" s="31" t="str">
        <f>IF(H125="CHK",VLOOKUP(I125,QCCHK,3,),IF(H125="GUP",VLOOKUP(E125,QCGUP,2,),IF(AND(H125="ATP",OR(I125="TN",I125="TDN",I125="TNO2-3",I125="NO2-3")),VLOOKUP(E125,QCREC_N,2,),IF(AND(H125="NIC",OR(I125="TN",I125="TDN",I125="TNO2-3",I125="NO2-3")),VLOOKUP(E125,QCNIC_N,2,),IF(AND(H125="UREA",OR(I125="TN",I125="TDN",I125="TNO2-3",I125="NO2-3")),VLOOKUP(E125,QCUREA_N,2,),IF(H125="PER",VLOOKUP(I125,QCPER,MATCH(E125,QCACTUAL!$J$25:$AA$25,0),),IF(H125="SPK",VLOOKUP(I125,QCSPK,3,),IF(AND(H125="ATP",OR(I125="TP",I125="TDP")),VLOOKUP(E125,QCATP_P,2,),""))))))))</f>
        <v/>
      </c>
      <c r="W125" s="31" t="str">
        <f t="shared" si="30"/>
        <v>TRUE</v>
      </c>
      <c r="X125" s="31" t="str">
        <f t="shared" si="31"/>
        <v/>
      </c>
      <c r="Y125" s="10" t="s">
        <v>957</v>
      </c>
      <c r="AF125" s="12">
        <v>45686</v>
      </c>
      <c r="AJ125" s="10">
        <f>-0.1957*0.335^2+248.26*0.335-106.67</f>
        <v>-23.524862432500001</v>
      </c>
      <c r="AK125" s="10">
        <f>-0.184*0.335^2+251.8*0.335-113.39</f>
        <v>-29.057649399999988</v>
      </c>
      <c r="AL125" s="10" t="str">
        <f t="shared" si="32"/>
        <v>FALSE</v>
      </c>
      <c r="AM125" s="10" t="str">
        <f t="shared" si="32"/>
        <v>FALSE</v>
      </c>
      <c r="AN125" s="10" t="str">
        <f t="shared" si="32"/>
        <v>FALSE</v>
      </c>
      <c r="AO125" s="10" t="str">
        <f t="shared" si="33"/>
        <v>y=-0.1957*0.335^2+248.26*0.335-106.67</v>
      </c>
      <c r="AP125" s="10" t="str">
        <f t="shared" si="33"/>
        <v>y=-0.184*0.335^2+251.8*0.335-113.39</v>
      </c>
      <c r="AQ125" s="10" t="b">
        <f>IF(AND(I125="TP",S125&lt;=150),VLOOKUP(AF125,TPCalibEq150!$AZ$2:$BB$166,3,),IF(AND(I125="TDP",S125&lt;=150),VLOOKUP(AF125,TPCalibEq150!$AZ$2:$BB$166,3,)))</f>
        <v>0</v>
      </c>
      <c r="AR125" s="10" t="b">
        <f>IF(AND(I125="TP",S125&lt;=300),VLOOKUP(AF125,TPCalibEq300!$AZ$2:$BB$166,3,),IF(AND(I125="TDP",S125&lt;=300),VLOOKUP(AF125,TPCalibEq300!$AZ$2:$BB$166,3,)))</f>
        <v>0</v>
      </c>
      <c r="AS125" s="10" t="b">
        <f>IF(AND(I125="TP",S125&lt;=500),VLOOKUP(AF125,TPCalibEq500!$AZ$2:$BB$165,3,),IF(AND(I125="TDP",S125&lt;=500),VLOOKUP(AF125,TPCalibEq500!$AZ$2:$BB$165,3,)))</f>
        <v>0</v>
      </c>
      <c r="AT125" s="10" t="str">
        <f>IF(AND(I125="TN",S125&lt;=2800),VLOOKUP(AF125,TNCalibEq2500!$AZ$2:$BB$165,3,),IF(AND(I125="TDN",S125&lt;=2800),VLOOKUP(AF125,TNCalibEq2500!$AZ$2:$BB$165,3,)))</f>
        <v>y=-0.1957x2+248.26x-106.67</v>
      </c>
      <c r="AU125" s="10" t="str">
        <f>IF(I125="TP",VLOOKUP(AF125,TPCalibEqFull!$AZ$2:$BB$165,3),IF(I125="TDP",VLOOKUP(AF125,TPCalibEqFull!$AZ$2:$BB$165,3),IF(I125="TDN",VLOOKUP(AF125,TNCalibEqFull!$AZ$2:$BB$164,3),IF(I125="TN",VLOOKUP(AF125,TNCalibEqFull!$AZ$2:$BB$164,3),FALSE))))</f>
        <v>y=-0.184x2+251.8x-113.39</v>
      </c>
      <c r="AV125" s="10" t="str">
        <f t="shared" si="36"/>
        <v>20240727 00:00:00-1000-4-Sh-1-DI-BLK</v>
      </c>
    </row>
    <row r="126" spans="1:48" s="10" customFormat="1" x14ac:dyDescent="0.3">
      <c r="A126" s="32">
        <v>45500</v>
      </c>
      <c r="B126" s="33">
        <v>0</v>
      </c>
      <c r="C126" s="10">
        <v>1000</v>
      </c>
      <c r="D126" s="10">
        <v>4</v>
      </c>
      <c r="E126" s="10" t="s">
        <v>953</v>
      </c>
      <c r="F126" s="10">
        <v>1</v>
      </c>
      <c r="G126" s="10" t="s">
        <v>229</v>
      </c>
      <c r="H126" s="10" t="s">
        <v>320</v>
      </c>
      <c r="I126" s="10" t="s">
        <v>233</v>
      </c>
      <c r="J126" s="10">
        <v>13</v>
      </c>
      <c r="K126" s="12">
        <v>45686</v>
      </c>
      <c r="L126" s="33">
        <v>0.739375</v>
      </c>
      <c r="M126" s="10">
        <v>1</v>
      </c>
      <c r="N126" s="10" t="s">
        <v>194</v>
      </c>
      <c r="O126" s="10">
        <v>1.21</v>
      </c>
      <c r="P126" s="10">
        <v>7.5200000000000003E-2</v>
      </c>
      <c r="Q126" s="10">
        <v>192</v>
      </c>
      <c r="R126" s="10" t="s">
        <v>168</v>
      </c>
      <c r="S126" s="34">
        <f t="shared" si="29"/>
        <v>193.43807562999996</v>
      </c>
      <c r="T126" s="10" t="s">
        <v>958</v>
      </c>
      <c r="U126" s="34" t="str">
        <f t="shared" si="35"/>
        <v/>
      </c>
      <c r="V126" s="31" t="str">
        <f>IF(H126="CHK",VLOOKUP(I126,QCCHK,3,),IF(H126="GUP",VLOOKUP(E126,QCGUP,2,),IF(AND(H126="ATP",OR(I126="TN",I126="TDN",I126="TNO2-3",I126="NO2-3")),VLOOKUP(E126,QCREC_N,2,),IF(AND(H126="NIC",OR(I126="TN",I126="TDN",I126="TNO2-3",I126="NO2-3")),VLOOKUP(E126,QCNIC_N,2,),IF(AND(H126="UREA",OR(I126="TN",I126="TDN",I126="TNO2-3",I126="NO2-3")),VLOOKUP(E126,QCUREA_N,2,),IF(H126="PER",VLOOKUP(I126,QCPER,MATCH(E126,QCACTUAL!$J$25:$AA$25,0),),IF(H126="SPK",VLOOKUP(I126,QCSPK,3,),IF(AND(H126="ATP",OR(I126="TP",I126="TDP")),VLOOKUP(E126,QCATP_P,2,),""))))))))</f>
        <v/>
      </c>
      <c r="W126" s="31" t="str">
        <f t="shared" si="30"/>
        <v>TRUE</v>
      </c>
      <c r="X126" s="31" t="str">
        <f t="shared" si="31"/>
        <v/>
      </c>
      <c r="Y126" s="10" t="s">
        <v>957</v>
      </c>
      <c r="AF126" s="12">
        <v>45686</v>
      </c>
      <c r="AJ126" s="10">
        <f>-0.1957*1.21^2+248.26*1.21-106.67</f>
        <v>193.43807562999996</v>
      </c>
      <c r="AK126" s="10">
        <f>-0.184*1.21^2+251.8*1.21-113.39</f>
        <v>191.0186056</v>
      </c>
      <c r="AL126" s="10" t="str">
        <f t="shared" si="32"/>
        <v>FALSE</v>
      </c>
      <c r="AM126" s="10" t="str">
        <f t="shared" si="32"/>
        <v>FALSE</v>
      </c>
      <c r="AN126" s="10" t="str">
        <f t="shared" si="32"/>
        <v>FALSE</v>
      </c>
      <c r="AO126" s="10" t="str">
        <f t="shared" si="33"/>
        <v>y=-0.1957*1.21^2+248.26*1.21-106.67</v>
      </c>
      <c r="AP126" s="10" t="str">
        <f t="shared" si="33"/>
        <v>y=-0.184*1.21^2+251.8*1.21-113.39</v>
      </c>
      <c r="AQ126" s="10" t="b">
        <f>IF(AND(I126="TP",S126&lt;=150),VLOOKUP(AF126,TPCalibEq150!$AZ$2:$BB$166,3,),IF(AND(I126="TDP",S126&lt;=150),VLOOKUP(AF126,TPCalibEq150!$AZ$2:$BB$166,3,)))</f>
        <v>0</v>
      </c>
      <c r="AR126" s="10" t="b">
        <f>IF(AND(I126="TP",S126&lt;=300),VLOOKUP(AF126,TPCalibEq300!$AZ$2:$BB$166,3,),IF(AND(I126="TDP",S126&lt;=300),VLOOKUP(AF126,TPCalibEq300!$AZ$2:$BB$166,3,)))</f>
        <v>0</v>
      </c>
      <c r="AS126" s="10" t="b">
        <f>IF(AND(I126="TP",S126&lt;=500),VLOOKUP(AF126,TPCalibEq500!$AZ$2:$BB$165,3,),IF(AND(I126="TDP",S126&lt;=500),VLOOKUP(AF126,TPCalibEq500!$AZ$2:$BB$165,3,)))</f>
        <v>0</v>
      </c>
      <c r="AT126" s="10" t="str">
        <f>IF(AND(I126="TN",S126&lt;=2800),VLOOKUP(AF126,TNCalibEq2500!$AZ$2:$BB$165,3,),IF(AND(I126="TDN",S126&lt;=2800),VLOOKUP(AF126,TNCalibEq2500!$AZ$2:$BB$165,3,)))</f>
        <v>y=-0.1957x2+248.26x-106.67</v>
      </c>
      <c r="AU126" s="10" t="str">
        <f>IF(I126="TP",VLOOKUP(AF126,TPCalibEqFull!$AZ$2:$BB$165,3),IF(I126="TDP",VLOOKUP(AF126,TPCalibEqFull!$AZ$2:$BB$165,3),IF(I126="TDN",VLOOKUP(AF126,TNCalibEqFull!$AZ$2:$BB$164,3),IF(I126="TN",VLOOKUP(AF126,TNCalibEqFull!$AZ$2:$BB$164,3),FALSE))))</f>
        <v>y=-0.184x2+251.8x-113.39</v>
      </c>
      <c r="AV126" s="10" t="str">
        <f t="shared" si="36"/>
        <v>20240727 00:00:00-1000-4-Sh-1-SW-UKN</v>
      </c>
    </row>
    <row r="127" spans="1:48" s="10" customFormat="1" x14ac:dyDescent="0.3">
      <c r="A127" s="32">
        <v>45500</v>
      </c>
      <c r="B127" s="33">
        <v>0</v>
      </c>
      <c r="C127" s="10">
        <v>1000</v>
      </c>
      <c r="D127" s="10">
        <v>4</v>
      </c>
      <c r="E127" s="10" t="s">
        <v>953</v>
      </c>
      <c r="F127" s="10">
        <v>2</v>
      </c>
      <c r="G127" s="10" t="s">
        <v>229</v>
      </c>
      <c r="H127" s="10" t="s">
        <v>320</v>
      </c>
      <c r="I127" s="10" t="s">
        <v>233</v>
      </c>
      <c r="J127" s="10">
        <v>14</v>
      </c>
      <c r="K127" s="12">
        <v>45686</v>
      </c>
      <c r="L127" s="33">
        <v>0.74003472222222222</v>
      </c>
      <c r="M127" s="10">
        <v>1</v>
      </c>
      <c r="N127" s="10" t="s">
        <v>194</v>
      </c>
      <c r="O127" s="10">
        <v>1.39</v>
      </c>
      <c r="P127" s="10">
        <v>8.77E-2</v>
      </c>
      <c r="Q127" s="10">
        <v>238</v>
      </c>
      <c r="R127" s="10" t="s">
        <v>168</v>
      </c>
      <c r="S127" s="34">
        <f t="shared" si="29"/>
        <v>238.03328802999994</v>
      </c>
      <c r="T127" s="10" t="s">
        <v>958</v>
      </c>
      <c r="U127" s="34" t="str">
        <f t="shared" si="35"/>
        <v/>
      </c>
      <c r="V127" s="31" t="str">
        <f>IF(H127="CHK",VLOOKUP(I127,QCCHK,3,),IF(H127="GUP",VLOOKUP(E127,QCGUP,2,),IF(AND(H127="ATP",OR(I127="TN",I127="TDN",I127="TNO2-3",I127="NO2-3")),VLOOKUP(E127,QCREC_N,2,),IF(AND(H127="NIC",OR(I127="TN",I127="TDN",I127="TNO2-3",I127="NO2-3")),VLOOKUP(E127,QCNIC_N,2,),IF(AND(H127="UREA",OR(I127="TN",I127="TDN",I127="TNO2-3",I127="NO2-3")),VLOOKUP(E127,QCUREA_N,2,),IF(H127="PER",VLOOKUP(I127,QCPER,MATCH(E127,QCACTUAL!$J$25:$AA$25,0),),IF(H127="SPK",VLOOKUP(I127,QCSPK,3,),IF(AND(H127="ATP",OR(I127="TP",I127="TDP")),VLOOKUP(E127,QCATP_P,2,),""))))))))</f>
        <v/>
      </c>
      <c r="W127" s="31" t="str">
        <f t="shared" si="30"/>
        <v>TRUE</v>
      </c>
      <c r="X127" s="31" t="str">
        <f t="shared" si="31"/>
        <v/>
      </c>
      <c r="Y127" s="10" t="s">
        <v>957</v>
      </c>
      <c r="AF127" s="12">
        <v>45686</v>
      </c>
      <c r="AJ127" s="10">
        <f>-0.1957*1.39^2+248.26*1.39-106.67</f>
        <v>238.03328802999994</v>
      </c>
      <c r="AK127" s="10">
        <f>-0.184*1.39^2+251.8*1.39-113.39</f>
        <v>236.2564936</v>
      </c>
      <c r="AL127" s="10" t="str">
        <f t="shared" si="32"/>
        <v>FALSE</v>
      </c>
      <c r="AM127" s="10" t="str">
        <f t="shared" si="32"/>
        <v>FALSE</v>
      </c>
      <c r="AN127" s="10" t="str">
        <f t="shared" si="32"/>
        <v>FALSE</v>
      </c>
      <c r="AO127" s="10" t="str">
        <f t="shared" si="33"/>
        <v>y=-0.1957*1.39^2+248.26*1.39-106.67</v>
      </c>
      <c r="AP127" s="10" t="str">
        <f t="shared" si="33"/>
        <v>y=-0.184*1.39^2+251.8*1.39-113.39</v>
      </c>
      <c r="AQ127" s="10" t="b">
        <f>IF(AND(I127="TP",S127&lt;=150),VLOOKUP(AF127,TPCalibEq150!$AZ$2:$BB$166,3,),IF(AND(I127="TDP",S127&lt;=150),VLOOKUP(AF127,TPCalibEq150!$AZ$2:$BB$166,3,)))</f>
        <v>0</v>
      </c>
      <c r="AR127" s="10" t="b">
        <f>IF(AND(I127="TP",S127&lt;=300),VLOOKUP(AF127,TPCalibEq300!$AZ$2:$BB$166,3,),IF(AND(I127="TDP",S127&lt;=300),VLOOKUP(AF127,TPCalibEq300!$AZ$2:$BB$166,3,)))</f>
        <v>0</v>
      </c>
      <c r="AS127" s="10" t="b">
        <f>IF(AND(I127="TP",S127&lt;=500),VLOOKUP(AF127,TPCalibEq500!$AZ$2:$BB$165,3,),IF(AND(I127="TDP",S127&lt;=500),VLOOKUP(AF127,TPCalibEq500!$AZ$2:$BB$165,3,)))</f>
        <v>0</v>
      </c>
      <c r="AT127" s="10" t="str">
        <f>IF(AND(I127="TN",S127&lt;=2800),VLOOKUP(AF127,TNCalibEq2500!$AZ$2:$BB$165,3,),IF(AND(I127="TDN",S127&lt;=2800),VLOOKUP(AF127,TNCalibEq2500!$AZ$2:$BB$165,3,)))</f>
        <v>y=-0.1957x2+248.26x-106.67</v>
      </c>
      <c r="AU127" s="10" t="str">
        <f>IF(I127="TP",VLOOKUP(AF127,TPCalibEqFull!$AZ$2:$BB$165,3),IF(I127="TDP",VLOOKUP(AF127,TPCalibEqFull!$AZ$2:$BB$165,3),IF(I127="TDN",VLOOKUP(AF127,TNCalibEqFull!$AZ$2:$BB$164,3),IF(I127="TN",VLOOKUP(AF127,TNCalibEqFull!$AZ$2:$BB$164,3),FALSE))))</f>
        <v>y=-0.184x2+251.8x-113.39</v>
      </c>
      <c r="AV127" s="10" t="str">
        <f t="shared" si="36"/>
        <v>20240727 00:00:00-1000-4-Sh-2-SW-UKN</v>
      </c>
    </row>
    <row r="128" spans="1:48" s="10" customFormat="1" x14ac:dyDescent="0.3">
      <c r="A128" s="32">
        <v>45500</v>
      </c>
      <c r="B128" s="33">
        <v>0</v>
      </c>
      <c r="C128" s="10">
        <v>1000</v>
      </c>
      <c r="D128" s="10">
        <v>4</v>
      </c>
      <c r="E128" s="10" t="s">
        <v>954</v>
      </c>
      <c r="F128" s="10">
        <v>1</v>
      </c>
      <c r="G128" s="10" t="s">
        <v>229</v>
      </c>
      <c r="H128" s="10" t="s">
        <v>320</v>
      </c>
      <c r="I128" s="10" t="s">
        <v>233</v>
      </c>
      <c r="J128" s="10">
        <v>15</v>
      </c>
      <c r="K128" s="12">
        <v>45686</v>
      </c>
      <c r="L128" s="33">
        <v>0.74069444444444443</v>
      </c>
      <c r="M128" s="10">
        <v>1</v>
      </c>
      <c r="N128" s="10" t="s">
        <v>194</v>
      </c>
      <c r="O128" s="10">
        <v>1.41</v>
      </c>
      <c r="P128" s="10">
        <v>8.8499999999999995E-2</v>
      </c>
      <c r="Q128" s="10">
        <v>244</v>
      </c>
      <c r="R128" s="10" t="s">
        <v>168</v>
      </c>
      <c r="S128" s="34">
        <f t="shared" si="29"/>
        <v>244</v>
      </c>
      <c r="T128" s="10" t="s">
        <v>958</v>
      </c>
      <c r="U128" s="34" t="str">
        <f t="shared" si="35"/>
        <v/>
      </c>
      <c r="V128" s="31" t="str">
        <f>IF(H128="CHK",VLOOKUP(I128,QCCHK,3,),IF(H128="GUP",VLOOKUP(E128,QCGUP,2,),IF(AND(H128="ATP",OR(I128="TN",I128="TDN",I128="TNO2-3",I128="NO2-3")),VLOOKUP(E128,QCREC_N,2,),IF(AND(H128="NIC",OR(I128="TN",I128="TDN",I128="TNO2-3",I128="NO2-3")),VLOOKUP(E128,QCNIC_N,2,),IF(AND(H128="UREA",OR(I128="TN",I128="TDN",I128="TNO2-3",I128="NO2-3")),VLOOKUP(E128,QCUREA_N,2,),IF(H128="PER",VLOOKUP(I128,QCPER,MATCH(E128,QCACTUAL!$J$25:$AA$25,0),),IF(H128="SPK",VLOOKUP(I128,QCSPK,3,),IF(AND(H128="ATP",OR(I128="TP",I128="TDP")),VLOOKUP(E128,QCATP_P,2,),""))))))))</f>
        <v/>
      </c>
      <c r="W128" s="31" t="str">
        <f t="shared" si="30"/>
        <v>TRUE</v>
      </c>
      <c r="X128" s="31" t="str">
        <f t="shared" si="31"/>
        <v/>
      </c>
      <c r="Y128" s="10" t="s">
        <v>957</v>
      </c>
      <c r="AF128" s="12">
        <v>45686</v>
      </c>
      <c r="AJ128" s="10">
        <f>-0.1957*1.41^2+248.26*1.41-106.67</f>
        <v>242.98752882999992</v>
      </c>
      <c r="AK128" s="10">
        <f>-0.184*1.41^2+251.8*1.41-113.39</f>
        <v>241.28218960000004</v>
      </c>
      <c r="AL128" s="10" t="str">
        <f t="shared" si="32"/>
        <v>FALSE</v>
      </c>
      <c r="AM128" s="10" t="str">
        <f t="shared" si="32"/>
        <v>FALSE</v>
      </c>
      <c r="AN128" s="10" t="str">
        <f t="shared" si="32"/>
        <v>FALSE</v>
      </c>
      <c r="AO128" s="10" t="str">
        <f t="shared" si="33"/>
        <v>y=-0.1957*1.41^2+248.26*1.41-106.67</v>
      </c>
      <c r="AP128" s="10" t="str">
        <f t="shared" si="33"/>
        <v>y=-0.184*1.41^2+251.8*1.41-113.39</v>
      </c>
      <c r="AQ128" s="10" t="b">
        <f>IF(AND(I128="TP",S128&lt;=150),VLOOKUP(AF128,TPCalibEq150!$AZ$2:$BB$166,3,),IF(AND(I128="TDP",S128&lt;=150),VLOOKUP(AF128,TPCalibEq150!$AZ$2:$BB$166,3,)))</f>
        <v>0</v>
      </c>
      <c r="AR128" s="10" t="b">
        <f>IF(AND(I128="TP",S128&lt;=300),VLOOKUP(AF128,TPCalibEq300!$AZ$2:$BB$166,3,),IF(AND(I128="TDP",S128&lt;=300),VLOOKUP(AF128,TPCalibEq300!$AZ$2:$BB$166,3,)))</f>
        <v>0</v>
      </c>
      <c r="AS128" s="10" t="b">
        <f>IF(AND(I128="TP",S128&lt;=500),VLOOKUP(AF128,TPCalibEq500!$AZ$2:$BB$165,3,),IF(AND(I128="TDP",S128&lt;=500),VLOOKUP(AF128,TPCalibEq500!$AZ$2:$BB$165,3,)))</f>
        <v>0</v>
      </c>
      <c r="AT128" s="10" t="str">
        <f>IF(AND(I128="TN",S128&lt;=2800),VLOOKUP(AF128,TNCalibEq2500!$AZ$2:$BB$165,3,),IF(AND(I128="TDN",S128&lt;=2800),VLOOKUP(AF128,TNCalibEq2500!$AZ$2:$BB$165,3,)))</f>
        <v>y=-0.1957x2+248.26x-106.67</v>
      </c>
      <c r="AU128" s="10" t="str">
        <f>IF(I128="TP",VLOOKUP(AF128,TPCalibEqFull!$AZ$2:$BB$165,3),IF(I128="TDP",VLOOKUP(AF128,TPCalibEqFull!$AZ$2:$BB$165,3),IF(I128="TDN",VLOOKUP(AF128,TNCalibEqFull!$AZ$2:$BB$164,3),IF(I128="TN",VLOOKUP(AF128,TNCalibEqFull!$AZ$2:$BB$164,3),FALSE))))</f>
        <v>y=-0.184x2+251.8x-113.39</v>
      </c>
      <c r="AV128" s="10" t="str">
        <f t="shared" si="36"/>
        <v>20240727 00:00:00-1000-4-Dp-1-SW-UKN</v>
      </c>
    </row>
    <row r="129" spans="1:48" s="10" customFormat="1" x14ac:dyDescent="0.3">
      <c r="A129" s="32">
        <v>45507</v>
      </c>
      <c r="B129" s="33">
        <v>0</v>
      </c>
      <c r="C129" s="10">
        <v>1000</v>
      </c>
      <c r="D129" s="10">
        <v>9</v>
      </c>
      <c r="E129" s="10" t="s">
        <v>953</v>
      </c>
      <c r="F129" s="10">
        <v>1</v>
      </c>
      <c r="G129" s="10" t="s">
        <v>72</v>
      </c>
      <c r="H129" s="10" t="s">
        <v>239</v>
      </c>
      <c r="I129" s="10" t="s">
        <v>233</v>
      </c>
      <c r="J129" s="10">
        <v>16</v>
      </c>
      <c r="K129" s="12">
        <v>45686</v>
      </c>
      <c r="L129" s="33">
        <v>0.74137731481481473</v>
      </c>
      <c r="M129" s="10">
        <v>1</v>
      </c>
      <c r="N129" s="10" t="s">
        <v>194</v>
      </c>
      <c r="O129" s="10">
        <v>0.47</v>
      </c>
      <c r="P129" s="10">
        <v>2.93E-2</v>
      </c>
      <c r="Q129" s="10">
        <v>9.44</v>
      </c>
      <c r="R129" s="10" t="s">
        <v>168</v>
      </c>
      <c r="S129" s="34">
        <f t="shared" si="29"/>
        <v>9.9689698699999951</v>
      </c>
      <c r="T129" s="10" t="s">
        <v>958</v>
      </c>
      <c r="U129" s="34" t="str">
        <f t="shared" si="35"/>
        <v/>
      </c>
      <c r="V129" s="31" t="str">
        <f>IF(H129="CHK",VLOOKUP(I129,QCCHK,3,),IF(H129="GUP",VLOOKUP(E129,QCGUP,2,),IF(AND(H129="ATP",OR(I129="TN",I129="TDN",I129="TNO2-3",I129="NO2-3")),VLOOKUP(E129,QCREC_N,2,),IF(AND(H129="NIC",OR(I129="TN",I129="TDN",I129="TNO2-3",I129="NO2-3")),VLOOKUP(E129,QCNIC_N,2,),IF(AND(H129="UREA",OR(I129="TN",I129="TDN",I129="TNO2-3",I129="NO2-3")),VLOOKUP(E129,QCUREA_N,2,),IF(H129="PER",VLOOKUP(I129,QCPER,MATCH(E129,QCACTUAL!$J$25:$AA$25,0),),IF(H129="SPK",VLOOKUP(I129,QCSPK,3,),IF(AND(H129="ATP",OR(I129="TP",I129="TDP")),VLOOKUP(E129,QCATP_P,2,),""))))))))</f>
        <v/>
      </c>
      <c r="W129" s="31" t="str">
        <f t="shared" si="30"/>
        <v>TRUE</v>
      </c>
      <c r="X129" s="31" t="str">
        <f t="shared" si="31"/>
        <v/>
      </c>
      <c r="Y129" s="10" t="s">
        <v>957</v>
      </c>
      <c r="AF129" s="12">
        <v>45686</v>
      </c>
      <c r="AJ129" s="10">
        <f>-0.1957*0.47^2+248.26*0.47-106.67</f>
        <v>9.9689698699999951</v>
      </c>
      <c r="AK129" s="10">
        <f>-0.184*0.47^2+251.8*0.47-113.39</f>
        <v>4.9153543999999982</v>
      </c>
      <c r="AL129" s="10" t="str">
        <f t="shared" si="32"/>
        <v>FALSE</v>
      </c>
      <c r="AM129" s="10" t="str">
        <f t="shared" si="32"/>
        <v>FALSE</v>
      </c>
      <c r="AN129" s="10" t="str">
        <f t="shared" si="32"/>
        <v>FALSE</v>
      </c>
      <c r="AO129" s="10" t="str">
        <f t="shared" si="33"/>
        <v>y=-0.1957*0.47^2+248.26*0.47-106.67</v>
      </c>
      <c r="AP129" s="10" t="str">
        <f t="shared" si="33"/>
        <v>y=-0.184*0.47^2+251.8*0.47-113.39</v>
      </c>
      <c r="AQ129" s="10" t="b">
        <f>IF(AND(I129="TP",S129&lt;=150),VLOOKUP(AF129,TPCalibEq150!$AZ$2:$BB$166,3,),IF(AND(I129="TDP",S129&lt;=150),VLOOKUP(AF129,TPCalibEq150!$AZ$2:$BB$166,3,)))</f>
        <v>0</v>
      </c>
      <c r="AR129" s="10" t="b">
        <f>IF(AND(I129="TP",S129&lt;=300),VLOOKUP(AF129,TPCalibEq300!$AZ$2:$BB$166,3,),IF(AND(I129="TDP",S129&lt;=300),VLOOKUP(AF129,TPCalibEq300!$AZ$2:$BB$166,3,)))</f>
        <v>0</v>
      </c>
      <c r="AS129" s="10" t="b">
        <f>IF(AND(I129="TP",S129&lt;=500),VLOOKUP(AF129,TPCalibEq500!$AZ$2:$BB$165,3,),IF(AND(I129="TDP",S129&lt;=500),VLOOKUP(AF129,TPCalibEq500!$AZ$2:$BB$165,3,)))</f>
        <v>0</v>
      </c>
      <c r="AT129" s="10" t="str">
        <f>IF(AND(I129="TN",S129&lt;=2800),VLOOKUP(AF129,TNCalibEq2500!$AZ$2:$BB$165,3,),IF(AND(I129="TDN",S129&lt;=2800),VLOOKUP(AF129,TNCalibEq2500!$AZ$2:$BB$165,3,)))</f>
        <v>y=-0.1957x2+248.26x-106.67</v>
      </c>
      <c r="AU129" s="10" t="str">
        <f>IF(I129="TP",VLOOKUP(AF129,TPCalibEqFull!$AZ$2:$BB$165,3),IF(I129="TDP",VLOOKUP(AF129,TPCalibEqFull!$AZ$2:$BB$165,3),IF(I129="TDN",VLOOKUP(AF129,TNCalibEqFull!$AZ$2:$BB$164,3),IF(I129="TN",VLOOKUP(AF129,TNCalibEqFull!$AZ$2:$BB$164,3),FALSE))))</f>
        <v>y=-0.184x2+251.8x-113.39</v>
      </c>
      <c r="AV129" s="10" t="str">
        <f t="shared" si="36"/>
        <v>20240803 00:00:00-1000-9-Sh-1-DI-BLK</v>
      </c>
    </row>
    <row r="130" spans="1:48" s="10" customFormat="1" x14ac:dyDescent="0.3">
      <c r="A130" s="32">
        <v>45507</v>
      </c>
      <c r="B130" s="33">
        <v>0</v>
      </c>
      <c r="C130" s="10">
        <v>1000</v>
      </c>
      <c r="D130" s="10">
        <v>9</v>
      </c>
      <c r="E130" s="10" t="s">
        <v>953</v>
      </c>
      <c r="F130" s="10">
        <v>1</v>
      </c>
      <c r="G130" s="10" t="s">
        <v>229</v>
      </c>
      <c r="H130" s="10" t="s">
        <v>320</v>
      </c>
      <c r="I130" s="10" t="s">
        <v>233</v>
      </c>
      <c r="J130" s="10">
        <v>17</v>
      </c>
      <c r="K130" s="12">
        <v>45686</v>
      </c>
      <c r="L130" s="33">
        <v>0.74204861111111109</v>
      </c>
      <c r="M130" s="10">
        <v>1</v>
      </c>
      <c r="N130" s="10" t="s">
        <v>194</v>
      </c>
      <c r="O130" s="10">
        <v>1.55</v>
      </c>
      <c r="P130" s="10">
        <v>9.6500000000000002E-2</v>
      </c>
      <c r="Q130" s="10">
        <v>276</v>
      </c>
      <c r="R130" s="10" t="s">
        <v>168</v>
      </c>
      <c r="S130" s="34">
        <f t="shared" si="29"/>
        <v>277.66283074999996</v>
      </c>
      <c r="T130" s="10" t="s">
        <v>958</v>
      </c>
      <c r="U130" s="34" t="str">
        <f t="shared" si="35"/>
        <v/>
      </c>
      <c r="V130" s="31" t="str">
        <f>IF(H130="CHK",VLOOKUP(I130,QCCHK,3,),IF(H130="GUP",VLOOKUP(E130,QCGUP,2,),IF(AND(H130="ATP",OR(I130="TN",I130="TDN",I130="TNO2-3",I130="NO2-3")),VLOOKUP(E130,QCREC_N,2,),IF(AND(H130="NIC",OR(I130="TN",I130="TDN",I130="TNO2-3",I130="NO2-3")),VLOOKUP(E130,QCNIC_N,2,),IF(AND(H130="UREA",OR(I130="TN",I130="TDN",I130="TNO2-3",I130="NO2-3")),VLOOKUP(E130,QCUREA_N,2,),IF(H130="PER",VLOOKUP(I130,QCPER,MATCH(E130,QCACTUAL!$J$25:$AA$25,0),),IF(H130="SPK",VLOOKUP(I130,QCSPK,3,),IF(AND(H130="ATP",OR(I130="TP",I130="TDP")),VLOOKUP(E130,QCATP_P,2,),""))))))))</f>
        <v/>
      </c>
      <c r="W130" s="31" t="str">
        <f t="shared" si="30"/>
        <v>TRUE</v>
      </c>
      <c r="X130" s="31" t="str">
        <f t="shared" si="31"/>
        <v/>
      </c>
      <c r="Y130" s="10" t="s">
        <v>957</v>
      </c>
      <c r="AF130" s="12">
        <v>45686</v>
      </c>
      <c r="AJ130" s="10">
        <f>-0.1957*1.55^2+248.26*1.55-106.67</f>
        <v>277.66283074999996</v>
      </c>
      <c r="AK130" s="10">
        <f>-0.184*1.55^2+251.8*1.55-113.39</f>
        <v>276.45794000000001</v>
      </c>
      <c r="AL130" s="10" t="str">
        <f t="shared" si="32"/>
        <v>FALSE</v>
      </c>
      <c r="AM130" s="10" t="str">
        <f t="shared" si="32"/>
        <v>FALSE</v>
      </c>
      <c r="AN130" s="10" t="str">
        <f t="shared" si="32"/>
        <v>FALSE</v>
      </c>
      <c r="AO130" s="10" t="str">
        <f t="shared" si="33"/>
        <v>y=-0.1957*1.55^2+248.26*1.55-106.67</v>
      </c>
      <c r="AP130" s="10" t="str">
        <f t="shared" si="33"/>
        <v>y=-0.184*1.55^2+251.8*1.55-113.39</v>
      </c>
      <c r="AQ130" s="10" t="b">
        <f>IF(AND(I130="TP",S130&lt;=150),VLOOKUP(AF130,TPCalibEq150!$AZ$2:$BB$166,3,),IF(AND(I130="TDP",S130&lt;=150),VLOOKUP(AF130,TPCalibEq150!$AZ$2:$BB$166,3,)))</f>
        <v>0</v>
      </c>
      <c r="AR130" s="10" t="b">
        <f>IF(AND(I130="TP",S130&lt;=300),VLOOKUP(AF130,TPCalibEq300!$AZ$2:$BB$166,3,),IF(AND(I130="TDP",S130&lt;=300),VLOOKUP(AF130,TPCalibEq300!$AZ$2:$BB$166,3,)))</f>
        <v>0</v>
      </c>
      <c r="AS130" s="10" t="b">
        <f>IF(AND(I130="TP",S130&lt;=500),VLOOKUP(AF130,TPCalibEq500!$AZ$2:$BB$165,3,),IF(AND(I130="TDP",S130&lt;=500),VLOOKUP(AF130,TPCalibEq500!$AZ$2:$BB$165,3,)))</f>
        <v>0</v>
      </c>
      <c r="AT130" s="10" t="str">
        <f>IF(AND(I130="TN",S130&lt;=2800),VLOOKUP(AF130,TNCalibEq2500!$AZ$2:$BB$165,3,),IF(AND(I130="TDN",S130&lt;=2800),VLOOKUP(AF130,TNCalibEq2500!$AZ$2:$BB$165,3,)))</f>
        <v>y=-0.1957x2+248.26x-106.67</v>
      </c>
      <c r="AU130" s="10" t="str">
        <f>IF(I130="TP",VLOOKUP(AF130,TPCalibEqFull!$AZ$2:$BB$165,3),IF(I130="TDP",VLOOKUP(AF130,TPCalibEqFull!$AZ$2:$BB$165,3),IF(I130="TDN",VLOOKUP(AF130,TNCalibEqFull!$AZ$2:$BB$164,3),IF(I130="TN",VLOOKUP(AF130,TNCalibEqFull!$AZ$2:$BB$164,3),FALSE))))</f>
        <v>y=-0.184x2+251.8x-113.39</v>
      </c>
      <c r="AV130" s="10" t="str">
        <f t="shared" si="36"/>
        <v>20240803 00:00:00-1000-9-Sh-1-SW-UKN</v>
      </c>
    </row>
    <row r="131" spans="1:48" s="10" customFormat="1" x14ac:dyDescent="0.3">
      <c r="A131" s="32">
        <v>45507</v>
      </c>
      <c r="B131" s="33">
        <v>0</v>
      </c>
      <c r="C131" s="10">
        <v>1000</v>
      </c>
      <c r="D131" s="10">
        <v>9</v>
      </c>
      <c r="E131" s="10" t="s">
        <v>953</v>
      </c>
      <c r="F131" s="10">
        <v>2</v>
      </c>
      <c r="G131" s="10" t="s">
        <v>229</v>
      </c>
      <c r="H131" s="10" t="s">
        <v>320</v>
      </c>
      <c r="I131" s="10" t="s">
        <v>233</v>
      </c>
      <c r="J131" s="10">
        <v>18</v>
      </c>
      <c r="K131" s="12">
        <v>45686</v>
      </c>
      <c r="L131" s="33">
        <v>0.74273148148148149</v>
      </c>
      <c r="M131" s="10">
        <v>1</v>
      </c>
      <c r="N131" s="10" t="s">
        <v>194</v>
      </c>
      <c r="O131" s="10">
        <v>1.52</v>
      </c>
      <c r="P131" s="10">
        <v>9.8799999999999999E-2</v>
      </c>
      <c r="Q131" s="10">
        <v>271</v>
      </c>
      <c r="R131" s="10" t="s">
        <v>168</v>
      </c>
      <c r="S131" s="34">
        <f t="shared" si="29"/>
        <v>271</v>
      </c>
      <c r="T131" s="10" t="s">
        <v>958</v>
      </c>
      <c r="U131" s="34" t="str">
        <f t="shared" si="35"/>
        <v/>
      </c>
      <c r="V131" s="31" t="str">
        <f>IF(H131="CHK",VLOOKUP(I131,QCCHK,3,),IF(H131="GUP",VLOOKUP(E131,QCGUP,2,),IF(AND(H131="ATP",OR(I131="TN",I131="TDN",I131="TNO2-3",I131="NO2-3")),VLOOKUP(E131,QCREC_N,2,),IF(AND(H131="NIC",OR(I131="TN",I131="TDN",I131="TNO2-3",I131="NO2-3")),VLOOKUP(E131,QCNIC_N,2,),IF(AND(H131="UREA",OR(I131="TN",I131="TDN",I131="TNO2-3",I131="NO2-3")),VLOOKUP(E131,QCUREA_N,2,),IF(H131="PER",VLOOKUP(I131,QCPER,MATCH(E131,QCACTUAL!$J$25:$AA$25,0),),IF(H131="SPK",VLOOKUP(I131,QCSPK,3,),IF(AND(H131="ATP",OR(I131="TP",I131="TDP")),VLOOKUP(E131,QCATP_P,2,),""))))))))</f>
        <v/>
      </c>
      <c r="W131" s="31" t="str">
        <f t="shared" si="30"/>
        <v>TRUE</v>
      </c>
      <c r="X131" s="31" t="str">
        <f t="shared" si="31"/>
        <v/>
      </c>
      <c r="Y131" s="10" t="s">
        <v>957</v>
      </c>
      <c r="AF131" s="12">
        <v>45686</v>
      </c>
      <c r="AJ131" s="10">
        <f>-0.1957*1.52^2+248.26*1.52-106.67</f>
        <v>270.23305471999993</v>
      </c>
      <c r="AK131" s="10">
        <f>-0.184*1.52^2+251.8*1.52-113.39</f>
        <v>268.92088640000009</v>
      </c>
      <c r="AL131" s="10" t="str">
        <f t="shared" si="32"/>
        <v>FALSE</v>
      </c>
      <c r="AM131" s="10" t="str">
        <f t="shared" si="32"/>
        <v>FALSE</v>
      </c>
      <c r="AN131" s="10" t="str">
        <f t="shared" si="32"/>
        <v>FALSE</v>
      </c>
      <c r="AO131" s="10" t="str">
        <f t="shared" si="33"/>
        <v>y=-0.1957*1.52^2+248.26*1.52-106.67</v>
      </c>
      <c r="AP131" s="10" t="str">
        <f t="shared" si="33"/>
        <v>y=-0.184*1.52^2+251.8*1.52-113.39</v>
      </c>
      <c r="AQ131" s="10" t="b">
        <f>IF(AND(I131="TP",S131&lt;=150),VLOOKUP(AF131,TPCalibEq150!$AZ$2:$BB$166,3,),IF(AND(I131="TDP",S131&lt;=150),VLOOKUP(AF131,TPCalibEq150!$AZ$2:$BB$166,3,)))</f>
        <v>0</v>
      </c>
      <c r="AR131" s="10" t="b">
        <f>IF(AND(I131="TP",S131&lt;=300),VLOOKUP(AF131,TPCalibEq300!$AZ$2:$BB$166,3,),IF(AND(I131="TDP",S131&lt;=300),VLOOKUP(AF131,TPCalibEq300!$AZ$2:$BB$166,3,)))</f>
        <v>0</v>
      </c>
      <c r="AS131" s="10" t="b">
        <f>IF(AND(I131="TP",S131&lt;=500),VLOOKUP(AF131,TPCalibEq500!$AZ$2:$BB$165,3,),IF(AND(I131="TDP",S131&lt;=500),VLOOKUP(AF131,TPCalibEq500!$AZ$2:$BB$165,3,)))</f>
        <v>0</v>
      </c>
      <c r="AT131" s="10" t="str">
        <f>IF(AND(I131="TN",S131&lt;=2800),VLOOKUP(AF131,TNCalibEq2500!$AZ$2:$BB$165,3,),IF(AND(I131="TDN",S131&lt;=2800),VLOOKUP(AF131,TNCalibEq2500!$AZ$2:$BB$165,3,)))</f>
        <v>y=-0.1957x2+248.26x-106.67</v>
      </c>
      <c r="AU131" s="10" t="str">
        <f>IF(I131="TP",VLOOKUP(AF131,TPCalibEqFull!$AZ$2:$BB$165,3),IF(I131="TDP",VLOOKUP(AF131,TPCalibEqFull!$AZ$2:$BB$165,3),IF(I131="TDN",VLOOKUP(AF131,TNCalibEqFull!$AZ$2:$BB$164,3),IF(I131="TN",VLOOKUP(AF131,TNCalibEqFull!$AZ$2:$BB$164,3),FALSE))))</f>
        <v>y=-0.184x2+251.8x-113.39</v>
      </c>
      <c r="AV131" s="10" t="str">
        <f t="shared" si="36"/>
        <v>20240803 00:00:00-1000-9-Sh-2-SW-UKN</v>
      </c>
    </row>
    <row r="132" spans="1:48" s="10" customFormat="1" x14ac:dyDescent="0.3">
      <c r="A132" s="32">
        <v>45507</v>
      </c>
      <c r="B132" s="33">
        <v>0</v>
      </c>
      <c r="C132" s="10">
        <v>1000</v>
      </c>
      <c r="D132" s="10">
        <v>9</v>
      </c>
      <c r="E132" s="10" t="s">
        <v>954</v>
      </c>
      <c r="F132" s="10">
        <v>1</v>
      </c>
      <c r="G132" s="10" t="s">
        <v>229</v>
      </c>
      <c r="H132" s="10" t="s">
        <v>320</v>
      </c>
      <c r="I132" s="10" t="s">
        <v>233</v>
      </c>
      <c r="J132" s="10">
        <v>19</v>
      </c>
      <c r="K132" s="12">
        <v>45686</v>
      </c>
      <c r="L132" s="33">
        <v>0.74340277777777775</v>
      </c>
      <c r="M132" s="10">
        <v>1</v>
      </c>
      <c r="N132" s="10" t="s">
        <v>194</v>
      </c>
      <c r="O132" s="10">
        <v>9.43</v>
      </c>
      <c r="P132" s="10">
        <v>0.59499999999999997</v>
      </c>
      <c r="Q132" s="10">
        <v>2230</v>
      </c>
      <c r="R132" s="10" t="s">
        <v>168</v>
      </c>
      <c r="S132" s="34">
        <f t="shared" si="29"/>
        <v>2244.7218184000003</v>
      </c>
      <c r="T132" s="10" t="s">
        <v>958</v>
      </c>
      <c r="U132" s="34" t="str">
        <f t="shared" si="35"/>
        <v/>
      </c>
      <c r="V132" s="31" t="str">
        <f>IF(H132="CHK",VLOOKUP(I132,QCCHK,3,),IF(H132="GUP",VLOOKUP(E132,QCGUP,2,),IF(AND(H132="ATP",OR(I132="TN",I132="TDN",I132="TNO2-3",I132="NO2-3")),VLOOKUP(E132,QCREC_N,2,),IF(AND(H132="NIC",OR(I132="TN",I132="TDN",I132="TNO2-3",I132="NO2-3")),VLOOKUP(E132,QCNIC_N,2,),IF(AND(H132="UREA",OR(I132="TN",I132="TDN",I132="TNO2-3",I132="NO2-3")),VLOOKUP(E132,QCUREA_N,2,),IF(H132="PER",VLOOKUP(I132,QCPER,MATCH(E132,QCACTUAL!$J$25:$AA$25,0),),IF(H132="SPK",VLOOKUP(I132,QCSPK,3,),IF(AND(H132="ATP",OR(I132="TP",I132="TDP")),VLOOKUP(E132,QCATP_P,2,),""))))))))</f>
        <v/>
      </c>
      <c r="W132" s="31" t="str">
        <f t="shared" si="30"/>
        <v>TRUE</v>
      </c>
      <c r="X132" s="31" t="str">
        <f t="shared" si="31"/>
        <v/>
      </c>
      <c r="Y132" s="10" t="s">
        <v>957</v>
      </c>
      <c r="AF132" s="12">
        <v>45686</v>
      </c>
      <c r="AJ132" s="10">
        <f>-0.1957*9.43^2+248.26*9.43-106.67</f>
        <v>2217.0191970699998</v>
      </c>
      <c r="AK132" s="10">
        <f>-0.184*9.43^2+251.8*9.43-113.39</f>
        <v>2244.7218184000003</v>
      </c>
      <c r="AL132" s="10" t="str">
        <f t="shared" si="32"/>
        <v>FALSE</v>
      </c>
      <c r="AM132" s="10" t="str">
        <f t="shared" si="32"/>
        <v>FALSE</v>
      </c>
      <c r="AN132" s="10" t="str">
        <f t="shared" si="32"/>
        <v>FALSE</v>
      </c>
      <c r="AO132" s="10" t="str">
        <f t="shared" si="33"/>
        <v>y=-0.1957*9.43^2+248.26*9.43-106.67</v>
      </c>
      <c r="AP132" s="10" t="str">
        <f t="shared" si="33"/>
        <v>y=-0.184*9.43^2+251.8*9.43-113.39</v>
      </c>
      <c r="AQ132" s="10" t="b">
        <f>IF(AND(I132="TP",S132&lt;=150),VLOOKUP(AF132,TPCalibEq150!$AZ$2:$BB$166,3,),IF(AND(I132="TDP",S132&lt;=150),VLOOKUP(AF132,TPCalibEq150!$AZ$2:$BB$166,3,)))</f>
        <v>0</v>
      </c>
      <c r="AR132" s="10" t="b">
        <f>IF(AND(I132="TP",S132&lt;=300),VLOOKUP(AF132,TPCalibEq300!$AZ$2:$BB$166,3,),IF(AND(I132="TDP",S132&lt;=300),VLOOKUP(AF132,TPCalibEq300!$AZ$2:$BB$166,3,)))</f>
        <v>0</v>
      </c>
      <c r="AS132" s="10" t="b">
        <f>IF(AND(I132="TP",S132&lt;=500),VLOOKUP(AF132,TPCalibEq500!$AZ$2:$BB$165,3,),IF(AND(I132="TDP",S132&lt;=500),VLOOKUP(AF132,TPCalibEq500!$AZ$2:$BB$165,3,)))</f>
        <v>0</v>
      </c>
      <c r="AT132" s="10" t="str">
        <f>IF(AND(I132="TN",S132&lt;=2800),VLOOKUP(AF132,TNCalibEq2500!$AZ$2:$BB$165,3,),IF(AND(I132="TDN",S132&lt;=2800),VLOOKUP(AF132,TNCalibEq2500!$AZ$2:$BB$165,3,)))</f>
        <v>y=-0.1957x2+248.26x-106.67</v>
      </c>
      <c r="AU132" s="10" t="str">
        <f>IF(I132="TP",VLOOKUP(AF132,TPCalibEqFull!$AZ$2:$BB$165,3),IF(I132="TDP",VLOOKUP(AF132,TPCalibEqFull!$AZ$2:$BB$165,3),IF(I132="TDN",VLOOKUP(AF132,TNCalibEqFull!$AZ$2:$BB$164,3),IF(I132="TN",VLOOKUP(AF132,TNCalibEqFull!$AZ$2:$BB$164,3),FALSE))))</f>
        <v>y=-0.184x2+251.8x-113.39</v>
      </c>
      <c r="AV132" s="10" t="str">
        <f t="shared" si="36"/>
        <v>20240803 00:00:00-1000-9-Dp-1-SW-UKN</v>
      </c>
    </row>
    <row r="133" spans="1:48" s="10" customFormat="1" x14ac:dyDescent="0.3">
      <c r="A133" s="32">
        <v>45507</v>
      </c>
      <c r="B133" s="33">
        <v>0</v>
      </c>
      <c r="C133" s="10">
        <v>1000</v>
      </c>
      <c r="D133" s="10">
        <v>16</v>
      </c>
      <c r="E133" s="10" t="s">
        <v>953</v>
      </c>
      <c r="F133" s="10">
        <v>1</v>
      </c>
      <c r="G133" s="10" t="s">
        <v>72</v>
      </c>
      <c r="H133" s="10" t="s">
        <v>239</v>
      </c>
      <c r="I133" s="10" t="s">
        <v>233</v>
      </c>
      <c r="J133" s="10">
        <v>20</v>
      </c>
      <c r="K133" s="12">
        <v>45686</v>
      </c>
      <c r="L133" s="33">
        <v>0.744074074074074</v>
      </c>
      <c r="M133" s="10">
        <v>1</v>
      </c>
      <c r="N133" s="10" t="s">
        <v>194</v>
      </c>
      <c r="O133" s="10">
        <v>0.51300000000000001</v>
      </c>
      <c r="P133" s="10">
        <v>3.2099999999999997E-2</v>
      </c>
      <c r="Q133" s="10">
        <v>20</v>
      </c>
      <c r="R133" s="10" t="s">
        <v>168</v>
      </c>
      <c r="S133" s="34">
        <f t="shared" si="29"/>
        <v>20.635877826699996</v>
      </c>
      <c r="T133" s="10" t="s">
        <v>958</v>
      </c>
      <c r="U133" s="34" t="str">
        <f t="shared" si="35"/>
        <v/>
      </c>
      <c r="V133" s="31" t="str">
        <f>IF(H133="CHK",VLOOKUP(I133,QCCHK,3,),IF(H133="GUP",VLOOKUP(E133,QCGUP,2,),IF(AND(H133="ATP",OR(I133="TN",I133="TDN",I133="TNO2-3",I133="NO2-3")),VLOOKUP(E133,QCREC_N,2,),IF(AND(H133="NIC",OR(I133="TN",I133="TDN",I133="TNO2-3",I133="NO2-3")),VLOOKUP(E133,QCNIC_N,2,),IF(AND(H133="UREA",OR(I133="TN",I133="TDN",I133="TNO2-3",I133="NO2-3")),VLOOKUP(E133,QCUREA_N,2,),IF(H133="PER",VLOOKUP(I133,QCPER,MATCH(E133,QCACTUAL!$J$25:$AA$25,0),),IF(H133="SPK",VLOOKUP(I133,QCSPK,3,),IF(AND(H133="ATP",OR(I133="TP",I133="TDP")),VLOOKUP(E133,QCATP_P,2,),""))))))))</f>
        <v/>
      </c>
      <c r="W133" s="31" t="str">
        <f t="shared" si="30"/>
        <v>TRUE</v>
      </c>
      <c r="X133" s="31" t="str">
        <f t="shared" si="31"/>
        <v/>
      </c>
      <c r="Y133" s="10" t="s">
        <v>957</v>
      </c>
      <c r="AF133" s="12">
        <v>45686</v>
      </c>
      <c r="AJ133" s="10">
        <f>-0.1957*0.513^2+248.26*0.513-106.67</f>
        <v>20.635877826699996</v>
      </c>
      <c r="AK133" s="10">
        <f>-0.184*0.513^2+251.8*0.513-113.39</f>
        <v>15.734976904000021</v>
      </c>
      <c r="AL133" s="10" t="str">
        <f t="shared" si="32"/>
        <v>FALSE</v>
      </c>
      <c r="AM133" s="10" t="str">
        <f t="shared" si="32"/>
        <v>FALSE</v>
      </c>
      <c r="AN133" s="10" t="str">
        <f t="shared" si="32"/>
        <v>FALSE</v>
      </c>
      <c r="AO133" s="10" t="str">
        <f t="shared" si="33"/>
        <v>y=-0.1957*0.513^2+248.26*0.513-106.67</v>
      </c>
      <c r="AP133" s="10" t="str">
        <f t="shared" si="33"/>
        <v>y=-0.184*0.513^2+251.8*0.513-113.39</v>
      </c>
      <c r="AQ133" s="10" t="b">
        <f>IF(AND(I133="TP",S133&lt;=150),VLOOKUP(AF133,TPCalibEq150!$AZ$2:$BB$166,3,),IF(AND(I133="TDP",S133&lt;=150),VLOOKUP(AF133,TPCalibEq150!$AZ$2:$BB$166,3,)))</f>
        <v>0</v>
      </c>
      <c r="AR133" s="10" t="b">
        <f>IF(AND(I133="TP",S133&lt;=300),VLOOKUP(AF133,TPCalibEq300!$AZ$2:$BB$166,3,),IF(AND(I133="TDP",S133&lt;=300),VLOOKUP(AF133,TPCalibEq300!$AZ$2:$BB$166,3,)))</f>
        <v>0</v>
      </c>
      <c r="AS133" s="10" t="b">
        <f>IF(AND(I133="TP",S133&lt;=500),VLOOKUP(AF133,TPCalibEq500!$AZ$2:$BB$165,3,),IF(AND(I133="TDP",S133&lt;=500),VLOOKUP(AF133,TPCalibEq500!$AZ$2:$BB$165,3,)))</f>
        <v>0</v>
      </c>
      <c r="AT133" s="10" t="str">
        <f>IF(AND(I133="TN",S133&lt;=2800),VLOOKUP(AF133,TNCalibEq2500!$AZ$2:$BB$165,3,),IF(AND(I133="TDN",S133&lt;=2800),VLOOKUP(AF133,TNCalibEq2500!$AZ$2:$BB$165,3,)))</f>
        <v>y=-0.1957x2+248.26x-106.67</v>
      </c>
      <c r="AU133" s="10" t="str">
        <f>IF(I133="TP",VLOOKUP(AF133,TPCalibEqFull!$AZ$2:$BB$165,3),IF(I133="TDP",VLOOKUP(AF133,TPCalibEqFull!$AZ$2:$BB$165,3),IF(I133="TDN",VLOOKUP(AF133,TNCalibEqFull!$AZ$2:$BB$164,3),IF(I133="TN",VLOOKUP(AF133,TNCalibEqFull!$AZ$2:$BB$164,3),FALSE))))</f>
        <v>y=-0.184x2+251.8x-113.39</v>
      </c>
      <c r="AV133" s="10" t="str">
        <f t="shared" si="36"/>
        <v>20240803 00:00:00-1000-16-Sh-1-DI-BLK</v>
      </c>
    </row>
    <row r="134" spans="1:48" s="10" customFormat="1" x14ac:dyDescent="0.3">
      <c r="A134" s="32">
        <v>45507</v>
      </c>
      <c r="B134" s="33">
        <v>0</v>
      </c>
      <c r="C134" s="10">
        <v>1000</v>
      </c>
      <c r="D134" s="10">
        <v>16</v>
      </c>
      <c r="E134" s="10" t="s">
        <v>953</v>
      </c>
      <c r="F134" s="10">
        <v>1</v>
      </c>
      <c r="G134" s="10" t="s">
        <v>229</v>
      </c>
      <c r="H134" s="10" t="s">
        <v>320</v>
      </c>
      <c r="I134" s="10" t="s">
        <v>233</v>
      </c>
      <c r="J134" s="10">
        <v>21</v>
      </c>
      <c r="K134" s="12">
        <v>45686</v>
      </c>
      <c r="L134" s="33">
        <v>0.74474537037037036</v>
      </c>
      <c r="M134" s="10">
        <v>1</v>
      </c>
      <c r="N134" s="10" t="s">
        <v>194</v>
      </c>
      <c r="O134" s="10">
        <v>2.5099999999999998</v>
      </c>
      <c r="P134" s="10">
        <v>0.158</v>
      </c>
      <c r="Q134" s="10">
        <v>515</v>
      </c>
      <c r="R134" s="10" t="s">
        <v>168</v>
      </c>
      <c r="S134" s="34">
        <f t="shared" si="29"/>
        <v>517.46878160000006</v>
      </c>
      <c r="T134" s="10" t="s">
        <v>958</v>
      </c>
      <c r="U134" s="34" t="str">
        <f t="shared" si="35"/>
        <v/>
      </c>
      <c r="V134" s="31" t="str">
        <f>IF(H134="CHK",VLOOKUP(I134,QCCHK,3,),IF(H134="GUP",VLOOKUP(E134,QCGUP,2,),IF(AND(H134="ATP",OR(I134="TN",I134="TDN",I134="TNO2-3",I134="NO2-3")),VLOOKUP(E134,QCREC_N,2,),IF(AND(H134="NIC",OR(I134="TN",I134="TDN",I134="TNO2-3",I134="NO2-3")),VLOOKUP(E134,QCNIC_N,2,),IF(AND(H134="UREA",OR(I134="TN",I134="TDN",I134="TNO2-3",I134="NO2-3")),VLOOKUP(E134,QCUREA_N,2,),IF(H134="PER",VLOOKUP(I134,QCPER,MATCH(E134,QCACTUAL!$J$25:$AA$25,0),),IF(H134="SPK",VLOOKUP(I134,QCSPK,3,),IF(AND(H134="ATP",OR(I134="TP",I134="TDP")),VLOOKUP(E134,QCATP_P,2,),""))))))))</f>
        <v/>
      </c>
      <c r="W134" s="31" t="str">
        <f t="shared" si="30"/>
        <v>TRUE</v>
      </c>
      <c r="X134" s="31" t="str">
        <f t="shared" si="31"/>
        <v/>
      </c>
      <c r="Y134" s="10" t="s">
        <v>957</v>
      </c>
      <c r="AF134" s="12">
        <v>45686</v>
      </c>
      <c r="AJ134" s="10">
        <f>-0.1957*2.51^2+248.26*2.51-106.67</f>
        <v>515.22967042999994</v>
      </c>
      <c r="AK134" s="10">
        <f>-0.184*2.51^2+251.8*2.51-113.39</f>
        <v>517.46878160000006</v>
      </c>
      <c r="AL134" s="10" t="str">
        <f t="shared" si="32"/>
        <v>FALSE</v>
      </c>
      <c r="AM134" s="10" t="str">
        <f t="shared" si="32"/>
        <v>FALSE</v>
      </c>
      <c r="AN134" s="10" t="str">
        <f t="shared" si="32"/>
        <v>FALSE</v>
      </c>
      <c r="AO134" s="10" t="str">
        <f t="shared" si="33"/>
        <v>y=-0.1957*2.51^2+248.26*2.51-106.67</v>
      </c>
      <c r="AP134" s="10" t="str">
        <f t="shared" si="33"/>
        <v>y=-0.184*2.51^2+251.8*2.51-113.39</v>
      </c>
      <c r="AQ134" s="10" t="b">
        <f>IF(AND(I134="TP",S134&lt;=150),VLOOKUP(AF134,TPCalibEq150!$AZ$2:$BB$166,3,),IF(AND(I134="TDP",S134&lt;=150),VLOOKUP(AF134,TPCalibEq150!$AZ$2:$BB$166,3,)))</f>
        <v>0</v>
      </c>
      <c r="AR134" s="10" t="b">
        <f>IF(AND(I134="TP",S134&lt;=300),VLOOKUP(AF134,TPCalibEq300!$AZ$2:$BB$166,3,),IF(AND(I134="TDP",S134&lt;=300),VLOOKUP(AF134,TPCalibEq300!$AZ$2:$BB$166,3,)))</f>
        <v>0</v>
      </c>
      <c r="AS134" s="10" t="b">
        <f>IF(AND(I134="TP",S134&lt;=500),VLOOKUP(AF134,TPCalibEq500!$AZ$2:$BB$165,3,),IF(AND(I134="TDP",S134&lt;=500),VLOOKUP(AF134,TPCalibEq500!$AZ$2:$BB$165,3,)))</f>
        <v>0</v>
      </c>
      <c r="AT134" s="10" t="str">
        <f>IF(AND(I134="TN",S134&lt;=2800),VLOOKUP(AF134,TNCalibEq2500!$AZ$2:$BB$165,3,),IF(AND(I134="TDN",S134&lt;=2800),VLOOKUP(AF134,TNCalibEq2500!$AZ$2:$BB$165,3,)))</f>
        <v>y=-0.1957x2+248.26x-106.67</v>
      </c>
      <c r="AU134" s="10" t="str">
        <f>IF(I134="TP",VLOOKUP(AF134,TPCalibEqFull!$AZ$2:$BB$165,3),IF(I134="TDP",VLOOKUP(AF134,TPCalibEqFull!$AZ$2:$BB$165,3),IF(I134="TDN",VLOOKUP(AF134,TNCalibEqFull!$AZ$2:$BB$164,3),IF(I134="TN",VLOOKUP(AF134,TNCalibEqFull!$AZ$2:$BB$164,3),FALSE))))</f>
        <v>y=-0.184x2+251.8x-113.39</v>
      </c>
      <c r="AV134" s="10" t="str">
        <f t="shared" si="36"/>
        <v>20240803 00:00:00-1000-16-Sh-1-SW-UKN</v>
      </c>
    </row>
    <row r="135" spans="1:48" s="10" customFormat="1" x14ac:dyDescent="0.3">
      <c r="A135" s="32">
        <v>45507</v>
      </c>
      <c r="B135" s="33">
        <v>0</v>
      </c>
      <c r="C135" s="10">
        <v>1000</v>
      </c>
      <c r="D135" s="10">
        <v>16</v>
      </c>
      <c r="E135" s="10" t="s">
        <v>953</v>
      </c>
      <c r="F135" s="10">
        <v>2</v>
      </c>
      <c r="G135" s="10" t="s">
        <v>229</v>
      </c>
      <c r="H135" s="10" t="s">
        <v>320</v>
      </c>
      <c r="I135" s="10" t="s">
        <v>233</v>
      </c>
      <c r="J135" s="10">
        <v>22</v>
      </c>
      <c r="K135" s="12">
        <v>45686</v>
      </c>
      <c r="L135" s="33">
        <v>0.74541666666666673</v>
      </c>
      <c r="M135" s="10">
        <v>1</v>
      </c>
      <c r="N135" s="10" t="s">
        <v>194</v>
      </c>
      <c r="O135" s="10">
        <v>1.74</v>
      </c>
      <c r="P135" s="10">
        <v>0.109</v>
      </c>
      <c r="Q135" s="10">
        <v>325</v>
      </c>
      <c r="R135" s="10" t="s">
        <v>168</v>
      </c>
      <c r="S135" s="34">
        <f t="shared" si="29"/>
        <v>325</v>
      </c>
      <c r="T135" s="10" t="s">
        <v>958</v>
      </c>
      <c r="U135" s="34" t="str">
        <f t="shared" si="35"/>
        <v/>
      </c>
      <c r="V135" s="31" t="str">
        <f>IF(H135="CHK",VLOOKUP(I135,QCCHK,3,),IF(H135="GUP",VLOOKUP(E135,QCGUP,2,),IF(AND(H135="ATP",OR(I135="TN",I135="TDN",I135="TNO2-3",I135="NO2-3")),VLOOKUP(E135,QCREC_N,2,),IF(AND(H135="NIC",OR(I135="TN",I135="TDN",I135="TNO2-3",I135="NO2-3")),VLOOKUP(E135,QCNIC_N,2,),IF(AND(H135="UREA",OR(I135="TN",I135="TDN",I135="TNO2-3",I135="NO2-3")),VLOOKUP(E135,QCUREA_N,2,),IF(H135="PER",VLOOKUP(I135,QCPER,MATCH(E135,QCACTUAL!$J$25:$AA$25,0),),IF(H135="SPK",VLOOKUP(I135,QCSPK,3,),IF(AND(H135="ATP",OR(I135="TP",I135="TDP")),VLOOKUP(E135,QCATP_P,2,),""))))))))</f>
        <v/>
      </c>
      <c r="W135" s="31" t="str">
        <f t="shared" si="30"/>
        <v>TRUE</v>
      </c>
      <c r="X135" s="31" t="str">
        <f t="shared" si="31"/>
        <v/>
      </c>
      <c r="Y135" s="10" t="s">
        <v>957</v>
      </c>
      <c r="AF135" s="12">
        <v>45686</v>
      </c>
      <c r="AJ135" s="10">
        <f>-0.1957*1.74^2+248.26*1.74-106.67</f>
        <v>324.70989867999998</v>
      </c>
      <c r="AK135" s="10">
        <f>-0.184*1.74^2+251.8*1.74-113.39</f>
        <v>324.1849216</v>
      </c>
      <c r="AL135" s="10" t="str">
        <f t="shared" si="32"/>
        <v>FALSE</v>
      </c>
      <c r="AM135" s="10" t="str">
        <f t="shared" si="32"/>
        <v>FALSE</v>
      </c>
      <c r="AN135" s="10" t="str">
        <f t="shared" si="32"/>
        <v>FALSE</v>
      </c>
      <c r="AO135" s="10" t="str">
        <f t="shared" si="33"/>
        <v>y=-0.1957*1.74^2+248.26*1.74-106.67</v>
      </c>
      <c r="AP135" s="10" t="str">
        <f t="shared" si="33"/>
        <v>y=-0.184*1.74^2+251.8*1.74-113.39</v>
      </c>
      <c r="AQ135" s="10" t="b">
        <f>IF(AND(I135="TP",S135&lt;=150),VLOOKUP(AF135,TPCalibEq150!$AZ$2:$BB$166,3,),IF(AND(I135="TDP",S135&lt;=150),VLOOKUP(AF135,TPCalibEq150!$AZ$2:$BB$166,3,)))</f>
        <v>0</v>
      </c>
      <c r="AR135" s="10" t="b">
        <f>IF(AND(I135="TP",S135&lt;=300),VLOOKUP(AF135,TPCalibEq300!$AZ$2:$BB$166,3,),IF(AND(I135="TDP",S135&lt;=300),VLOOKUP(AF135,TPCalibEq300!$AZ$2:$BB$166,3,)))</f>
        <v>0</v>
      </c>
      <c r="AS135" s="10" t="b">
        <f>IF(AND(I135="TP",S135&lt;=500),VLOOKUP(AF135,TPCalibEq500!$AZ$2:$BB$165,3,),IF(AND(I135="TDP",S135&lt;=500),VLOOKUP(AF135,TPCalibEq500!$AZ$2:$BB$165,3,)))</f>
        <v>0</v>
      </c>
      <c r="AT135" s="10" t="str">
        <f>IF(AND(I135="TN",S135&lt;=2800),VLOOKUP(AF135,TNCalibEq2500!$AZ$2:$BB$165,3,),IF(AND(I135="TDN",S135&lt;=2800),VLOOKUP(AF135,TNCalibEq2500!$AZ$2:$BB$165,3,)))</f>
        <v>y=-0.1957x2+248.26x-106.67</v>
      </c>
      <c r="AU135" s="10" t="str">
        <f>IF(I135="TP",VLOOKUP(AF135,TPCalibEqFull!$AZ$2:$BB$165,3),IF(I135="TDP",VLOOKUP(AF135,TPCalibEqFull!$AZ$2:$BB$165,3),IF(I135="TDN",VLOOKUP(AF135,TNCalibEqFull!$AZ$2:$BB$164,3),IF(I135="TN",VLOOKUP(AF135,TNCalibEqFull!$AZ$2:$BB$164,3),FALSE))))</f>
        <v>y=-0.184x2+251.8x-113.39</v>
      </c>
      <c r="AV135" s="10" t="str">
        <f t="shared" si="36"/>
        <v>20240803 00:00:00-1000-16-Sh-2-SW-UKN</v>
      </c>
    </row>
    <row r="136" spans="1:48" s="10" customFormat="1" x14ac:dyDescent="0.3">
      <c r="A136" s="32">
        <v>45507</v>
      </c>
      <c r="B136" s="33">
        <v>0</v>
      </c>
      <c r="C136" s="10">
        <v>1000</v>
      </c>
      <c r="D136" s="10">
        <v>16</v>
      </c>
      <c r="E136" s="10" t="s">
        <v>953</v>
      </c>
      <c r="F136" s="10">
        <v>1</v>
      </c>
      <c r="G136" s="10" t="s">
        <v>229</v>
      </c>
      <c r="H136" s="10" t="s">
        <v>231</v>
      </c>
      <c r="I136" s="10" t="s">
        <v>233</v>
      </c>
      <c r="J136" s="10">
        <v>22</v>
      </c>
      <c r="K136" s="12">
        <v>45686</v>
      </c>
      <c r="L136" s="33">
        <v>0.74608796296296298</v>
      </c>
      <c r="M136" s="10">
        <v>1</v>
      </c>
      <c r="N136" s="10" t="s">
        <v>194</v>
      </c>
      <c r="O136" s="10">
        <v>1.78</v>
      </c>
      <c r="P136" s="10">
        <v>0.111</v>
      </c>
      <c r="Q136" s="10">
        <v>336</v>
      </c>
      <c r="R136" s="10" t="s">
        <v>168</v>
      </c>
      <c r="S136" s="34">
        <f t="shared" si="29"/>
        <v>336</v>
      </c>
      <c r="T136" s="10" t="s">
        <v>958</v>
      </c>
      <c r="U136" s="34">
        <f t="shared" si="35"/>
        <v>3.3282904689863844</v>
      </c>
      <c r="V136" s="31" t="str">
        <f>IF(H136="CHK",VLOOKUP(I136,QCCHK,3,),IF(H136="GUP",VLOOKUP(E136,QCGUP,2,),IF(AND(H136="ATP",OR(I136="TN",I136="TDN",I136="TNO2-3",I136="NO2-3")),VLOOKUP(E136,QCREC_N,2,),IF(AND(H136="NIC",OR(I136="TN",I136="TDN",I136="TNO2-3",I136="NO2-3")),VLOOKUP(E136,QCNIC_N,2,),IF(AND(H136="UREA",OR(I136="TN",I136="TDN",I136="TNO2-3",I136="NO2-3")),VLOOKUP(E136,QCUREA_N,2,),IF(H136="PER",VLOOKUP(I136,QCPER,MATCH(E136,QCACTUAL!$J$25:$AA$25,0),),IF(H136="SPK",VLOOKUP(I136,QCSPK,3,),IF(AND(H136="ATP",OR(I136="TP",I136="TDP")),VLOOKUP(E136,QCATP_P,2,),""))))))))</f>
        <v/>
      </c>
      <c r="W136" s="31" t="str">
        <f t="shared" si="30"/>
        <v>TRUE</v>
      </c>
      <c r="X136" s="31" t="str">
        <f t="shared" si="31"/>
        <v>((ABS(rep1-rep2))/((rep1+rep2)/2)*100</v>
      </c>
      <c r="Y136" s="10" t="s">
        <v>957</v>
      </c>
      <c r="AF136" s="12">
        <v>45686</v>
      </c>
      <c r="AJ136" s="10">
        <f>-0.1957*1.78^2+248.26*1.78-106.67</f>
        <v>334.61274412</v>
      </c>
      <c r="AK136" s="10">
        <f>-0.184*1.78^2+251.8*1.78-113.39</f>
        <v>334.23101440000005</v>
      </c>
      <c r="AL136" s="10" t="str">
        <f t="shared" si="32"/>
        <v>FALSE</v>
      </c>
      <c r="AM136" s="10" t="str">
        <f t="shared" si="32"/>
        <v>FALSE</v>
      </c>
      <c r="AN136" s="10" t="str">
        <f t="shared" si="32"/>
        <v>FALSE</v>
      </c>
      <c r="AO136" s="10" t="str">
        <f t="shared" si="33"/>
        <v>y=-0.1957*1.78^2+248.26*1.78-106.67</v>
      </c>
      <c r="AP136" s="10" t="str">
        <f t="shared" si="33"/>
        <v>y=-0.184*1.78^2+251.8*1.78-113.39</v>
      </c>
      <c r="AQ136" s="10" t="b">
        <f>IF(AND(I136="TP",S136&lt;=150),VLOOKUP(AF136,TPCalibEq150!$AZ$2:$BB$166,3,),IF(AND(I136="TDP",S136&lt;=150),VLOOKUP(AF136,TPCalibEq150!$AZ$2:$BB$166,3,)))</f>
        <v>0</v>
      </c>
      <c r="AR136" s="10" t="b">
        <f>IF(AND(I136="TP",S136&lt;=300),VLOOKUP(AF136,TPCalibEq300!$AZ$2:$BB$166,3,),IF(AND(I136="TDP",S136&lt;=300),VLOOKUP(AF136,TPCalibEq300!$AZ$2:$BB$166,3,)))</f>
        <v>0</v>
      </c>
      <c r="AS136" s="10" t="b">
        <f>IF(AND(I136="TP",S136&lt;=500),VLOOKUP(AF136,TPCalibEq500!$AZ$2:$BB$165,3,),IF(AND(I136="TDP",S136&lt;=500),VLOOKUP(AF136,TPCalibEq500!$AZ$2:$BB$165,3,)))</f>
        <v>0</v>
      </c>
      <c r="AT136" s="10" t="str">
        <f>IF(AND(I136="TN",S136&lt;=2800),VLOOKUP(AF136,TNCalibEq2500!$AZ$2:$BB$165,3,),IF(AND(I136="TDN",S136&lt;=2800),VLOOKUP(AF136,TNCalibEq2500!$AZ$2:$BB$165,3,)))</f>
        <v>y=-0.1957x2+248.26x-106.67</v>
      </c>
      <c r="AU136" s="10" t="str">
        <f>IF(I136="TP",VLOOKUP(AF136,TPCalibEqFull!$AZ$2:$BB$165,3),IF(I136="TDP",VLOOKUP(AF136,TPCalibEqFull!$AZ$2:$BB$165,3),IF(I136="TDN",VLOOKUP(AF136,TNCalibEqFull!$AZ$2:$BB$164,3),IF(I136="TN",VLOOKUP(AF136,TNCalibEqFull!$AZ$2:$BB$164,3),FALSE))))</f>
        <v>y=-0.184x2+251.8x-113.39</v>
      </c>
      <c r="AV136" s="10" t="str">
        <f t="shared" si="36"/>
        <v>20240803 00:00:00-1000-16-Sh-1-SW-DUP</v>
      </c>
    </row>
    <row r="137" spans="1:48" s="10" customFormat="1" x14ac:dyDescent="0.3">
      <c r="A137" s="32">
        <v>45514</v>
      </c>
      <c r="B137" s="33">
        <v>0</v>
      </c>
      <c r="C137" s="10">
        <v>1000</v>
      </c>
      <c r="D137" s="10">
        <v>17</v>
      </c>
      <c r="E137" s="10" t="s">
        <v>953</v>
      </c>
      <c r="F137" s="10">
        <v>1</v>
      </c>
      <c r="G137" s="10" t="s">
        <v>72</v>
      </c>
      <c r="H137" s="10" t="s">
        <v>239</v>
      </c>
      <c r="I137" s="10" t="s">
        <v>233</v>
      </c>
      <c r="J137" s="10">
        <v>23</v>
      </c>
      <c r="K137" s="12">
        <v>45686</v>
      </c>
      <c r="L137" s="33">
        <v>0.74810185185185185</v>
      </c>
      <c r="M137" s="10">
        <v>1</v>
      </c>
      <c r="N137" s="10" t="s">
        <v>194</v>
      </c>
      <c r="O137" s="10">
        <v>0.51800000000000002</v>
      </c>
      <c r="P137" s="10">
        <v>3.2599999999999997E-2</v>
      </c>
      <c r="Q137" s="10">
        <v>21.3</v>
      </c>
      <c r="R137" s="10" t="s">
        <v>168</v>
      </c>
      <c r="S137" s="34">
        <f t="shared" si="29"/>
        <v>21.876168993200011</v>
      </c>
      <c r="T137" s="10" t="s">
        <v>958</v>
      </c>
      <c r="U137" s="34" t="str">
        <f>IF(OR(H137="CHK",H137="ATP",H137="GUP",H137="PER", H137="NIC", H137="UREA"),(S137/V137*100),IF(H137="DUP",((ABS(S137-#REF!))/((#REF!+S137)/2))*100,IF(H137="SPK",((S137-#REF!)/V137*100),IF(OR(H137="LAB",H137="FLD",H137="ESF"),S137,""))))</f>
        <v/>
      </c>
      <c r="V137" s="31" t="str">
        <f>IF(H137="CHK",VLOOKUP(I137,QCCHK,3,),IF(H137="GUP",VLOOKUP(E137,QCGUP,2,),IF(AND(H137="ATP",OR(I137="TN",I137="TDN",I137="TNO2-3",I137="NO2-3")),VLOOKUP(E137,QCREC_N,2,),IF(AND(H137="NIC",OR(I137="TN",I137="TDN",I137="TNO2-3",I137="NO2-3")),VLOOKUP(E137,QCNIC_N,2,),IF(AND(H137="UREA",OR(I137="TN",I137="TDN",I137="TNO2-3",I137="NO2-3")),VLOOKUP(E137,QCUREA_N,2,),IF(H137="PER",VLOOKUP(I137,QCPER,MATCH(E137,QCACTUAL!$J$25:$AA$25,0),),IF(H137="SPK",VLOOKUP(I137,QCSPK,3,),IF(AND(H137="ATP",OR(I137="TP",I137="TDP")),VLOOKUP(E137,QCATP_P,2,),""))))))))</f>
        <v/>
      </c>
      <c r="W137" s="31" t="str">
        <f t="shared" si="30"/>
        <v>TRUE</v>
      </c>
      <c r="X137" s="31" t="str">
        <f t="shared" si="31"/>
        <v/>
      </c>
      <c r="Y137" s="10" t="s">
        <v>957</v>
      </c>
      <c r="AF137" s="12">
        <v>45686</v>
      </c>
      <c r="AJ137" s="10">
        <f>-0.1957*0.518^2+248.26*0.518-106.67</f>
        <v>21.876168993200011</v>
      </c>
      <c r="AK137" s="10">
        <f>-0.184*0.518^2+251.8*0.518-113.39</f>
        <v>16.993028383999999</v>
      </c>
      <c r="AL137" s="10" t="str">
        <f t="shared" si="32"/>
        <v>FALSE</v>
      </c>
      <c r="AM137" s="10" t="str">
        <f t="shared" si="32"/>
        <v>FALSE</v>
      </c>
      <c r="AN137" s="10" t="str">
        <f t="shared" si="32"/>
        <v>FALSE</v>
      </c>
      <c r="AO137" s="10" t="str">
        <f t="shared" si="33"/>
        <v>y=-0.1957*0.518^2+248.26*0.518-106.67</v>
      </c>
      <c r="AP137" s="10" t="str">
        <f t="shared" si="33"/>
        <v>y=-0.184*0.518^2+251.8*0.518-113.39</v>
      </c>
      <c r="AQ137" s="10" t="b">
        <f>IF(AND(I137="TP",S137&lt;=150),VLOOKUP(AF137,TPCalibEq150!$AZ$2:$BB$166,3,),IF(AND(I137="TDP",S137&lt;=150),VLOOKUP(AF137,TPCalibEq150!$AZ$2:$BB$166,3,)))</f>
        <v>0</v>
      </c>
      <c r="AR137" s="10" t="b">
        <f>IF(AND(I137="TP",S137&lt;=300),VLOOKUP(AF137,TPCalibEq300!$AZ$2:$BB$166,3,),IF(AND(I137="TDP",S137&lt;=300),VLOOKUP(AF137,TPCalibEq300!$AZ$2:$BB$166,3,)))</f>
        <v>0</v>
      </c>
      <c r="AS137" s="10" t="b">
        <f>IF(AND(I137="TP",S137&lt;=500),VLOOKUP(AF137,TPCalibEq500!$AZ$2:$BB$165,3,),IF(AND(I137="TDP",S137&lt;=500),VLOOKUP(AF137,TPCalibEq500!$AZ$2:$BB$165,3,)))</f>
        <v>0</v>
      </c>
      <c r="AT137" s="10" t="str">
        <f>IF(AND(I137="TN",S137&lt;=2800),VLOOKUP(AF137,TNCalibEq2500!$AZ$2:$BB$165,3,),IF(AND(I137="TDN",S137&lt;=2800),VLOOKUP(AF137,TNCalibEq2500!$AZ$2:$BB$165,3,)))</f>
        <v>y=-0.1957x2+248.26x-106.67</v>
      </c>
      <c r="AU137" s="10" t="str">
        <f>IF(I137="TP",VLOOKUP(AF137,TPCalibEqFull!$AZ$2:$BB$165,3),IF(I137="TDP",VLOOKUP(AF137,TPCalibEqFull!$AZ$2:$BB$165,3),IF(I137="TDN",VLOOKUP(AF137,TNCalibEqFull!$AZ$2:$BB$164,3),IF(I137="TN",VLOOKUP(AF137,TNCalibEqFull!$AZ$2:$BB$164,3),FALSE))))</f>
        <v>y=-0.184x2+251.8x-113.39</v>
      </c>
      <c r="AV137" s="10" t="str">
        <f t="shared" si="36"/>
        <v>20240810 00:00:00-1000-17-Sh-1-DI-BLK</v>
      </c>
    </row>
    <row r="138" spans="1:48" s="10" customFormat="1" x14ac:dyDescent="0.3">
      <c r="A138" s="32">
        <v>45514</v>
      </c>
      <c r="B138" s="33">
        <v>0</v>
      </c>
      <c r="C138" s="10">
        <v>1000</v>
      </c>
      <c r="D138" s="10">
        <v>17</v>
      </c>
      <c r="E138" s="10" t="s">
        <v>953</v>
      </c>
      <c r="F138" s="10">
        <v>1</v>
      </c>
      <c r="G138" s="10" t="s">
        <v>229</v>
      </c>
      <c r="H138" s="10" t="s">
        <v>320</v>
      </c>
      <c r="I138" s="10" t="s">
        <v>233</v>
      </c>
      <c r="J138" s="10">
        <v>24</v>
      </c>
      <c r="K138" s="12">
        <v>45686</v>
      </c>
      <c r="L138" s="33">
        <v>0.74877314814814822</v>
      </c>
      <c r="M138" s="10">
        <v>1</v>
      </c>
      <c r="N138" s="10" t="s">
        <v>194</v>
      </c>
      <c r="O138" s="10">
        <v>1.33</v>
      </c>
      <c r="P138" s="10">
        <v>8.3000000000000004E-2</v>
      </c>
      <c r="Q138" s="10">
        <v>224</v>
      </c>
      <c r="R138" s="10" t="s">
        <v>168</v>
      </c>
      <c r="S138" s="34">
        <f t="shared" si="29"/>
        <v>224</v>
      </c>
      <c r="T138" s="10" t="s">
        <v>958</v>
      </c>
      <c r="U138" s="34" t="str">
        <f t="shared" si="35"/>
        <v/>
      </c>
      <c r="V138" s="31" t="str">
        <f>IF(H138="CHK",VLOOKUP(I138,QCCHK,3,),IF(H138="GUP",VLOOKUP(E138,QCGUP,2,),IF(AND(H138="ATP",OR(I138="TN",I138="TDN",I138="TNO2-3",I138="NO2-3")),VLOOKUP(E138,QCREC_N,2,),IF(AND(H138="NIC",OR(I138="TN",I138="TDN",I138="TNO2-3",I138="NO2-3")),VLOOKUP(E138,QCNIC_N,2,),IF(AND(H138="UREA",OR(I138="TN",I138="TDN",I138="TNO2-3",I138="NO2-3")),VLOOKUP(E138,QCUREA_N,2,),IF(H138="PER",VLOOKUP(I138,QCPER,MATCH(E138,QCACTUAL!$J$25:$AA$25,0),),IF(H138="SPK",VLOOKUP(I138,QCSPK,3,),IF(AND(H138="ATP",OR(I138="TP",I138="TDP")),VLOOKUP(E138,QCATP_P,2,),""))))))))</f>
        <v/>
      </c>
      <c r="W138" s="31" t="str">
        <f t="shared" si="30"/>
        <v>TRUE</v>
      </c>
      <c r="X138" s="31" t="str">
        <f t="shared" si="31"/>
        <v/>
      </c>
      <c r="Y138" s="10" t="s">
        <v>957</v>
      </c>
      <c r="AF138" s="12">
        <v>45686</v>
      </c>
      <c r="AJ138" s="10">
        <f>-0.1957*1.33^2+248.26*1.33-106.67</f>
        <v>223.16962627000004</v>
      </c>
      <c r="AK138" s="10">
        <f>-0.184*1.33^2+251.8*1.33-113.39</f>
        <v>221.17852240000002</v>
      </c>
      <c r="AL138" s="10" t="str">
        <f t="shared" si="32"/>
        <v>FALSE</v>
      </c>
      <c r="AM138" s="10" t="str">
        <f t="shared" si="32"/>
        <v>FALSE</v>
      </c>
      <c r="AN138" s="10" t="str">
        <f t="shared" si="32"/>
        <v>FALSE</v>
      </c>
      <c r="AO138" s="10" t="str">
        <f t="shared" si="33"/>
        <v>y=-0.1957*1.33^2+248.26*1.33-106.67</v>
      </c>
      <c r="AP138" s="10" t="str">
        <f t="shared" si="33"/>
        <v>y=-0.184*1.33^2+251.8*1.33-113.39</v>
      </c>
      <c r="AQ138" s="10" t="b">
        <f>IF(AND(I138="TP",S138&lt;=150),VLOOKUP(AF138,TPCalibEq150!$AZ$2:$BB$166,3,),IF(AND(I138="TDP",S138&lt;=150),VLOOKUP(AF138,TPCalibEq150!$AZ$2:$BB$166,3,)))</f>
        <v>0</v>
      </c>
      <c r="AR138" s="10" t="b">
        <f>IF(AND(I138="TP",S138&lt;=300),VLOOKUP(AF138,TPCalibEq300!$AZ$2:$BB$166,3,),IF(AND(I138="TDP",S138&lt;=300),VLOOKUP(AF138,TPCalibEq300!$AZ$2:$BB$166,3,)))</f>
        <v>0</v>
      </c>
      <c r="AS138" s="10" t="b">
        <f>IF(AND(I138="TP",S138&lt;=500),VLOOKUP(AF138,TPCalibEq500!$AZ$2:$BB$165,3,),IF(AND(I138="TDP",S138&lt;=500),VLOOKUP(AF138,TPCalibEq500!$AZ$2:$BB$165,3,)))</f>
        <v>0</v>
      </c>
      <c r="AT138" s="10" t="str">
        <f>IF(AND(I138="TN",S138&lt;=2800),VLOOKUP(AF138,TNCalibEq2500!$AZ$2:$BB$165,3,),IF(AND(I138="TDN",S138&lt;=2800),VLOOKUP(AF138,TNCalibEq2500!$AZ$2:$BB$165,3,)))</f>
        <v>y=-0.1957x2+248.26x-106.67</v>
      </c>
      <c r="AU138" s="10" t="str">
        <f>IF(I138="TP",VLOOKUP(AF138,TPCalibEqFull!$AZ$2:$BB$165,3),IF(I138="TDP",VLOOKUP(AF138,TPCalibEqFull!$AZ$2:$BB$165,3),IF(I138="TDN",VLOOKUP(AF138,TNCalibEqFull!$AZ$2:$BB$164,3),IF(I138="TN",VLOOKUP(AF138,TNCalibEqFull!$AZ$2:$BB$164,3),FALSE))))</f>
        <v>y=-0.184x2+251.8x-113.39</v>
      </c>
      <c r="AV138" s="10" t="str">
        <f t="shared" si="36"/>
        <v>20240810 00:00:00-1000-17-Sh-1-SW-UKN</v>
      </c>
    </row>
    <row r="139" spans="1:48" s="10" customFormat="1" x14ac:dyDescent="0.3">
      <c r="A139" s="32">
        <v>45514</v>
      </c>
      <c r="B139" s="33">
        <v>0</v>
      </c>
      <c r="C139" s="10">
        <v>1000</v>
      </c>
      <c r="D139" s="10">
        <v>17</v>
      </c>
      <c r="E139" s="10" t="s">
        <v>953</v>
      </c>
      <c r="F139" s="10">
        <v>2</v>
      </c>
      <c r="G139" s="10" t="s">
        <v>229</v>
      </c>
      <c r="H139" s="10" t="s">
        <v>320</v>
      </c>
      <c r="I139" s="10" t="s">
        <v>233</v>
      </c>
      <c r="J139" s="10">
        <v>25</v>
      </c>
      <c r="K139" s="12">
        <v>45686</v>
      </c>
      <c r="L139" s="33">
        <v>0.74943287037037043</v>
      </c>
      <c r="M139" s="10">
        <v>1</v>
      </c>
      <c r="N139" s="10" t="s">
        <v>194</v>
      </c>
      <c r="O139" s="10">
        <v>1.46</v>
      </c>
      <c r="P139" s="10">
        <v>9.0800000000000006E-2</v>
      </c>
      <c r="Q139" s="10">
        <v>255</v>
      </c>
      <c r="R139" s="10" t="s">
        <v>168</v>
      </c>
      <c r="S139" s="34">
        <f t="shared" si="29"/>
        <v>255.37244587999993</v>
      </c>
      <c r="T139" s="10" t="s">
        <v>958</v>
      </c>
      <c r="U139" s="34" t="str">
        <f t="shared" si="35"/>
        <v/>
      </c>
      <c r="V139" s="31" t="str">
        <f>IF(H139="CHK",VLOOKUP(I139,QCCHK,3,),IF(H139="GUP",VLOOKUP(E139,QCGUP,2,),IF(AND(H139="ATP",OR(I139="TN",I139="TDN",I139="TNO2-3",I139="NO2-3")),VLOOKUP(E139,QCREC_N,2,),IF(AND(H139="NIC",OR(I139="TN",I139="TDN",I139="TNO2-3",I139="NO2-3")),VLOOKUP(E139,QCNIC_N,2,),IF(AND(H139="UREA",OR(I139="TN",I139="TDN",I139="TNO2-3",I139="NO2-3")),VLOOKUP(E139,QCUREA_N,2,),IF(H139="PER",VLOOKUP(I139,QCPER,MATCH(E139,QCACTUAL!$J$25:$AA$25,0),),IF(H139="SPK",VLOOKUP(I139,QCSPK,3,),IF(AND(H139="ATP",OR(I139="TP",I139="TDP")),VLOOKUP(E139,QCATP_P,2,),""))))))))</f>
        <v/>
      </c>
      <c r="W139" s="31" t="str">
        <f t="shared" si="30"/>
        <v>TRUE</v>
      </c>
      <c r="X139" s="31" t="str">
        <f t="shared" si="31"/>
        <v/>
      </c>
      <c r="Y139" s="10" t="s">
        <v>957</v>
      </c>
      <c r="AF139" s="12">
        <v>45686</v>
      </c>
      <c r="AJ139" s="10">
        <f>-0.1957*1.46^2+248.26*1.46-106.67</f>
        <v>255.37244587999993</v>
      </c>
      <c r="AK139" s="10">
        <f>-0.184*1.46^2+251.8*1.46-113.39</f>
        <v>253.8457856</v>
      </c>
      <c r="AL139" s="10" t="str">
        <f t="shared" si="32"/>
        <v>FALSE</v>
      </c>
      <c r="AM139" s="10" t="str">
        <f t="shared" si="32"/>
        <v>FALSE</v>
      </c>
      <c r="AN139" s="10" t="str">
        <f t="shared" si="32"/>
        <v>FALSE</v>
      </c>
      <c r="AO139" s="10" t="str">
        <f t="shared" si="33"/>
        <v>y=-0.1957*1.46^2+248.26*1.46-106.67</v>
      </c>
      <c r="AP139" s="10" t="str">
        <f t="shared" si="33"/>
        <v>y=-0.184*1.46^2+251.8*1.46-113.39</v>
      </c>
      <c r="AQ139" s="10" t="b">
        <f>IF(AND(I139="TP",S139&lt;=150),VLOOKUP(AF139,TPCalibEq150!$AZ$2:$BB$166,3,),IF(AND(I139="TDP",S139&lt;=150),VLOOKUP(AF139,TPCalibEq150!$AZ$2:$BB$166,3,)))</f>
        <v>0</v>
      </c>
      <c r="AR139" s="10" t="b">
        <f>IF(AND(I139="TP",S139&lt;=300),VLOOKUP(AF139,TPCalibEq300!$AZ$2:$BB$166,3,),IF(AND(I139="TDP",S139&lt;=300),VLOOKUP(AF139,TPCalibEq300!$AZ$2:$BB$166,3,)))</f>
        <v>0</v>
      </c>
      <c r="AS139" s="10" t="b">
        <f>IF(AND(I139="TP",S139&lt;=500),VLOOKUP(AF139,TPCalibEq500!$AZ$2:$BB$165,3,),IF(AND(I139="TDP",S139&lt;=500),VLOOKUP(AF139,TPCalibEq500!$AZ$2:$BB$165,3,)))</f>
        <v>0</v>
      </c>
      <c r="AT139" s="10" t="str">
        <f>IF(AND(I139="TN",S139&lt;=2800),VLOOKUP(AF139,TNCalibEq2500!$AZ$2:$BB$165,3,),IF(AND(I139="TDN",S139&lt;=2800),VLOOKUP(AF139,TNCalibEq2500!$AZ$2:$BB$165,3,)))</f>
        <v>y=-0.1957x2+248.26x-106.67</v>
      </c>
      <c r="AU139" s="10" t="str">
        <f>IF(I139="TP",VLOOKUP(AF139,TPCalibEqFull!$AZ$2:$BB$165,3),IF(I139="TDP",VLOOKUP(AF139,TPCalibEqFull!$AZ$2:$BB$165,3),IF(I139="TDN",VLOOKUP(AF139,TNCalibEqFull!$AZ$2:$BB$164,3),IF(I139="TN",VLOOKUP(AF139,TNCalibEqFull!$AZ$2:$BB$164,3),FALSE))))</f>
        <v>y=-0.184x2+251.8x-113.39</v>
      </c>
      <c r="AV139" s="10" t="str">
        <f t="shared" si="36"/>
        <v>20240810 00:00:00-1000-17-Sh-2-SW-UKN</v>
      </c>
    </row>
    <row r="140" spans="1:48" s="10" customFormat="1" x14ac:dyDescent="0.3">
      <c r="A140" s="32">
        <v>45514</v>
      </c>
      <c r="B140" s="33">
        <v>0</v>
      </c>
      <c r="C140" s="10">
        <v>1000</v>
      </c>
      <c r="D140" s="10">
        <v>17</v>
      </c>
      <c r="E140" s="10" t="s">
        <v>954</v>
      </c>
      <c r="F140" s="10">
        <v>1</v>
      </c>
      <c r="G140" s="10" t="s">
        <v>229</v>
      </c>
      <c r="H140" s="10" t="s">
        <v>320</v>
      </c>
      <c r="I140" s="10" t="s">
        <v>233</v>
      </c>
      <c r="J140" s="10">
        <v>26</v>
      </c>
      <c r="K140" s="12">
        <v>45686</v>
      </c>
      <c r="L140" s="33">
        <v>0.75010416666666668</v>
      </c>
      <c r="M140" s="10">
        <v>1</v>
      </c>
      <c r="N140" s="10" t="s">
        <v>194</v>
      </c>
      <c r="O140" s="10">
        <v>2.2200000000000002</v>
      </c>
      <c r="P140" s="10">
        <v>0.13800000000000001</v>
      </c>
      <c r="Q140" s="10">
        <v>442</v>
      </c>
      <c r="R140" s="10" t="s">
        <v>168</v>
      </c>
      <c r="S140" s="34">
        <f t="shared" si="29"/>
        <v>444.69917440000006</v>
      </c>
      <c r="T140" s="10" t="s">
        <v>958</v>
      </c>
      <c r="U140" s="34" t="str">
        <f t="shared" si="35"/>
        <v/>
      </c>
      <c r="V140" s="31" t="str">
        <f>IF(H140="CHK",VLOOKUP(I140,QCCHK,3,),IF(H140="GUP",VLOOKUP(E140,QCGUP,2,),IF(AND(H140="ATP",OR(I140="TN",I140="TDN",I140="TNO2-3",I140="NO2-3")),VLOOKUP(E140,QCREC_N,2,),IF(AND(H140="NIC",OR(I140="TN",I140="TDN",I140="TNO2-3",I140="NO2-3")),VLOOKUP(E140,QCNIC_N,2,),IF(AND(H140="UREA",OR(I140="TN",I140="TDN",I140="TNO2-3",I140="NO2-3")),VLOOKUP(E140,QCUREA_N,2,),IF(H140="PER",VLOOKUP(I140,QCPER,MATCH(E140,QCACTUAL!$J$25:$AA$25,0),),IF(H140="SPK",VLOOKUP(I140,QCSPK,3,),IF(AND(H140="ATP",OR(I140="TP",I140="TDP")),VLOOKUP(E140,QCATP_P,2,),""))))))))</f>
        <v/>
      </c>
      <c r="W140" s="31" t="str">
        <f t="shared" si="30"/>
        <v>TRUE</v>
      </c>
      <c r="X140" s="31" t="str">
        <f t="shared" si="31"/>
        <v/>
      </c>
      <c r="Y140" s="10" t="s">
        <v>957</v>
      </c>
      <c r="AF140" s="12">
        <v>45686</v>
      </c>
      <c r="AJ140" s="10">
        <f>-0.1957*2.22^2+248.26*2.22-106.67</f>
        <v>443.50271212000001</v>
      </c>
      <c r="AK140" s="10">
        <f>-0.184*2.22^2+251.8*2.22-113.39</f>
        <v>444.69917440000006</v>
      </c>
      <c r="AL140" s="10" t="str">
        <f t="shared" si="32"/>
        <v>FALSE</v>
      </c>
      <c r="AM140" s="10" t="str">
        <f t="shared" si="32"/>
        <v>FALSE</v>
      </c>
      <c r="AN140" s="10" t="str">
        <f t="shared" si="32"/>
        <v>FALSE</v>
      </c>
      <c r="AO140" s="10" t="str">
        <f t="shared" si="33"/>
        <v>y=-0.1957*2.22^2+248.26*2.22-106.67</v>
      </c>
      <c r="AP140" s="10" t="str">
        <f t="shared" si="33"/>
        <v>y=-0.184*2.22^2+251.8*2.22-113.39</v>
      </c>
      <c r="AQ140" s="10" t="b">
        <f>IF(AND(I140="TP",S140&lt;=150),VLOOKUP(AF140,TPCalibEq150!$AZ$2:$BB$166,3,),IF(AND(I140="TDP",S140&lt;=150),VLOOKUP(AF140,TPCalibEq150!$AZ$2:$BB$166,3,)))</f>
        <v>0</v>
      </c>
      <c r="AR140" s="10" t="b">
        <f>IF(AND(I140="TP",S140&lt;=300),VLOOKUP(AF140,TPCalibEq300!$AZ$2:$BB$166,3,),IF(AND(I140="TDP",S140&lt;=300),VLOOKUP(AF140,TPCalibEq300!$AZ$2:$BB$166,3,)))</f>
        <v>0</v>
      </c>
      <c r="AS140" s="10" t="b">
        <f>IF(AND(I140="TP",S140&lt;=500),VLOOKUP(AF140,TPCalibEq500!$AZ$2:$BB$165,3,),IF(AND(I140="TDP",S140&lt;=500),VLOOKUP(AF140,TPCalibEq500!$AZ$2:$BB$165,3,)))</f>
        <v>0</v>
      </c>
      <c r="AT140" s="10" t="str">
        <f>IF(AND(I140="TN",S140&lt;=2800),VLOOKUP(AF140,TNCalibEq2500!$AZ$2:$BB$165,3,),IF(AND(I140="TDN",S140&lt;=2800),VLOOKUP(AF140,TNCalibEq2500!$AZ$2:$BB$165,3,)))</f>
        <v>y=-0.1957x2+248.26x-106.67</v>
      </c>
      <c r="AU140" s="10" t="str">
        <f>IF(I140="TP",VLOOKUP(AF140,TPCalibEqFull!$AZ$2:$BB$165,3),IF(I140="TDP",VLOOKUP(AF140,TPCalibEqFull!$AZ$2:$BB$165,3),IF(I140="TDN",VLOOKUP(AF140,TNCalibEqFull!$AZ$2:$BB$164,3),IF(I140="TN",VLOOKUP(AF140,TNCalibEqFull!$AZ$2:$BB$164,3),FALSE))))</f>
        <v>y=-0.184x2+251.8x-113.39</v>
      </c>
      <c r="AV140" s="10" t="str">
        <f t="shared" si="36"/>
        <v>20240810 00:00:00-1000-17-Dp-1-SW-UKN</v>
      </c>
    </row>
    <row r="141" spans="1:48" s="10" customFormat="1" x14ac:dyDescent="0.3">
      <c r="A141" s="32">
        <v>45514</v>
      </c>
      <c r="B141" s="33">
        <v>0</v>
      </c>
      <c r="C141" s="10">
        <v>1000</v>
      </c>
      <c r="D141" s="10">
        <v>18</v>
      </c>
      <c r="E141" s="10" t="s">
        <v>953</v>
      </c>
      <c r="F141" s="10">
        <v>1</v>
      </c>
      <c r="G141" s="10" t="s">
        <v>72</v>
      </c>
      <c r="H141" s="10" t="s">
        <v>239</v>
      </c>
      <c r="I141" s="10" t="s">
        <v>233</v>
      </c>
      <c r="J141" s="10">
        <v>27</v>
      </c>
      <c r="K141" s="12">
        <v>45686</v>
      </c>
      <c r="L141" s="33">
        <v>0.7507638888888889</v>
      </c>
      <c r="M141" s="10">
        <v>1</v>
      </c>
      <c r="N141" s="10" t="s">
        <v>194</v>
      </c>
      <c r="O141" s="10">
        <v>0.51600000000000001</v>
      </c>
      <c r="P141" s="10">
        <v>3.2899999999999999E-2</v>
      </c>
      <c r="Q141" s="10">
        <v>20.8</v>
      </c>
      <c r="R141" s="10" t="s">
        <v>168</v>
      </c>
      <c r="S141" s="34">
        <f t="shared" si="29"/>
        <v>21.380053700799991</v>
      </c>
      <c r="T141" s="10" t="s">
        <v>958</v>
      </c>
      <c r="U141" s="34" t="str">
        <f t="shared" si="35"/>
        <v/>
      </c>
      <c r="V141" s="31" t="str">
        <f>IF(H141="CHK",VLOOKUP(I141,QCCHK,3,),IF(H141="GUP",VLOOKUP(E141,QCGUP,2,),IF(AND(H141="ATP",OR(I141="TN",I141="TDN",I141="TNO2-3",I141="NO2-3")),VLOOKUP(E141,QCREC_N,2,),IF(AND(H141="NIC",OR(I141="TN",I141="TDN",I141="TNO2-3",I141="NO2-3")),VLOOKUP(E141,QCNIC_N,2,),IF(AND(H141="UREA",OR(I141="TN",I141="TDN",I141="TNO2-3",I141="NO2-3")),VLOOKUP(E141,QCUREA_N,2,),IF(H141="PER",VLOOKUP(I141,QCPER,MATCH(E141,QCACTUAL!$J$25:$AA$25,0),),IF(H141="SPK",VLOOKUP(I141,QCSPK,3,),IF(AND(H141="ATP",OR(I141="TP",I141="TDP")),VLOOKUP(E141,QCATP_P,2,),""))))))))</f>
        <v/>
      </c>
      <c r="W141" s="31" t="str">
        <f t="shared" si="30"/>
        <v>TRUE</v>
      </c>
      <c r="X141" s="31" t="str">
        <f t="shared" si="31"/>
        <v/>
      </c>
      <c r="Y141" s="10" t="s">
        <v>957</v>
      </c>
      <c r="AF141" s="12">
        <v>45686</v>
      </c>
      <c r="AJ141" s="10">
        <f>-0.1957*0.516^2+248.26*0.516-106.67</f>
        <v>21.380053700799991</v>
      </c>
      <c r="AK141" s="10">
        <f>-0.184*0.516^2+251.8*0.516-113.39</f>
        <v>16.489808895999985</v>
      </c>
      <c r="AL141" s="10" t="str">
        <f t="shared" si="32"/>
        <v>FALSE</v>
      </c>
      <c r="AM141" s="10" t="str">
        <f t="shared" si="32"/>
        <v>FALSE</v>
      </c>
      <c r="AN141" s="10" t="str">
        <f t="shared" si="32"/>
        <v>FALSE</v>
      </c>
      <c r="AO141" s="10" t="str">
        <f t="shared" si="33"/>
        <v>y=-0.1957*0.516^2+248.26*0.516-106.67</v>
      </c>
      <c r="AP141" s="10" t="str">
        <f t="shared" si="33"/>
        <v>y=-0.184*0.516^2+251.8*0.516-113.39</v>
      </c>
      <c r="AQ141" s="10" t="b">
        <f>IF(AND(I141="TP",S141&lt;=150),VLOOKUP(AF141,TPCalibEq150!$AZ$2:$BB$166,3,),IF(AND(I141="TDP",S141&lt;=150),VLOOKUP(AF141,TPCalibEq150!$AZ$2:$BB$166,3,)))</f>
        <v>0</v>
      </c>
      <c r="AR141" s="10" t="b">
        <f>IF(AND(I141="TP",S141&lt;=300),VLOOKUP(AF141,TPCalibEq300!$AZ$2:$BB$166,3,),IF(AND(I141="TDP",S141&lt;=300),VLOOKUP(AF141,TPCalibEq300!$AZ$2:$BB$166,3,)))</f>
        <v>0</v>
      </c>
      <c r="AS141" s="10" t="b">
        <f>IF(AND(I141="TP",S141&lt;=500),VLOOKUP(AF141,TPCalibEq500!$AZ$2:$BB$165,3,),IF(AND(I141="TDP",S141&lt;=500),VLOOKUP(AF141,TPCalibEq500!$AZ$2:$BB$165,3,)))</f>
        <v>0</v>
      </c>
      <c r="AT141" s="10" t="str">
        <f>IF(AND(I141="TN",S141&lt;=2800),VLOOKUP(AF141,TNCalibEq2500!$AZ$2:$BB$165,3,),IF(AND(I141="TDN",S141&lt;=2800),VLOOKUP(AF141,TNCalibEq2500!$AZ$2:$BB$165,3,)))</f>
        <v>y=-0.1957x2+248.26x-106.67</v>
      </c>
      <c r="AU141" s="10" t="str">
        <f>IF(I141="TP",VLOOKUP(AF141,TPCalibEqFull!$AZ$2:$BB$165,3),IF(I141="TDP",VLOOKUP(AF141,TPCalibEqFull!$AZ$2:$BB$165,3),IF(I141="TDN",VLOOKUP(AF141,TNCalibEqFull!$AZ$2:$BB$164,3),IF(I141="TN",VLOOKUP(AF141,TNCalibEqFull!$AZ$2:$BB$164,3),FALSE))))</f>
        <v>y=-0.184x2+251.8x-113.39</v>
      </c>
      <c r="AV141" s="10" t="str">
        <f t="shared" si="36"/>
        <v>20240810 00:00:00-1000-18-Sh-1-DI-BLK</v>
      </c>
    </row>
    <row r="142" spans="1:48" s="10" customFormat="1" x14ac:dyDescent="0.3">
      <c r="A142" s="32">
        <v>45514</v>
      </c>
      <c r="B142" s="33">
        <v>0</v>
      </c>
      <c r="C142" s="10">
        <v>1000</v>
      </c>
      <c r="D142" s="10">
        <v>18</v>
      </c>
      <c r="E142" s="10" t="s">
        <v>953</v>
      </c>
      <c r="F142" s="10">
        <v>1</v>
      </c>
      <c r="G142" s="10" t="s">
        <v>229</v>
      </c>
      <c r="H142" s="10" t="s">
        <v>320</v>
      </c>
      <c r="I142" s="10" t="s">
        <v>233</v>
      </c>
      <c r="J142" s="10">
        <v>28</v>
      </c>
      <c r="K142" s="12">
        <v>45686</v>
      </c>
      <c r="L142" s="33">
        <v>0.75142361111111111</v>
      </c>
      <c r="M142" s="10">
        <v>1</v>
      </c>
      <c r="N142" s="10" t="s">
        <v>194</v>
      </c>
      <c r="O142" s="10">
        <v>1.35</v>
      </c>
      <c r="P142" s="10">
        <v>8.3400000000000002E-2</v>
      </c>
      <c r="Q142" s="10">
        <v>227</v>
      </c>
      <c r="R142" s="10" t="s">
        <v>168</v>
      </c>
      <c r="S142" s="34">
        <f t="shared" si="29"/>
        <v>228.12433675</v>
      </c>
      <c r="T142" s="10" t="s">
        <v>958</v>
      </c>
      <c r="U142" s="34" t="str">
        <f t="shared" si="35"/>
        <v/>
      </c>
      <c r="V142" s="31" t="str">
        <f>IF(H142="CHK",VLOOKUP(I142,QCCHK,3,),IF(H142="GUP",VLOOKUP(E142,QCGUP,2,),IF(AND(H142="ATP",OR(I142="TN",I142="TDN",I142="TNO2-3",I142="NO2-3")),VLOOKUP(E142,QCREC_N,2,),IF(AND(H142="NIC",OR(I142="TN",I142="TDN",I142="TNO2-3",I142="NO2-3")),VLOOKUP(E142,QCNIC_N,2,),IF(AND(H142="UREA",OR(I142="TN",I142="TDN",I142="TNO2-3",I142="NO2-3")),VLOOKUP(E142,QCUREA_N,2,),IF(H142="PER",VLOOKUP(I142,QCPER,MATCH(E142,QCACTUAL!$J$25:$AA$25,0),),IF(H142="SPK",VLOOKUP(I142,QCSPK,3,),IF(AND(H142="ATP",OR(I142="TP",I142="TDP")),VLOOKUP(E142,QCATP_P,2,),""))))))))</f>
        <v/>
      </c>
      <c r="W142" s="31" t="str">
        <f t="shared" si="30"/>
        <v>TRUE</v>
      </c>
      <c r="X142" s="31" t="str">
        <f t="shared" si="31"/>
        <v/>
      </c>
      <c r="Y142" s="10" t="s">
        <v>957</v>
      </c>
      <c r="AF142" s="12">
        <v>45686</v>
      </c>
      <c r="AJ142" s="10">
        <f>-0.1957*1.35^2+248.26*1.35-106.67</f>
        <v>228.12433675</v>
      </c>
      <c r="AK142" s="10">
        <f>-0.184*1.35^2+251.8*1.35-113.39</f>
        <v>226.2046600000001</v>
      </c>
      <c r="AL142" s="10" t="str">
        <f t="shared" si="32"/>
        <v>FALSE</v>
      </c>
      <c r="AM142" s="10" t="str">
        <f t="shared" si="32"/>
        <v>FALSE</v>
      </c>
      <c r="AN142" s="10" t="str">
        <f t="shared" si="32"/>
        <v>FALSE</v>
      </c>
      <c r="AO142" s="10" t="str">
        <f t="shared" si="33"/>
        <v>y=-0.1957*1.35^2+248.26*1.35-106.67</v>
      </c>
      <c r="AP142" s="10" t="str">
        <f t="shared" si="33"/>
        <v>y=-0.184*1.35^2+251.8*1.35-113.39</v>
      </c>
      <c r="AQ142" s="10" t="b">
        <f>IF(AND(I142="TP",S142&lt;=150),VLOOKUP(AF142,TPCalibEq150!$AZ$2:$BB$166,3,),IF(AND(I142="TDP",S142&lt;=150),VLOOKUP(AF142,TPCalibEq150!$AZ$2:$BB$166,3,)))</f>
        <v>0</v>
      </c>
      <c r="AR142" s="10" t="b">
        <f>IF(AND(I142="TP",S142&lt;=300),VLOOKUP(AF142,TPCalibEq300!$AZ$2:$BB$166,3,),IF(AND(I142="TDP",S142&lt;=300),VLOOKUP(AF142,TPCalibEq300!$AZ$2:$BB$166,3,)))</f>
        <v>0</v>
      </c>
      <c r="AS142" s="10" t="b">
        <f>IF(AND(I142="TP",S142&lt;=500),VLOOKUP(AF142,TPCalibEq500!$AZ$2:$BB$165,3,),IF(AND(I142="TDP",S142&lt;=500),VLOOKUP(AF142,TPCalibEq500!$AZ$2:$BB$165,3,)))</f>
        <v>0</v>
      </c>
      <c r="AT142" s="10" t="str">
        <f>IF(AND(I142="TN",S142&lt;=2800),VLOOKUP(AF142,TNCalibEq2500!$AZ$2:$BB$165,3,),IF(AND(I142="TDN",S142&lt;=2800),VLOOKUP(AF142,TNCalibEq2500!$AZ$2:$BB$165,3,)))</f>
        <v>y=-0.1957x2+248.26x-106.67</v>
      </c>
      <c r="AU142" s="10" t="str">
        <f>IF(I142="TP",VLOOKUP(AF142,TPCalibEqFull!$AZ$2:$BB$165,3),IF(I142="TDP",VLOOKUP(AF142,TPCalibEqFull!$AZ$2:$BB$165,3),IF(I142="TDN",VLOOKUP(AF142,TNCalibEqFull!$AZ$2:$BB$164,3),IF(I142="TN",VLOOKUP(AF142,TNCalibEqFull!$AZ$2:$BB$164,3),FALSE))))</f>
        <v>y=-0.184x2+251.8x-113.39</v>
      </c>
      <c r="AV142" s="10" t="str">
        <f t="shared" si="36"/>
        <v>20240810 00:00:00-1000-18-Sh-1-SW-UKN</v>
      </c>
    </row>
    <row r="143" spans="1:48" s="10" customFormat="1" x14ac:dyDescent="0.3">
      <c r="A143" s="32">
        <v>45514</v>
      </c>
      <c r="B143" s="33">
        <v>0</v>
      </c>
      <c r="C143" s="10">
        <v>1000</v>
      </c>
      <c r="D143" s="10">
        <v>18</v>
      </c>
      <c r="E143" s="10" t="s">
        <v>953</v>
      </c>
      <c r="F143" s="10">
        <v>2</v>
      </c>
      <c r="G143" s="10" t="s">
        <v>229</v>
      </c>
      <c r="H143" s="10" t="s">
        <v>320</v>
      </c>
      <c r="I143" s="10" t="s">
        <v>233</v>
      </c>
      <c r="J143" s="10">
        <v>29</v>
      </c>
      <c r="K143" s="12">
        <v>45686</v>
      </c>
      <c r="L143" s="33">
        <v>0.75208333333333333</v>
      </c>
      <c r="M143" s="10">
        <v>1</v>
      </c>
      <c r="N143" s="10" t="s">
        <v>194</v>
      </c>
      <c r="O143" s="10">
        <v>1.21</v>
      </c>
      <c r="P143" s="10">
        <v>7.5399999999999995E-2</v>
      </c>
      <c r="Q143" s="10">
        <v>194</v>
      </c>
      <c r="R143" s="10" t="s">
        <v>168</v>
      </c>
      <c r="S143" s="34">
        <f t="shared" si="29"/>
        <v>194</v>
      </c>
      <c r="T143" s="10" t="s">
        <v>958</v>
      </c>
      <c r="U143" s="34" t="str">
        <f t="shared" si="35"/>
        <v/>
      </c>
      <c r="V143" s="31" t="str">
        <f>IF(H143="CHK",VLOOKUP(I143,QCCHK,3,),IF(H143="GUP",VLOOKUP(E143,QCGUP,2,),IF(AND(H143="ATP",OR(I143="TN",I143="TDN",I143="TNO2-3",I143="NO2-3")),VLOOKUP(E143,QCREC_N,2,),IF(AND(H143="NIC",OR(I143="TN",I143="TDN",I143="TNO2-3",I143="NO2-3")),VLOOKUP(E143,QCNIC_N,2,),IF(AND(H143="UREA",OR(I143="TN",I143="TDN",I143="TNO2-3",I143="NO2-3")),VLOOKUP(E143,QCUREA_N,2,),IF(H143="PER",VLOOKUP(I143,QCPER,MATCH(E143,QCACTUAL!$J$25:$AA$25,0),),IF(H143="SPK",VLOOKUP(I143,QCSPK,3,),IF(AND(H143="ATP",OR(I143="TP",I143="TDP")),VLOOKUP(E143,QCATP_P,2,),""))))))))</f>
        <v/>
      </c>
      <c r="W143" s="31" t="str">
        <f t="shared" si="30"/>
        <v>TRUE</v>
      </c>
      <c r="X143" s="31" t="str">
        <f t="shared" si="31"/>
        <v/>
      </c>
      <c r="Y143" s="10" t="s">
        <v>957</v>
      </c>
      <c r="AF143" s="12">
        <v>45686</v>
      </c>
      <c r="AJ143" s="10">
        <f>-0.1957*1.21^2+248.26*1.21-106.67</f>
        <v>193.43807562999996</v>
      </c>
      <c r="AK143" s="10">
        <f>-0.184*1.21^2+251.8*1.21-113.39</f>
        <v>191.0186056</v>
      </c>
      <c r="AL143" s="10" t="str">
        <f t="shared" si="32"/>
        <v>FALSE</v>
      </c>
      <c r="AM143" s="10" t="str">
        <f t="shared" si="32"/>
        <v>FALSE</v>
      </c>
      <c r="AN143" s="10" t="str">
        <f t="shared" si="32"/>
        <v>FALSE</v>
      </c>
      <c r="AO143" s="10" t="str">
        <f t="shared" si="33"/>
        <v>y=-0.1957*1.21^2+248.26*1.21-106.67</v>
      </c>
      <c r="AP143" s="10" t="str">
        <f t="shared" si="33"/>
        <v>y=-0.184*1.21^2+251.8*1.21-113.39</v>
      </c>
      <c r="AQ143" s="10" t="b">
        <f>IF(AND(I143="TP",S143&lt;=150),VLOOKUP(AF143,TPCalibEq150!$AZ$2:$BB$166,3,),IF(AND(I143="TDP",S143&lt;=150),VLOOKUP(AF143,TPCalibEq150!$AZ$2:$BB$166,3,)))</f>
        <v>0</v>
      </c>
      <c r="AR143" s="10" t="b">
        <f>IF(AND(I143="TP",S143&lt;=300),VLOOKUP(AF143,TPCalibEq300!$AZ$2:$BB$166,3,),IF(AND(I143="TDP",S143&lt;=300),VLOOKUP(AF143,TPCalibEq300!$AZ$2:$BB$166,3,)))</f>
        <v>0</v>
      </c>
      <c r="AS143" s="10" t="b">
        <f>IF(AND(I143="TP",S143&lt;=500),VLOOKUP(AF143,TPCalibEq500!$AZ$2:$BB$165,3,),IF(AND(I143="TDP",S143&lt;=500),VLOOKUP(AF143,TPCalibEq500!$AZ$2:$BB$165,3,)))</f>
        <v>0</v>
      </c>
      <c r="AT143" s="10" t="str">
        <f>IF(AND(I143="TN",S143&lt;=2800),VLOOKUP(AF143,TNCalibEq2500!$AZ$2:$BB$165,3,),IF(AND(I143="TDN",S143&lt;=2800),VLOOKUP(AF143,TNCalibEq2500!$AZ$2:$BB$165,3,)))</f>
        <v>y=-0.1957x2+248.26x-106.67</v>
      </c>
      <c r="AU143" s="10" t="str">
        <f>IF(I143="TP",VLOOKUP(AF143,TPCalibEqFull!$AZ$2:$BB$165,3),IF(I143="TDP",VLOOKUP(AF143,TPCalibEqFull!$AZ$2:$BB$165,3),IF(I143="TDN",VLOOKUP(AF143,TNCalibEqFull!$AZ$2:$BB$164,3),IF(I143="TN",VLOOKUP(AF143,TNCalibEqFull!$AZ$2:$BB$164,3),FALSE))))</f>
        <v>y=-0.184x2+251.8x-113.39</v>
      </c>
      <c r="AV143" s="10" t="str">
        <f t="shared" si="36"/>
        <v>20240810 00:00:00-1000-18-Sh-2-SW-UKN</v>
      </c>
    </row>
    <row r="144" spans="1:48" s="10" customFormat="1" x14ac:dyDescent="0.3">
      <c r="A144" s="32">
        <v>45514</v>
      </c>
      <c r="B144" s="33">
        <v>0</v>
      </c>
      <c r="C144" s="10">
        <v>1000</v>
      </c>
      <c r="D144" s="10">
        <v>18</v>
      </c>
      <c r="E144" s="10" t="s">
        <v>954</v>
      </c>
      <c r="F144" s="10">
        <v>1</v>
      </c>
      <c r="G144" s="10" t="s">
        <v>229</v>
      </c>
      <c r="H144" s="10" t="s">
        <v>320</v>
      </c>
      <c r="I144" s="10" t="s">
        <v>233</v>
      </c>
      <c r="J144" s="10">
        <v>30</v>
      </c>
      <c r="K144" s="12">
        <v>45686</v>
      </c>
      <c r="L144" s="33">
        <v>0.75275462962962969</v>
      </c>
      <c r="M144" s="10">
        <v>1</v>
      </c>
      <c r="N144" s="10" t="s">
        <v>194</v>
      </c>
      <c r="O144" s="10">
        <v>1.87</v>
      </c>
      <c r="P144" s="10">
        <v>0.11600000000000001</v>
      </c>
      <c r="Q144" s="10">
        <v>358</v>
      </c>
      <c r="R144" s="10" t="s">
        <v>168</v>
      </c>
      <c r="S144" s="34">
        <f t="shared" si="29"/>
        <v>358</v>
      </c>
      <c r="T144" s="10" t="s">
        <v>958</v>
      </c>
      <c r="U144" s="34" t="str">
        <f t="shared" si="35"/>
        <v/>
      </c>
      <c r="V144" s="31" t="str">
        <f>IF(H144="CHK",VLOOKUP(I144,QCCHK,3,),IF(H144="GUP",VLOOKUP(E144,QCGUP,2,),IF(AND(H144="ATP",OR(I144="TN",I144="TDN",I144="TNO2-3",I144="NO2-3")),VLOOKUP(E144,QCREC_N,2,),IF(AND(H144="NIC",OR(I144="TN",I144="TDN",I144="TNO2-3",I144="NO2-3")),VLOOKUP(E144,QCNIC_N,2,),IF(AND(H144="UREA",OR(I144="TN",I144="TDN",I144="TNO2-3",I144="NO2-3")),VLOOKUP(E144,QCUREA_N,2,),IF(H144="PER",VLOOKUP(I144,QCPER,MATCH(E144,QCACTUAL!$J$25:$AA$25,0),),IF(H144="SPK",VLOOKUP(I144,QCSPK,3,),IF(AND(H144="ATP",OR(I144="TP",I144="TDP")),VLOOKUP(E144,QCATP_P,2,),""))))))))</f>
        <v/>
      </c>
      <c r="W144" s="31" t="str">
        <f t="shared" si="30"/>
        <v>TRUE</v>
      </c>
      <c r="X144" s="31" t="str">
        <f t="shared" si="31"/>
        <v/>
      </c>
      <c r="Y144" s="10" t="s">
        <v>957</v>
      </c>
      <c r="AF144" s="12">
        <v>45686</v>
      </c>
      <c r="AJ144" s="10">
        <f>-0.1957*1.87^2+248.26*1.87-106.67</f>
        <v>356.89185666999998</v>
      </c>
      <c r="AK144" s="10">
        <f>-0.184*1.87^2+251.8*1.87-113.39</f>
        <v>356.83257040000007</v>
      </c>
      <c r="AL144" s="10" t="str">
        <f t="shared" si="32"/>
        <v>FALSE</v>
      </c>
      <c r="AM144" s="10" t="str">
        <f t="shared" si="32"/>
        <v>FALSE</v>
      </c>
      <c r="AN144" s="10" t="str">
        <f t="shared" si="32"/>
        <v>FALSE</v>
      </c>
      <c r="AO144" s="10" t="str">
        <f t="shared" si="33"/>
        <v>y=-0.1957*1.87^2+248.26*1.87-106.67</v>
      </c>
      <c r="AP144" s="10" t="str">
        <f t="shared" si="33"/>
        <v>y=-0.184*1.87^2+251.8*1.87-113.39</v>
      </c>
      <c r="AQ144" s="10" t="b">
        <f>IF(AND(I144="TP",S144&lt;=150),VLOOKUP(AF144,TPCalibEq150!$AZ$2:$BB$166,3,),IF(AND(I144="TDP",S144&lt;=150),VLOOKUP(AF144,TPCalibEq150!$AZ$2:$BB$166,3,)))</f>
        <v>0</v>
      </c>
      <c r="AR144" s="10" t="b">
        <f>IF(AND(I144="TP",S144&lt;=300),VLOOKUP(AF144,TPCalibEq300!$AZ$2:$BB$166,3,),IF(AND(I144="TDP",S144&lt;=300),VLOOKUP(AF144,TPCalibEq300!$AZ$2:$BB$166,3,)))</f>
        <v>0</v>
      </c>
      <c r="AS144" s="10" t="b">
        <f>IF(AND(I144="TP",S144&lt;=500),VLOOKUP(AF144,TPCalibEq500!$AZ$2:$BB$165,3,),IF(AND(I144="TDP",S144&lt;=500),VLOOKUP(AF144,TPCalibEq500!$AZ$2:$BB$165,3,)))</f>
        <v>0</v>
      </c>
      <c r="AT144" s="10" t="str">
        <f>IF(AND(I144="TN",S144&lt;=2800),VLOOKUP(AF144,TNCalibEq2500!$AZ$2:$BB$165,3,),IF(AND(I144="TDN",S144&lt;=2800),VLOOKUP(AF144,TNCalibEq2500!$AZ$2:$BB$165,3,)))</f>
        <v>y=-0.1957x2+248.26x-106.67</v>
      </c>
      <c r="AU144" s="10" t="str">
        <f>IF(I144="TP",VLOOKUP(AF144,TPCalibEqFull!$AZ$2:$BB$165,3),IF(I144="TDP",VLOOKUP(AF144,TPCalibEqFull!$AZ$2:$BB$165,3),IF(I144="TDN",VLOOKUP(AF144,TNCalibEqFull!$AZ$2:$BB$164,3),IF(I144="TN",VLOOKUP(AF144,TNCalibEqFull!$AZ$2:$BB$164,3),FALSE))))</f>
        <v>y=-0.184x2+251.8x-113.39</v>
      </c>
      <c r="AV144" s="10" t="str">
        <f t="shared" si="36"/>
        <v>20240810 00:00:00-1000-18-Dp-1-SW-UKN</v>
      </c>
    </row>
    <row r="145" spans="1:48" s="10" customFormat="1" x14ac:dyDescent="0.3">
      <c r="A145" s="32">
        <v>45514</v>
      </c>
      <c r="B145" s="33">
        <v>0</v>
      </c>
      <c r="C145" s="10">
        <v>1000</v>
      </c>
      <c r="D145" s="10">
        <v>26</v>
      </c>
      <c r="E145" s="10" t="s">
        <v>953</v>
      </c>
      <c r="F145" s="10">
        <v>1</v>
      </c>
      <c r="G145" s="10" t="s">
        <v>72</v>
      </c>
      <c r="H145" s="10" t="s">
        <v>239</v>
      </c>
      <c r="I145" s="10" t="s">
        <v>233</v>
      </c>
      <c r="J145" s="10">
        <v>31</v>
      </c>
      <c r="K145" s="12">
        <v>45686</v>
      </c>
      <c r="L145" s="33">
        <v>0.75342592592592583</v>
      </c>
      <c r="M145" s="10">
        <v>1</v>
      </c>
      <c r="N145" s="10" t="s">
        <v>194</v>
      </c>
      <c r="O145" s="10">
        <v>0.41299999999999998</v>
      </c>
      <c r="P145" s="10">
        <v>2.53E-2</v>
      </c>
      <c r="Q145" s="10">
        <v>-4.79</v>
      </c>
      <c r="R145" s="10" t="s">
        <v>168</v>
      </c>
      <c r="S145" s="34">
        <f t="shared" si="29"/>
        <v>-4.1720003533000209</v>
      </c>
      <c r="T145" s="10" t="s">
        <v>958</v>
      </c>
      <c r="U145" s="34" t="str">
        <f t="shared" si="35"/>
        <v/>
      </c>
      <c r="V145" s="31" t="str">
        <f>IF(H145="CHK",VLOOKUP(I145,QCCHK,3,),IF(H145="GUP",VLOOKUP(E145,QCGUP,2,),IF(AND(H145="ATP",OR(I145="TN",I145="TDN",I145="TNO2-3",I145="NO2-3")),VLOOKUP(E145,QCREC_N,2,),IF(AND(H145="NIC",OR(I145="TN",I145="TDN",I145="TNO2-3",I145="NO2-3")),VLOOKUP(E145,QCNIC_N,2,),IF(AND(H145="UREA",OR(I145="TN",I145="TDN",I145="TNO2-3",I145="NO2-3")),VLOOKUP(E145,QCUREA_N,2,),IF(H145="PER",VLOOKUP(I145,QCPER,MATCH(E145,QCACTUAL!$J$25:$AA$25,0),),IF(H145="SPK",VLOOKUP(I145,QCSPK,3,),IF(AND(H145="ATP",OR(I145="TP",I145="TDP")),VLOOKUP(E145,QCATP_P,2,),""))))))))</f>
        <v/>
      </c>
      <c r="W145" s="31" t="str">
        <f t="shared" si="30"/>
        <v>TRUE</v>
      </c>
      <c r="X145" s="31" t="str">
        <f t="shared" si="31"/>
        <v/>
      </c>
      <c r="Y145" s="10" t="s">
        <v>957</v>
      </c>
      <c r="AF145" s="12">
        <v>45686</v>
      </c>
      <c r="AJ145" s="10">
        <f>-0.1957*0.413^2+248.26*0.413-106.67</f>
        <v>-4.1720003533000209</v>
      </c>
      <c r="AK145" s="10">
        <f>-0.184*0.413^2+251.8*0.413-113.39</f>
        <v>-9.42798469600001</v>
      </c>
      <c r="AL145" s="10" t="str">
        <f t="shared" si="32"/>
        <v>FALSE</v>
      </c>
      <c r="AM145" s="10" t="str">
        <f t="shared" si="32"/>
        <v>FALSE</v>
      </c>
      <c r="AN145" s="10" t="str">
        <f t="shared" si="32"/>
        <v>FALSE</v>
      </c>
      <c r="AO145" s="10" t="str">
        <f t="shared" si="33"/>
        <v>y=-0.1957*0.413^2+248.26*0.413-106.67</v>
      </c>
      <c r="AP145" s="10" t="str">
        <f t="shared" si="33"/>
        <v>y=-0.184*0.413^2+251.8*0.413-113.39</v>
      </c>
      <c r="AQ145" s="10" t="b">
        <f>IF(AND(I145="TP",S145&lt;=150),VLOOKUP(AF145,TPCalibEq150!$AZ$2:$BB$166,3,),IF(AND(I145="TDP",S145&lt;=150),VLOOKUP(AF145,TPCalibEq150!$AZ$2:$BB$166,3,)))</f>
        <v>0</v>
      </c>
      <c r="AR145" s="10" t="b">
        <f>IF(AND(I145="TP",S145&lt;=300),VLOOKUP(AF145,TPCalibEq300!$AZ$2:$BB$166,3,),IF(AND(I145="TDP",S145&lt;=300),VLOOKUP(AF145,TPCalibEq300!$AZ$2:$BB$166,3,)))</f>
        <v>0</v>
      </c>
      <c r="AS145" s="10" t="b">
        <f>IF(AND(I145="TP",S145&lt;=500),VLOOKUP(AF145,TPCalibEq500!$AZ$2:$BB$165,3,),IF(AND(I145="TDP",S145&lt;=500),VLOOKUP(AF145,TPCalibEq500!$AZ$2:$BB$165,3,)))</f>
        <v>0</v>
      </c>
      <c r="AT145" s="10" t="str">
        <f>IF(AND(I145="TN",S145&lt;=2800),VLOOKUP(AF145,TNCalibEq2500!$AZ$2:$BB$165,3,),IF(AND(I145="TDN",S145&lt;=2800),VLOOKUP(AF145,TNCalibEq2500!$AZ$2:$BB$165,3,)))</f>
        <v>y=-0.1957x2+248.26x-106.67</v>
      </c>
      <c r="AU145" s="10" t="str">
        <f>IF(I145="TP",VLOOKUP(AF145,TPCalibEqFull!$AZ$2:$BB$165,3),IF(I145="TDP",VLOOKUP(AF145,TPCalibEqFull!$AZ$2:$BB$165,3),IF(I145="TDN",VLOOKUP(AF145,TNCalibEqFull!$AZ$2:$BB$164,3),IF(I145="TN",VLOOKUP(AF145,TNCalibEqFull!$AZ$2:$BB$164,3),FALSE))))</f>
        <v>y=-0.184x2+251.8x-113.39</v>
      </c>
      <c r="AV145" s="10" t="str">
        <f t="shared" si="36"/>
        <v>20240810 00:00:00-1000-26-Sh-1-DI-BLK</v>
      </c>
    </row>
    <row r="146" spans="1:48" s="10" customFormat="1" x14ac:dyDescent="0.3">
      <c r="A146" s="32">
        <v>45514</v>
      </c>
      <c r="B146" s="33">
        <v>0</v>
      </c>
      <c r="C146" s="10">
        <v>1000</v>
      </c>
      <c r="D146" s="10">
        <v>26</v>
      </c>
      <c r="E146" s="10" t="s">
        <v>953</v>
      </c>
      <c r="F146" s="10">
        <v>1</v>
      </c>
      <c r="G146" s="10" t="s">
        <v>229</v>
      </c>
      <c r="H146" s="10" t="s">
        <v>320</v>
      </c>
      <c r="I146" s="10" t="s">
        <v>233</v>
      </c>
      <c r="J146" s="10">
        <v>32</v>
      </c>
      <c r="K146" s="12">
        <v>45686</v>
      </c>
      <c r="L146" s="33">
        <v>0.75410879629629635</v>
      </c>
      <c r="M146" s="10">
        <v>1</v>
      </c>
      <c r="N146" s="10" t="s">
        <v>194</v>
      </c>
      <c r="O146" s="10">
        <v>1.32</v>
      </c>
      <c r="P146" s="10">
        <v>8.1799999999999998E-2</v>
      </c>
      <c r="Q146" s="10">
        <v>221</v>
      </c>
      <c r="R146" s="10" t="s">
        <v>168</v>
      </c>
      <c r="S146" s="34">
        <f t="shared" si="29"/>
        <v>221</v>
      </c>
      <c r="T146" s="10" t="s">
        <v>958</v>
      </c>
      <c r="U146" s="34" t="str">
        <f t="shared" si="35"/>
        <v/>
      </c>
      <c r="V146" s="31" t="str">
        <f>IF(H146="CHK",VLOOKUP(I146,QCCHK,3,),IF(H146="GUP",VLOOKUP(E146,QCGUP,2,),IF(AND(H146="ATP",OR(I146="TN",I146="TDN",I146="TNO2-3",I146="NO2-3")),VLOOKUP(E146,QCREC_N,2,),IF(AND(H146="NIC",OR(I146="TN",I146="TDN",I146="TNO2-3",I146="NO2-3")),VLOOKUP(E146,QCNIC_N,2,),IF(AND(H146="UREA",OR(I146="TN",I146="TDN",I146="TNO2-3",I146="NO2-3")),VLOOKUP(E146,QCUREA_N,2,),IF(H146="PER",VLOOKUP(I146,QCPER,MATCH(E146,QCACTUAL!$J$25:$AA$25,0),),IF(H146="SPK",VLOOKUP(I146,QCSPK,3,),IF(AND(H146="ATP",OR(I146="TP",I146="TDP")),VLOOKUP(E146,QCATP_P,2,),""))))))))</f>
        <v/>
      </c>
      <c r="W146" s="31" t="str">
        <f t="shared" si="30"/>
        <v>TRUE</v>
      </c>
      <c r="X146" s="31" t="str">
        <f t="shared" si="31"/>
        <v/>
      </c>
      <c r="Y146" s="10" t="s">
        <v>957</v>
      </c>
      <c r="AF146" s="12">
        <v>45686</v>
      </c>
      <c r="AJ146" s="10">
        <f>-0.1957*1.32^2+248.26*1.32-106.67</f>
        <v>220.69221231999995</v>
      </c>
      <c r="AK146" s="10">
        <f>-0.184*1.32^2+251.8*1.32-113.39</f>
        <v>218.66539840000007</v>
      </c>
      <c r="AL146" s="10" t="str">
        <f t="shared" si="32"/>
        <v>FALSE</v>
      </c>
      <c r="AM146" s="10" t="str">
        <f t="shared" si="32"/>
        <v>FALSE</v>
      </c>
      <c r="AN146" s="10" t="str">
        <f t="shared" si="32"/>
        <v>FALSE</v>
      </c>
      <c r="AO146" s="10" t="str">
        <f t="shared" si="33"/>
        <v>y=-0.1957*1.32^2+248.26*1.32-106.67</v>
      </c>
      <c r="AP146" s="10" t="str">
        <f t="shared" si="33"/>
        <v>y=-0.184*1.32^2+251.8*1.32-113.39</v>
      </c>
      <c r="AQ146" s="10" t="b">
        <f>IF(AND(I146="TP",S146&lt;=150),VLOOKUP(AF146,TPCalibEq150!$AZ$2:$BB$166,3,),IF(AND(I146="TDP",S146&lt;=150),VLOOKUP(AF146,TPCalibEq150!$AZ$2:$BB$166,3,)))</f>
        <v>0</v>
      </c>
      <c r="AR146" s="10" t="b">
        <f>IF(AND(I146="TP",S146&lt;=300),VLOOKUP(AF146,TPCalibEq300!$AZ$2:$BB$166,3,),IF(AND(I146="TDP",S146&lt;=300),VLOOKUP(AF146,TPCalibEq300!$AZ$2:$BB$166,3,)))</f>
        <v>0</v>
      </c>
      <c r="AS146" s="10" t="b">
        <f>IF(AND(I146="TP",S146&lt;=500),VLOOKUP(AF146,TPCalibEq500!$AZ$2:$BB$165,3,),IF(AND(I146="TDP",S146&lt;=500),VLOOKUP(AF146,TPCalibEq500!$AZ$2:$BB$165,3,)))</f>
        <v>0</v>
      </c>
      <c r="AT146" s="10" t="str">
        <f>IF(AND(I146="TN",S146&lt;=2800),VLOOKUP(AF146,TNCalibEq2500!$AZ$2:$BB$165,3,),IF(AND(I146="TDN",S146&lt;=2800),VLOOKUP(AF146,TNCalibEq2500!$AZ$2:$BB$165,3,)))</f>
        <v>y=-0.1957x2+248.26x-106.67</v>
      </c>
      <c r="AU146" s="10" t="str">
        <f>IF(I146="TP",VLOOKUP(AF146,TPCalibEqFull!$AZ$2:$BB$165,3),IF(I146="TDP",VLOOKUP(AF146,TPCalibEqFull!$AZ$2:$BB$165,3),IF(I146="TDN",VLOOKUP(AF146,TNCalibEqFull!$AZ$2:$BB$164,3),IF(I146="TN",VLOOKUP(AF146,TNCalibEqFull!$AZ$2:$BB$164,3),FALSE))))</f>
        <v>y=-0.184x2+251.8x-113.39</v>
      </c>
      <c r="AV146" s="10" t="str">
        <f t="shared" si="36"/>
        <v>20240810 00:00:00-1000-26-Sh-1-SW-UKN</v>
      </c>
    </row>
    <row r="147" spans="1:48" s="10" customFormat="1" x14ac:dyDescent="0.3">
      <c r="A147" s="32">
        <v>45514</v>
      </c>
      <c r="B147" s="33">
        <v>0</v>
      </c>
      <c r="C147" s="10">
        <v>1000</v>
      </c>
      <c r="D147" s="10">
        <v>26</v>
      </c>
      <c r="E147" s="10" t="s">
        <v>953</v>
      </c>
      <c r="F147" s="10">
        <v>2</v>
      </c>
      <c r="G147" s="10" t="s">
        <v>229</v>
      </c>
      <c r="H147" s="10" t="s">
        <v>320</v>
      </c>
      <c r="I147" s="10" t="s">
        <v>233</v>
      </c>
      <c r="J147" s="10">
        <v>33</v>
      </c>
      <c r="K147" s="12">
        <v>45686</v>
      </c>
      <c r="L147" s="33">
        <v>0.7547800925925926</v>
      </c>
      <c r="M147" s="10">
        <v>1</v>
      </c>
      <c r="N147" s="10" t="s">
        <v>194</v>
      </c>
      <c r="O147" s="10">
        <v>1.72</v>
      </c>
      <c r="P147" s="10">
        <v>0.107</v>
      </c>
      <c r="Q147" s="10">
        <v>320</v>
      </c>
      <c r="R147" s="10" t="s">
        <v>168</v>
      </c>
      <c r="S147" s="34">
        <f t="shared" si="29"/>
        <v>320</v>
      </c>
      <c r="T147" s="10" t="s">
        <v>958</v>
      </c>
      <c r="U147" s="34" t="str">
        <f t="shared" si="35"/>
        <v/>
      </c>
      <c r="V147" s="31" t="str">
        <f>IF(H147="CHK",VLOOKUP(I147,QCCHK,3,),IF(H147="GUP",VLOOKUP(E147,QCGUP,2,),IF(AND(H147="ATP",OR(I147="TN",I147="TDN",I147="TNO2-3",I147="NO2-3")),VLOOKUP(E147,QCREC_N,2,),IF(AND(H147="NIC",OR(I147="TN",I147="TDN",I147="TNO2-3",I147="NO2-3")),VLOOKUP(E147,QCNIC_N,2,),IF(AND(H147="UREA",OR(I147="TN",I147="TDN",I147="TNO2-3",I147="NO2-3")),VLOOKUP(E147,QCUREA_N,2,),IF(H147="PER",VLOOKUP(I147,QCPER,MATCH(E147,QCACTUAL!$J$25:$AA$25,0),),IF(H147="SPK",VLOOKUP(I147,QCSPK,3,),IF(AND(H147="ATP",OR(I147="TP",I147="TDP")),VLOOKUP(E147,QCATP_P,2,),""))))))))</f>
        <v/>
      </c>
      <c r="W147" s="31" t="str">
        <f t="shared" si="30"/>
        <v>TRUE</v>
      </c>
      <c r="X147" s="31" t="str">
        <f t="shared" si="31"/>
        <v/>
      </c>
      <c r="Y147" s="10" t="s">
        <v>957</v>
      </c>
      <c r="AF147" s="12">
        <v>45686</v>
      </c>
      <c r="AJ147" s="10">
        <f>-0.1957*1.72^2+248.26*1.72-106.67</f>
        <v>319.75824111999992</v>
      </c>
      <c r="AK147" s="10">
        <f>-0.184*1.72^2+251.8*1.72-113.39</f>
        <v>319.16165440000003</v>
      </c>
      <c r="AL147" s="10" t="str">
        <f t="shared" si="32"/>
        <v>FALSE</v>
      </c>
      <c r="AM147" s="10" t="str">
        <f t="shared" si="32"/>
        <v>FALSE</v>
      </c>
      <c r="AN147" s="10" t="str">
        <f t="shared" si="32"/>
        <v>FALSE</v>
      </c>
      <c r="AO147" s="10" t="str">
        <f t="shared" si="33"/>
        <v>y=-0.1957*1.72^2+248.26*1.72-106.67</v>
      </c>
      <c r="AP147" s="10" t="str">
        <f t="shared" si="33"/>
        <v>y=-0.184*1.72^2+251.8*1.72-113.39</v>
      </c>
      <c r="AQ147" s="10" t="b">
        <f>IF(AND(I147="TP",S147&lt;=150),VLOOKUP(AF147,TPCalibEq150!$AZ$2:$BB$166,3,),IF(AND(I147="TDP",S147&lt;=150),VLOOKUP(AF147,TPCalibEq150!$AZ$2:$BB$166,3,)))</f>
        <v>0</v>
      </c>
      <c r="AR147" s="10" t="b">
        <f>IF(AND(I147="TP",S147&lt;=300),VLOOKUP(AF147,TPCalibEq300!$AZ$2:$BB$166,3,),IF(AND(I147="TDP",S147&lt;=300),VLOOKUP(AF147,TPCalibEq300!$AZ$2:$BB$166,3,)))</f>
        <v>0</v>
      </c>
      <c r="AS147" s="10" t="b">
        <f>IF(AND(I147="TP",S147&lt;=500),VLOOKUP(AF147,TPCalibEq500!$AZ$2:$BB$165,3,),IF(AND(I147="TDP",S147&lt;=500),VLOOKUP(AF147,TPCalibEq500!$AZ$2:$BB$165,3,)))</f>
        <v>0</v>
      </c>
      <c r="AT147" s="10" t="str">
        <f>IF(AND(I147="TN",S147&lt;=2800),VLOOKUP(AF147,TNCalibEq2500!$AZ$2:$BB$165,3,),IF(AND(I147="TDN",S147&lt;=2800),VLOOKUP(AF147,TNCalibEq2500!$AZ$2:$BB$165,3,)))</f>
        <v>y=-0.1957x2+248.26x-106.67</v>
      </c>
      <c r="AU147" s="10" t="str">
        <f>IF(I147="TP",VLOOKUP(AF147,TPCalibEqFull!$AZ$2:$BB$165,3),IF(I147="TDP",VLOOKUP(AF147,TPCalibEqFull!$AZ$2:$BB$165,3),IF(I147="TDN",VLOOKUP(AF147,TNCalibEqFull!$AZ$2:$BB$164,3),IF(I147="TN",VLOOKUP(AF147,TNCalibEqFull!$AZ$2:$BB$164,3),FALSE))))</f>
        <v>y=-0.184x2+251.8x-113.39</v>
      </c>
      <c r="AV147" s="10" t="str">
        <f t="shared" si="36"/>
        <v>20240810 00:00:00-1000-26-Sh-2-SW-UKN</v>
      </c>
    </row>
    <row r="148" spans="1:48" s="10" customFormat="1" x14ac:dyDescent="0.3">
      <c r="A148" s="32">
        <v>45514</v>
      </c>
      <c r="B148" s="33">
        <v>0</v>
      </c>
      <c r="C148" s="10">
        <v>1000</v>
      </c>
      <c r="D148" s="10">
        <v>26</v>
      </c>
      <c r="E148" s="10" t="s">
        <v>954</v>
      </c>
      <c r="F148" s="10">
        <v>1</v>
      </c>
      <c r="G148" s="10" t="s">
        <v>229</v>
      </c>
      <c r="H148" s="10" t="s">
        <v>320</v>
      </c>
      <c r="I148" s="10" t="s">
        <v>233</v>
      </c>
      <c r="J148" s="10">
        <v>34</v>
      </c>
      <c r="K148" s="12">
        <v>45686</v>
      </c>
      <c r="L148" s="33">
        <v>0.75545138888888885</v>
      </c>
      <c r="M148" s="10">
        <v>1</v>
      </c>
      <c r="N148" s="10" t="s">
        <v>194</v>
      </c>
      <c r="O148" s="10">
        <v>3.36</v>
      </c>
      <c r="P148" s="10">
        <v>0.21</v>
      </c>
      <c r="Q148" s="10">
        <v>725</v>
      </c>
      <c r="R148" s="10" t="s">
        <v>168</v>
      </c>
      <c r="S148" s="34">
        <f t="shared" si="29"/>
        <v>730.58071359999997</v>
      </c>
      <c r="T148" s="10" t="s">
        <v>958</v>
      </c>
      <c r="U148" s="34" t="str">
        <f t="shared" si="35"/>
        <v/>
      </c>
      <c r="V148" s="31" t="str">
        <f>IF(H148="CHK",VLOOKUP(I148,QCCHK,3,),IF(H148="GUP",VLOOKUP(E148,QCGUP,2,),IF(AND(H148="ATP",OR(I148="TN",I148="TDN",I148="TNO2-3",I148="NO2-3")),VLOOKUP(E148,QCREC_N,2,),IF(AND(H148="NIC",OR(I148="TN",I148="TDN",I148="TNO2-3",I148="NO2-3")),VLOOKUP(E148,QCNIC_N,2,),IF(AND(H148="UREA",OR(I148="TN",I148="TDN",I148="TNO2-3",I148="NO2-3")),VLOOKUP(E148,QCUREA_N,2,),IF(H148="PER",VLOOKUP(I148,QCPER,MATCH(E148,QCACTUAL!$J$25:$AA$25,0),),IF(H148="SPK",VLOOKUP(I148,QCSPK,3,),IF(AND(H148="ATP",OR(I148="TP",I148="TDP")),VLOOKUP(E148,QCATP_P,2,),""))))))))</f>
        <v/>
      </c>
      <c r="W148" s="31" t="str">
        <f t="shared" si="30"/>
        <v>TRUE</v>
      </c>
      <c r="X148" s="31" t="str">
        <f t="shared" si="31"/>
        <v/>
      </c>
      <c r="Y148" s="10" t="s">
        <v>957</v>
      </c>
      <c r="AF148" s="12">
        <v>45686</v>
      </c>
      <c r="AJ148" s="10">
        <f>-0.1957*3.36^2+248.26*3.36-106.67</f>
        <v>725.27422528</v>
      </c>
      <c r="AK148" s="10">
        <f>-0.184*3.36^2+251.8*3.36-113.39</f>
        <v>730.58071359999997</v>
      </c>
      <c r="AL148" s="10" t="str">
        <f t="shared" ref="AL148:AN149" si="37">IF($O148="", "", IF(AQ148&lt;&gt;"", SUBSTITUTE(SUBSTITUTE(AQ148, "x", "*"&amp;$O148&amp;"^", 1), "x", "*"&amp;$O148, 1), ""))</f>
        <v>FALSE</v>
      </c>
      <c r="AM148" s="10" t="str">
        <f t="shared" si="37"/>
        <v>FALSE</v>
      </c>
      <c r="AN148" s="10" t="str">
        <f t="shared" si="37"/>
        <v>FALSE</v>
      </c>
      <c r="AO148" s="10" t="str">
        <f t="shared" ref="AO148:AP149" si="38">IF($O148="", "FALSE", IF(AT148&lt;&gt;"FALSE", SUBSTITUTE(SUBSTITUTE(AT148, "x", "*"&amp;$O148&amp;"^", 1), "x", "*"&amp;$O148, 1), ""))</f>
        <v>y=-0.1957*3.36^2+248.26*3.36-106.67</v>
      </c>
      <c r="AP148" s="10" t="str">
        <f t="shared" si="38"/>
        <v>y=-0.184*3.36^2+251.8*3.36-113.39</v>
      </c>
      <c r="AQ148" s="10" t="b">
        <f>IF(AND(I148="TP",S148&lt;=150),VLOOKUP(AF148,TPCalibEq150!$AZ$2:$BB$166,3,),IF(AND(I148="TDP",S148&lt;=150),VLOOKUP(AF148,TPCalibEq150!$AZ$2:$BB$166,3,)))</f>
        <v>0</v>
      </c>
      <c r="AR148" s="10" t="b">
        <f>IF(AND(I148="TP",S148&lt;=300),VLOOKUP(AF148,TPCalibEq300!$AZ$2:$BB$166,3,),IF(AND(I148="TDP",S148&lt;=300),VLOOKUP(AF148,TPCalibEq300!$AZ$2:$BB$166,3,)))</f>
        <v>0</v>
      </c>
      <c r="AS148" s="10" t="b">
        <f>IF(AND(I148="TP",S148&lt;=500),VLOOKUP(AF148,TPCalibEq500!$AZ$2:$BB$165,3,),IF(AND(I148="TDP",S148&lt;=500),VLOOKUP(AF148,TPCalibEq500!$AZ$2:$BB$165,3,)))</f>
        <v>0</v>
      </c>
      <c r="AT148" s="10" t="str">
        <f>IF(AND(I148="TN",S148&lt;=2800),VLOOKUP(AF148,TNCalibEq2500!$AZ$2:$BB$165,3,),IF(AND(I148="TDN",S148&lt;=2800),VLOOKUP(AF148,TNCalibEq2500!$AZ$2:$BB$165,3,)))</f>
        <v>y=-0.1957x2+248.26x-106.67</v>
      </c>
      <c r="AU148" s="10" t="str">
        <f>IF(I148="TP",VLOOKUP(AF148,TPCalibEqFull!$AZ$2:$BB$165,3),IF(I148="TDP",VLOOKUP(AF148,TPCalibEqFull!$AZ$2:$BB$165,3),IF(I148="TDN",VLOOKUP(AF148,TNCalibEqFull!$AZ$2:$BB$164,3),IF(I148="TN",VLOOKUP(AF148,TNCalibEqFull!$AZ$2:$BB$164,3),FALSE))))</f>
        <v>y=-0.184x2+251.8x-113.39</v>
      </c>
      <c r="AV148" s="10" t="str">
        <f t="shared" si="36"/>
        <v>20240810 00:00:00-1000-26-Dp-1-SW-UKN</v>
      </c>
    </row>
    <row r="149" spans="1:48" s="10" customFormat="1" x14ac:dyDescent="0.3">
      <c r="A149" s="32">
        <v>45514</v>
      </c>
      <c r="B149" s="33">
        <v>0</v>
      </c>
      <c r="C149" s="10">
        <v>1000</v>
      </c>
      <c r="D149" s="10">
        <v>26</v>
      </c>
      <c r="E149" s="10" t="s">
        <v>954</v>
      </c>
      <c r="F149" s="10">
        <v>1</v>
      </c>
      <c r="G149" s="10" t="s">
        <v>229</v>
      </c>
      <c r="H149" s="10" t="s">
        <v>231</v>
      </c>
      <c r="I149" s="10" t="s">
        <v>233</v>
      </c>
      <c r="J149" s="10">
        <v>34</v>
      </c>
      <c r="K149" s="12">
        <v>45686</v>
      </c>
      <c r="L149" s="33">
        <v>0.75612268518518511</v>
      </c>
      <c r="M149" s="10">
        <v>1</v>
      </c>
      <c r="N149" s="10" t="s">
        <v>194</v>
      </c>
      <c r="O149" s="10">
        <v>3.43</v>
      </c>
      <c r="P149" s="10">
        <v>0.216</v>
      </c>
      <c r="Q149" s="10">
        <v>743</v>
      </c>
      <c r="R149" s="10" t="s">
        <v>168</v>
      </c>
      <c r="S149" s="34">
        <f t="shared" si="29"/>
        <v>748.11925840000015</v>
      </c>
      <c r="T149" s="10" t="s">
        <v>958</v>
      </c>
      <c r="U149" s="34">
        <f t="shared" si="35"/>
        <v>2.3721573181987159</v>
      </c>
      <c r="V149" s="31" t="str">
        <f>IF(H149="CHK",VLOOKUP(I149,QCCHK,3,),IF(H149="GUP",VLOOKUP(E149,QCGUP,2,),IF(AND(H149="ATP",OR(I149="TN",I149="TDN",I149="TNO2-3",I149="NO2-3")),VLOOKUP(E149,QCREC_N,2,),IF(AND(H149="NIC",OR(I149="TN",I149="TDN",I149="TNO2-3",I149="NO2-3")),VLOOKUP(E149,QCNIC_N,2,),IF(AND(H149="UREA",OR(I149="TN",I149="TDN",I149="TNO2-3",I149="NO2-3")),VLOOKUP(E149,QCUREA_N,2,),IF(H149="PER",VLOOKUP(I149,QCPER,MATCH(E149,QCACTUAL!$J$25:$AA$25,0),),IF(H149="SPK",VLOOKUP(I149,QCSPK,3,),IF(AND(H149="ATP",OR(I149="TP",I149="TDP")),VLOOKUP(E149,QCATP_P,2,),""))))))))</f>
        <v/>
      </c>
      <c r="W149" s="31" t="str">
        <f t="shared" si="30"/>
        <v>TRUE</v>
      </c>
      <c r="X149" s="31" t="str">
        <f t="shared" si="31"/>
        <v>((ABS(rep1-rep2))/((rep1+rep2)/2)*100</v>
      </c>
      <c r="Y149" s="10" t="s">
        <v>957</v>
      </c>
      <c r="AF149" s="12">
        <v>45686</v>
      </c>
      <c r="AJ149" s="10">
        <f>-0.1957*3.43^2+248.26*3.43-106.67</f>
        <v>742.55940907000002</v>
      </c>
      <c r="AK149" s="10">
        <f>-0.184*3.43^2+251.8*3.43-113.39</f>
        <v>748.11925840000015</v>
      </c>
      <c r="AL149" s="10" t="str">
        <f t="shared" si="37"/>
        <v>FALSE</v>
      </c>
      <c r="AM149" s="10" t="str">
        <f t="shared" si="37"/>
        <v>FALSE</v>
      </c>
      <c r="AN149" s="10" t="str">
        <f t="shared" si="37"/>
        <v>FALSE</v>
      </c>
      <c r="AO149" s="10" t="str">
        <f t="shared" si="38"/>
        <v>y=-0.1957*3.43^2+248.26*3.43-106.67</v>
      </c>
      <c r="AP149" s="10" t="str">
        <f t="shared" si="38"/>
        <v>y=-0.184*3.43^2+251.8*3.43-113.39</v>
      </c>
      <c r="AQ149" s="10" t="b">
        <f>IF(AND(I149="TP",S149&lt;=150),VLOOKUP(AF149,TPCalibEq150!$AZ$2:$BB$166,3,),IF(AND(I149="TDP",S149&lt;=150),VLOOKUP(AF149,TPCalibEq150!$AZ$2:$BB$166,3,)))</f>
        <v>0</v>
      </c>
      <c r="AR149" s="10" t="b">
        <f>IF(AND(I149="TP",S149&lt;=300),VLOOKUP(AF149,TPCalibEq300!$AZ$2:$BB$166,3,),IF(AND(I149="TDP",S149&lt;=300),VLOOKUP(AF149,TPCalibEq300!$AZ$2:$BB$166,3,)))</f>
        <v>0</v>
      </c>
      <c r="AS149" s="10" t="b">
        <f>IF(AND(I149="TP",S149&lt;=500),VLOOKUP(AF149,TPCalibEq500!$AZ$2:$BB$165,3,),IF(AND(I149="TDP",S149&lt;=500),VLOOKUP(AF149,TPCalibEq500!$AZ$2:$BB$165,3,)))</f>
        <v>0</v>
      </c>
      <c r="AT149" s="10" t="str">
        <f>IF(AND(I149="TN",S149&lt;=2800),VLOOKUP(AF149,TNCalibEq2500!$AZ$2:$BB$165,3,),IF(AND(I149="TDN",S149&lt;=2800),VLOOKUP(AF149,TNCalibEq2500!$AZ$2:$BB$165,3,)))</f>
        <v>y=-0.1957x2+248.26x-106.67</v>
      </c>
      <c r="AU149" s="10" t="str">
        <f>IF(I149="TP",VLOOKUP(AF149,TPCalibEqFull!$AZ$2:$BB$165,3),IF(I149="TDP",VLOOKUP(AF149,TPCalibEqFull!$AZ$2:$BB$165,3),IF(I149="TDN",VLOOKUP(AF149,TNCalibEqFull!$AZ$2:$BB$164,3),IF(I149="TN",VLOOKUP(AF149,TNCalibEqFull!$AZ$2:$BB$164,3),FALSE))))</f>
        <v>y=-0.184x2+251.8x-113.39</v>
      </c>
      <c r="AV149" s="10" t="str">
        <f t="shared" si="36"/>
        <v>20240810 00:00:00-1000-26-Dp-1-SW-DUP</v>
      </c>
    </row>
    <row r="150" spans="1:48" s="10" customFormat="1" x14ac:dyDescent="0.3">
      <c r="A150" s="32">
        <v>45500</v>
      </c>
      <c r="B150" s="33">
        <v>0</v>
      </c>
      <c r="C150" s="10">
        <v>1000</v>
      </c>
      <c r="D150" s="10">
        <v>1</v>
      </c>
      <c r="E150" s="10" t="s">
        <v>953</v>
      </c>
      <c r="F150" s="10">
        <v>1</v>
      </c>
      <c r="G150" s="10" t="s">
        <v>72</v>
      </c>
      <c r="H150" s="10" t="s">
        <v>239</v>
      </c>
      <c r="I150" s="10" t="s">
        <v>81</v>
      </c>
      <c r="J150" s="10">
        <v>1</v>
      </c>
      <c r="K150" s="12">
        <v>45686</v>
      </c>
      <c r="L150" s="33">
        <v>0.63790509259259254</v>
      </c>
      <c r="M150" s="10">
        <v>1</v>
      </c>
      <c r="N150" s="10" t="s">
        <v>82</v>
      </c>
      <c r="O150" s="10">
        <v>0.85399999999999998</v>
      </c>
      <c r="P150" s="10">
        <v>9.35E-2</v>
      </c>
      <c r="Q150" s="10">
        <v>219</v>
      </c>
      <c r="R150" s="10" t="s">
        <v>83</v>
      </c>
      <c r="S150" s="34">
        <f t="shared" ref="S150:S173" si="39">IF(OR(AND(I150&lt;&gt;"TP", I150&lt;&gt;"TDP",I150&lt;&gt;"TN", I150&lt;&gt;"TDN"),H150="CAL"), Q150*M150, IF(OR(AND(I150="TN", Q150&gt;2500), AND(I150="TDN", Q150&gt;2500)),MAX(Q150, AK150)*M150, IF(OR(AND(I150="TN", Q150&lt;=2500), AND(I150="TDN", Q150&lt;=2500)),MAX(Q150, AJ150,AK150)*M150, IF(OR(AND(I150="TP",Q150&gt;500), AND(I150="TDP", Q150&gt;500)),MAX(Q150,AK150)*M150,IF(OR(AND(I150="TP",Q150&lt;=150), AND(I150="TDP", Q150&lt;=150)),MAX(Q150,AG150:AI150,AK150)*M150,IF(OR(AND(I150="TP",Q150&lt;=300), AND(I150="TDP", Q150&lt;=300)),MAX(Q150,AH150,AI150,AK150)*M150,IF(OR(AND(I150="TP",Q150&lt;=500), AND(I150="TDP", Q150&lt;=500)),MAX(Q150,AI150,AK150)*M150,"")))))))</f>
        <v>237.76746483999997</v>
      </c>
      <c r="T150" s="10" t="s">
        <v>962</v>
      </c>
      <c r="U150" s="34" t="str">
        <f>IF(OR(H150="CHK",H150="ATP",H150="GUP",H150="PER", H150="NIC", H150="UREA"),(S150/V150*100),IF(H150="DUP",((ABS(S150-#REF!))/((#REF!+S150)/2))*100,IF(H150="SPK",((S150-#REF!)/V150*100),IF(OR(H150="LAB",H150="FLD",H150="ESF"),S150,""))))</f>
        <v/>
      </c>
      <c r="V150" s="31" t="str">
        <f>IF(H150="CHK",VLOOKUP(I150,QCCHK,3,),IF(H150="GUP",VLOOKUP(E150,QCGUP,2,),IF(AND(H150="ATP",OR(I150="TN",I150="TDN",I150="TNO2-3",I150="NO2-3")),VLOOKUP(E150,QCREC_N,2,),IF(AND(H150="NIC",OR(I150="TN",I150="TDN",I150="TNO2-3",I150="NO2-3")),VLOOKUP(E150,QCNIC_N,2,),IF(AND(H150="UREA",OR(I150="TN",I150="TDN",I150="TNO2-3",I150="NO2-3")),VLOOKUP(E150,QCUREA_N,2,),IF(H150="PER",VLOOKUP(I150,QCPER,MATCH(E150,QCACTUAL!$J$25:$AA$25,0),),IF(H150="SPK",VLOOKUP(I150,QCSPK,3,),IF(AND(H150="ATP",OR(I150="TP",I150="TDP")),VLOOKUP(E150,QCATP_P,2,),""))))))))</f>
        <v/>
      </c>
      <c r="W150" s="31" t="str">
        <f t="shared" ref="W150:W173" si="40">IF(AND(OR(H150="PER",H150="ATP",H150="GUP",H150="CHK",H150="SPK", H150="NIC"),OR(U150&gt;125,U150&lt;75)),"FALSE",IF(AND(H150="DUP",OR(U150&gt;25, U150&lt;-25)),"FALSE",IF(AND(OR(H150="LAB",H150="FLD",H150="ESF"),U150&gt;15),"FALSE","TRUE")))</f>
        <v>TRUE</v>
      </c>
      <c r="X150" s="31" t="str">
        <f t="shared" ref="X150:X173" si="41">IF(ISNA(VLOOKUP(H150,QCEQUATIONS,2,)),"",(VLOOKUP(H150,QCEQUATIONS,2,)))</f>
        <v/>
      </c>
      <c r="Y150" s="10" t="s">
        <v>961</v>
      </c>
      <c r="AF150" s="12">
        <v>45686</v>
      </c>
      <c r="AH150" s="10">
        <f>-59.51*0.854^2+334.39*0.854-4.4</f>
        <v>237.76746483999997</v>
      </c>
      <c r="AI150" s="10">
        <f>-17.314*0.854^2+288.71*0.854+0.4726</f>
        <v>234.403562776</v>
      </c>
      <c r="AK150" s="10">
        <f>-0.9791*0.854^2+252.54*0.854+6.5963</f>
        <v>221.55138670439999</v>
      </c>
      <c r="AL150" s="10" t="str">
        <f t="shared" ref="AL150:AN179" si="42">IF($O150="", "", IF(AQ150&lt;&gt;"", SUBSTITUTE(SUBSTITUTE(AQ150, "x", "*"&amp;$O150&amp;"^", 1), "x", "*"&amp;$O150, 1), ""))</f>
        <v>FALSE</v>
      </c>
      <c r="AM150" s="10" t="str">
        <f t="shared" si="42"/>
        <v>y=-59.51*0.854^2+334.39*0.854-4.4</v>
      </c>
      <c r="AN150" s="10" t="str">
        <f t="shared" si="42"/>
        <v>y=-17.314*0.854^2+288.71*0.854+0.4726</v>
      </c>
      <c r="AO150" s="10" t="str">
        <f t="shared" ref="AO150:AP179" si="43">IF($O150="", "FALSE", IF(AT150&lt;&gt;"FALSE", SUBSTITUTE(SUBSTITUTE(AT150, "x", "*"&amp;$O150&amp;"^", 1), "x", "*"&amp;$O150, 1), ""))</f>
        <v>FALSE</v>
      </c>
      <c r="AP150" s="10" t="str">
        <f t="shared" si="43"/>
        <v>y=-0.9791*0.854^2+252.54*0.854+6.5963</v>
      </c>
      <c r="AQ150" s="10" t="b">
        <f>IF(AND(I150="TP",S150&lt;=150),VLOOKUP(AF150,TPCalibEq150!$AZ$2:$BB$166,3,),IF(AND(I150="TDP",S150&lt;=150),VLOOKUP(AF150,TPCalibEq150!$AZ$2:$BB$166,3,)))</f>
        <v>0</v>
      </c>
      <c r="AR150" s="10" t="str">
        <f>IF(AND(I150="TP",S150&lt;=300),VLOOKUP(AF150,TPCalibEq300!$AZ$2:$BB$166,3,),IF(AND(I150="TDP",S150&lt;=300),VLOOKUP(AF150,TPCalibEq300!$AZ$2:$BB$166,3,)))</f>
        <v>y=-59.51x2+334.39x-4.4</v>
      </c>
      <c r="AS150" s="10" t="str">
        <f>IF(AND(I150="TP",S150&lt;=500),VLOOKUP(AF150,TPCalibEq500!$AZ$2:$BB$165,3,),IF(AND(I150="TDP",S150&lt;=500),VLOOKUP(AF150,TPCalibEq500!$AZ$2:$BB$165,3,)))</f>
        <v>y=-17.314x2+288.71x+0.4726</v>
      </c>
      <c r="AT150" s="10" t="b">
        <f>IF(AND(I150="TN",S150&lt;=2800),VLOOKUP(AF150,TNCalibEq2500!$AZ$2:$BB$165,3,),IF(AND(I150="TDN",S150&lt;=2800),VLOOKUP(AF150,TNCalibEq2500!$AZ$2:$BB$165,3,)))</f>
        <v>0</v>
      </c>
      <c r="AU150" s="10" t="str">
        <f>IF(I150="TP",VLOOKUP(AF150,TPCalibEqFull!$AZ$2:$BB$165,3),IF(I150="TDP",VLOOKUP(AF150,TPCalibEqFull!$AZ$2:$BB$165,3),IF(I150="TDN",VLOOKUP(AF150,TNCalibEqFull!$AZ$2:$BB$164,3),IF(I150="TN",VLOOKUP(AF150,TNCalibEqFull!$AZ$2:$BB$164,3),FALSE))))</f>
        <v>y=-0.9791x2+252.54x+6.5963</v>
      </c>
      <c r="AV150" s="10" t="str">
        <f t="shared" ref="AV150:AV179" si="44">TEXT(A150, "YYYYMMDD")&amp;" "&amp;TEXT(B150, "HH:MM:SS")&amp;"-"&amp;C150&amp;"-"&amp;D150&amp;"-"&amp;E150&amp;"-"&amp;F150&amp;"-"&amp;G150&amp;"-"&amp;H150</f>
        <v>20240727 00:00:00-1000-1-Sh-1-DI-BLK</v>
      </c>
    </row>
    <row r="151" spans="1:48" s="10" customFormat="1" x14ac:dyDescent="0.3">
      <c r="A151" s="32">
        <v>45500</v>
      </c>
      <c r="B151" s="33">
        <v>0</v>
      </c>
      <c r="C151" s="10">
        <v>1000</v>
      </c>
      <c r="D151" s="10">
        <v>1</v>
      </c>
      <c r="E151" s="10" t="s">
        <v>953</v>
      </c>
      <c r="F151" s="10">
        <v>1</v>
      </c>
      <c r="G151" s="10" t="s">
        <v>229</v>
      </c>
      <c r="H151" s="10" t="s">
        <v>320</v>
      </c>
      <c r="I151" s="10" t="s">
        <v>81</v>
      </c>
      <c r="J151" s="10">
        <v>2</v>
      </c>
      <c r="K151" s="12">
        <v>45686</v>
      </c>
      <c r="L151" s="33">
        <v>0.6384953703703703</v>
      </c>
      <c r="M151" s="10">
        <v>1</v>
      </c>
      <c r="N151" s="10" t="s">
        <v>82</v>
      </c>
      <c r="O151" s="10">
        <v>1.1000000000000001</v>
      </c>
      <c r="P151" s="10">
        <v>0.121</v>
      </c>
      <c r="Q151" s="10">
        <v>280</v>
      </c>
      <c r="R151" s="10" t="s">
        <v>83</v>
      </c>
      <c r="S151" s="34">
        <f t="shared" si="39"/>
        <v>297.10365999999999</v>
      </c>
      <c r="T151" s="10" t="s">
        <v>962</v>
      </c>
      <c r="U151" s="34" t="str">
        <f t="shared" ref="U151:U173" si="45">IF(OR(H151="CHK",H151="ATP",H151="GUP",H151="PER", H151="NIC", H151="UREA"),(S151/V151*100),IF(H151="DUP",((ABS(S151-S150))/((S150+S151)/2))*100,IF(H151="SPK",((S151-S150)/V151*100),IF(OR(H151="LAB",H151="FLD",H151="ESF"),S151,""))))</f>
        <v/>
      </c>
      <c r="V151" s="31" t="str">
        <f>IF(H151="CHK",VLOOKUP(I151,QCCHK,3,),IF(H151="GUP",VLOOKUP(E151,QCGUP,2,),IF(AND(H151="ATP",OR(I151="TN",I151="TDN",I151="TNO2-3",I151="NO2-3")),VLOOKUP(E151,QCREC_N,2,),IF(AND(H151="NIC",OR(I151="TN",I151="TDN",I151="TNO2-3",I151="NO2-3")),VLOOKUP(E151,QCNIC_N,2,),IF(AND(H151="UREA",OR(I151="TN",I151="TDN",I151="TNO2-3",I151="NO2-3")),VLOOKUP(E151,QCUREA_N,2,),IF(H151="PER",VLOOKUP(I151,QCPER,MATCH(E151,QCACTUAL!$J$25:$AA$25,0),),IF(H151="SPK",VLOOKUP(I151,QCSPK,3,),IF(AND(H151="ATP",OR(I151="TP",I151="TDP")),VLOOKUP(E151,QCATP_P,2,),""))))))))</f>
        <v/>
      </c>
      <c r="W151" s="31" t="str">
        <f t="shared" si="40"/>
        <v>TRUE</v>
      </c>
      <c r="X151" s="31" t="str">
        <f t="shared" si="41"/>
        <v/>
      </c>
      <c r="Y151" s="10" t="s">
        <v>961</v>
      </c>
      <c r="AF151" s="12">
        <v>45686</v>
      </c>
      <c r="AH151" s="10">
        <f>-59.51*1.1^2+334.39*1.1-4.4</f>
        <v>291.42190000000005</v>
      </c>
      <c r="AI151" s="10">
        <f>-17.314*1.1^2+288.71*1.1+0.4726</f>
        <v>297.10365999999999</v>
      </c>
      <c r="AK151" s="10">
        <f>-0.9791*1.1^2+252.54*1.1+6.5963</f>
        <v>283.20558900000003</v>
      </c>
      <c r="AL151" s="10" t="str">
        <f t="shared" si="42"/>
        <v>FALSE</v>
      </c>
      <c r="AM151" s="10" t="str">
        <f t="shared" si="42"/>
        <v>y=-59.51*1.1^2+334.39*1.1-4.4</v>
      </c>
      <c r="AN151" s="10" t="str">
        <f t="shared" si="42"/>
        <v>y=-17.314*1.1^2+288.71*1.1+0.4726</v>
      </c>
      <c r="AO151" s="10" t="str">
        <f t="shared" si="43"/>
        <v>FALSE</v>
      </c>
      <c r="AP151" s="10" t="str">
        <f t="shared" si="43"/>
        <v>y=-0.9791*1.1^2+252.54*1.1+6.5963</v>
      </c>
      <c r="AQ151" s="10" t="b">
        <f>IF(AND(I151="TP",S151&lt;=150),VLOOKUP(AF151,TPCalibEq150!$AZ$2:$BB$166,3,),IF(AND(I151="TDP",S151&lt;=150),VLOOKUP(AF151,TPCalibEq150!$AZ$2:$BB$166,3,)))</f>
        <v>0</v>
      </c>
      <c r="AR151" s="10" t="str">
        <f>IF(AND(I151="TP",S151&lt;=300),VLOOKUP(AF151,TPCalibEq300!$AZ$2:$BB$166,3,),IF(AND(I151="TDP",S151&lt;=300),VLOOKUP(AF151,TPCalibEq300!$AZ$2:$BB$166,3,)))</f>
        <v>y=-59.51x2+334.39x-4.4</v>
      </c>
      <c r="AS151" s="10" t="str">
        <f>IF(AND(I151="TP",S151&lt;=500),VLOOKUP(AF151,TPCalibEq500!$AZ$2:$BB$165,3,),IF(AND(I151="TDP",S151&lt;=500),VLOOKUP(AF151,TPCalibEq500!$AZ$2:$BB$165,3,)))</f>
        <v>y=-17.314x2+288.71x+0.4726</v>
      </c>
      <c r="AT151" s="10" t="b">
        <f>IF(AND(I151="TN",S151&lt;=2800),VLOOKUP(AF151,TNCalibEq2500!$AZ$2:$BB$165,3,),IF(AND(I151="TDN",S151&lt;=2800),VLOOKUP(AF151,TNCalibEq2500!$AZ$2:$BB$165,3,)))</f>
        <v>0</v>
      </c>
      <c r="AU151" s="10" t="str">
        <f>IF(I151="TP",VLOOKUP(AF151,TPCalibEqFull!$AZ$2:$BB$165,3),IF(I151="TDP",VLOOKUP(AF151,TPCalibEqFull!$AZ$2:$BB$165,3),IF(I151="TDN",VLOOKUP(AF151,TNCalibEqFull!$AZ$2:$BB$164,3),IF(I151="TN",VLOOKUP(AF151,TNCalibEqFull!$AZ$2:$BB$164,3),FALSE))))</f>
        <v>y=-0.9791x2+252.54x+6.5963</v>
      </c>
      <c r="AV151" s="10" t="str">
        <f t="shared" si="44"/>
        <v>20240727 00:00:00-1000-1-Sh-1-SW-UKN</v>
      </c>
    </row>
    <row r="152" spans="1:48" s="10" customFormat="1" x14ac:dyDescent="0.3">
      <c r="A152" s="32">
        <v>45500</v>
      </c>
      <c r="B152" s="33">
        <v>0</v>
      </c>
      <c r="C152" s="10">
        <v>1000</v>
      </c>
      <c r="D152" s="10">
        <v>1</v>
      </c>
      <c r="E152" s="10" t="s">
        <v>953</v>
      </c>
      <c r="F152" s="10">
        <v>2</v>
      </c>
      <c r="G152" s="10" t="s">
        <v>229</v>
      </c>
      <c r="H152" s="10" t="s">
        <v>320</v>
      </c>
      <c r="I152" s="10" t="s">
        <v>81</v>
      </c>
      <c r="J152" s="10">
        <v>3</v>
      </c>
      <c r="K152" s="12">
        <v>45686</v>
      </c>
      <c r="L152" s="33">
        <v>0.63907407407407402</v>
      </c>
      <c r="M152" s="10">
        <v>1</v>
      </c>
      <c r="N152" s="10" t="s">
        <v>82</v>
      </c>
      <c r="O152" s="10">
        <v>1.1000000000000001</v>
      </c>
      <c r="P152" s="10">
        <v>0.121</v>
      </c>
      <c r="Q152" s="10">
        <v>280</v>
      </c>
      <c r="R152" s="10" t="s">
        <v>83</v>
      </c>
      <c r="S152" s="34">
        <f t="shared" si="39"/>
        <v>297.10365999999999</v>
      </c>
      <c r="T152" s="10" t="s">
        <v>962</v>
      </c>
      <c r="U152" s="34" t="str">
        <f t="shared" si="45"/>
        <v/>
      </c>
      <c r="V152" s="31" t="str">
        <f>IF(H152="CHK",VLOOKUP(I152,QCCHK,3,),IF(H152="GUP",VLOOKUP(E152,QCGUP,2,),IF(AND(H152="ATP",OR(I152="TN",I152="TDN",I152="TNO2-3",I152="NO2-3")),VLOOKUP(E152,QCREC_N,2,),IF(AND(H152="NIC",OR(I152="TN",I152="TDN",I152="TNO2-3",I152="NO2-3")),VLOOKUP(E152,QCNIC_N,2,),IF(AND(H152="UREA",OR(I152="TN",I152="TDN",I152="TNO2-3",I152="NO2-3")),VLOOKUP(E152,QCUREA_N,2,),IF(H152="PER",VLOOKUP(I152,QCPER,MATCH(E152,QCACTUAL!$J$25:$AA$25,0),),IF(H152="SPK",VLOOKUP(I152,QCSPK,3,),IF(AND(H152="ATP",OR(I152="TP",I152="TDP")),VLOOKUP(E152,QCATP_P,2,),""))))))))</f>
        <v/>
      </c>
      <c r="W152" s="31" t="str">
        <f t="shared" si="40"/>
        <v>TRUE</v>
      </c>
      <c r="X152" s="31" t="str">
        <f t="shared" si="41"/>
        <v/>
      </c>
      <c r="Y152" s="10" t="s">
        <v>961</v>
      </c>
      <c r="AF152" s="12">
        <v>45686</v>
      </c>
      <c r="AH152" s="10">
        <f>-59.51*1.1^2+334.39*1.1-4.4</f>
        <v>291.42190000000005</v>
      </c>
      <c r="AI152" s="10">
        <f>-17.314*1.1^2+288.71*1.1+0.4726</f>
        <v>297.10365999999999</v>
      </c>
      <c r="AK152" s="10">
        <f>-0.9791*1.1^2+252.54*1.1+6.5963</f>
        <v>283.20558900000003</v>
      </c>
      <c r="AL152" s="10" t="str">
        <f t="shared" si="42"/>
        <v>FALSE</v>
      </c>
      <c r="AM152" s="10" t="str">
        <f t="shared" si="42"/>
        <v>y=-59.51*1.1^2+334.39*1.1-4.4</v>
      </c>
      <c r="AN152" s="10" t="str">
        <f t="shared" si="42"/>
        <v>y=-17.314*1.1^2+288.71*1.1+0.4726</v>
      </c>
      <c r="AO152" s="10" t="str">
        <f t="shared" si="43"/>
        <v>FALSE</v>
      </c>
      <c r="AP152" s="10" t="str">
        <f t="shared" si="43"/>
        <v>y=-0.9791*1.1^2+252.54*1.1+6.5963</v>
      </c>
      <c r="AQ152" s="10" t="b">
        <f>IF(AND(I152="TP",S152&lt;=150),VLOOKUP(AF152,TPCalibEq150!$AZ$2:$BB$166,3,),IF(AND(I152="TDP",S152&lt;=150),VLOOKUP(AF152,TPCalibEq150!$AZ$2:$BB$166,3,)))</f>
        <v>0</v>
      </c>
      <c r="AR152" s="10" t="str">
        <f>IF(AND(I152="TP",S152&lt;=300),VLOOKUP(AF152,TPCalibEq300!$AZ$2:$BB$166,3,),IF(AND(I152="TDP",S152&lt;=300),VLOOKUP(AF152,TPCalibEq300!$AZ$2:$BB$166,3,)))</f>
        <v>y=-59.51x2+334.39x-4.4</v>
      </c>
      <c r="AS152" s="10" t="str">
        <f>IF(AND(I152="TP",S152&lt;=500),VLOOKUP(AF152,TPCalibEq500!$AZ$2:$BB$165,3,),IF(AND(I152="TDP",S152&lt;=500),VLOOKUP(AF152,TPCalibEq500!$AZ$2:$BB$165,3,)))</f>
        <v>y=-17.314x2+288.71x+0.4726</v>
      </c>
      <c r="AT152" s="10" t="b">
        <f>IF(AND(I152="TN",S152&lt;=2800),VLOOKUP(AF152,TNCalibEq2500!$AZ$2:$BB$165,3,),IF(AND(I152="TDN",S152&lt;=2800),VLOOKUP(AF152,TNCalibEq2500!$AZ$2:$BB$165,3,)))</f>
        <v>0</v>
      </c>
      <c r="AU152" s="10" t="str">
        <f>IF(I152="TP",VLOOKUP(AF152,TPCalibEqFull!$AZ$2:$BB$165,3),IF(I152="TDP",VLOOKUP(AF152,TPCalibEqFull!$AZ$2:$BB$165,3),IF(I152="TDN",VLOOKUP(AF152,TNCalibEqFull!$AZ$2:$BB$164,3),IF(I152="TN",VLOOKUP(AF152,TNCalibEqFull!$AZ$2:$BB$164,3),FALSE))))</f>
        <v>y=-0.9791x2+252.54x+6.5963</v>
      </c>
      <c r="AV152" s="10" t="str">
        <f t="shared" si="44"/>
        <v>20240727 00:00:00-1000-1-Sh-2-SW-UKN</v>
      </c>
    </row>
    <row r="153" spans="1:48" s="10" customFormat="1" x14ac:dyDescent="0.3">
      <c r="A153" s="32">
        <v>45507</v>
      </c>
      <c r="B153" s="33">
        <v>0</v>
      </c>
      <c r="C153" s="10">
        <v>1000</v>
      </c>
      <c r="D153" s="10">
        <v>1</v>
      </c>
      <c r="E153" s="10" t="s">
        <v>954</v>
      </c>
      <c r="F153" s="10">
        <v>1</v>
      </c>
      <c r="G153" s="10" t="s">
        <v>229</v>
      </c>
      <c r="H153" s="10" t="s">
        <v>320</v>
      </c>
      <c r="I153" s="10" t="s">
        <v>81</v>
      </c>
      <c r="J153" s="10">
        <v>4</v>
      </c>
      <c r="K153" s="12">
        <v>45686</v>
      </c>
      <c r="L153" s="33">
        <v>0.6396412037037037</v>
      </c>
      <c r="M153" s="10">
        <v>1</v>
      </c>
      <c r="N153" s="10" t="s">
        <v>82</v>
      </c>
      <c r="O153" s="10">
        <v>2.5099999999999998</v>
      </c>
      <c r="P153" s="10">
        <v>0.55500000000000005</v>
      </c>
      <c r="Q153" s="10">
        <v>625</v>
      </c>
      <c r="R153" s="10" t="s">
        <v>83</v>
      </c>
      <c r="S153" s="34">
        <f t="shared" si="39"/>
        <v>634.30327208999995</v>
      </c>
      <c r="T153" s="10" t="s">
        <v>962</v>
      </c>
      <c r="U153" s="34" t="str">
        <f t="shared" si="45"/>
        <v/>
      </c>
      <c r="V153" s="31" t="str">
        <f>IF(H153="CHK",VLOOKUP(I153,QCCHK,3,),IF(H153="GUP",VLOOKUP(E153,QCGUP,2,),IF(AND(H153="ATP",OR(I153="TN",I153="TDN",I153="TNO2-3",I153="NO2-3")),VLOOKUP(E153,QCREC_N,2,),IF(AND(H153="NIC",OR(I153="TN",I153="TDN",I153="TNO2-3",I153="NO2-3")),VLOOKUP(E153,QCNIC_N,2,),IF(AND(H153="UREA",OR(I153="TN",I153="TDN",I153="TNO2-3",I153="NO2-3")),VLOOKUP(E153,QCUREA_N,2,),IF(H153="PER",VLOOKUP(I153,QCPER,MATCH(E153,QCACTUAL!$J$25:$AA$25,0),),IF(H153="SPK",VLOOKUP(I153,QCSPK,3,),IF(AND(H153="ATP",OR(I153="TP",I153="TDP")),VLOOKUP(E153,QCATP_P,2,),""))))))))</f>
        <v/>
      </c>
      <c r="W153" s="31" t="str">
        <f t="shared" si="40"/>
        <v>TRUE</v>
      </c>
      <c r="X153" s="31" t="str">
        <f t="shared" si="41"/>
        <v/>
      </c>
      <c r="Y153" s="10" t="s">
        <v>961</v>
      </c>
      <c r="AF153" s="12">
        <v>45686</v>
      </c>
      <c r="AK153" s="10">
        <f>-0.9791*2.51^2+252.54*2.51+6.5963</f>
        <v>634.30327208999995</v>
      </c>
      <c r="AL153" s="10" t="str">
        <f t="shared" si="42"/>
        <v>FALSE</v>
      </c>
      <c r="AM153" s="10" t="str">
        <f t="shared" si="42"/>
        <v>FALSE</v>
      </c>
      <c r="AN153" s="10" t="str">
        <f t="shared" si="42"/>
        <v>FALSE</v>
      </c>
      <c r="AO153" s="10" t="str">
        <f t="shared" si="43"/>
        <v>FALSE</v>
      </c>
      <c r="AP153" s="10" t="str">
        <f t="shared" si="43"/>
        <v>y=-0.9791*2.51^2+252.54*2.51+6.5963</v>
      </c>
      <c r="AQ153" s="10" t="b">
        <f>IF(AND(I153="TP",S153&lt;=150),VLOOKUP(AF153,TPCalibEq150!$AZ$2:$BB$166,3,),IF(AND(I153="TDP",S153&lt;=150),VLOOKUP(AF153,TPCalibEq150!$AZ$2:$BB$166,3,)))</f>
        <v>0</v>
      </c>
      <c r="AR153" s="10" t="b">
        <f>IF(AND(I153="TP",S153&lt;=300),VLOOKUP(AF153,TPCalibEq300!$AZ$2:$BB$166,3,),IF(AND(I153="TDP",S153&lt;=300),VLOOKUP(AF153,TPCalibEq300!$AZ$2:$BB$166,3,)))</f>
        <v>0</v>
      </c>
      <c r="AS153" s="10" t="b">
        <f>IF(AND(I153="TP",S153&lt;=500),VLOOKUP(AF153,TPCalibEq500!$AZ$2:$BB$165,3,),IF(AND(I153="TDP",S153&lt;=500),VLOOKUP(AF153,TPCalibEq500!$AZ$2:$BB$165,3,)))</f>
        <v>0</v>
      </c>
      <c r="AT153" s="10" t="b">
        <f>IF(AND(I153="TN",S153&lt;=2800),VLOOKUP(AF153,TNCalibEq2500!$AZ$2:$BB$165,3,),IF(AND(I153="TDN",S153&lt;=2800),VLOOKUP(AF153,TNCalibEq2500!$AZ$2:$BB$165,3,)))</f>
        <v>0</v>
      </c>
      <c r="AU153" s="10" t="str">
        <f>IF(I153="TP",VLOOKUP(AF153,TPCalibEqFull!$AZ$2:$BB$165,3),IF(I153="TDP",VLOOKUP(AF153,TPCalibEqFull!$AZ$2:$BB$165,3),IF(I153="TDN",VLOOKUP(AF153,TNCalibEqFull!$AZ$2:$BB$164,3),IF(I153="TN",VLOOKUP(AF153,TNCalibEqFull!$AZ$2:$BB$164,3),FALSE))))</f>
        <v>y=-0.9791x2+252.54x+6.5963</v>
      </c>
      <c r="AV153" s="10" t="str">
        <f t="shared" si="44"/>
        <v>20240803 00:00:00-1000-1-Dp-1-SW-UKN</v>
      </c>
    </row>
    <row r="154" spans="1:48" s="10" customFormat="1" x14ac:dyDescent="0.3">
      <c r="A154" s="32">
        <v>45507</v>
      </c>
      <c r="B154" s="33">
        <v>0</v>
      </c>
      <c r="C154" s="10">
        <v>1000</v>
      </c>
      <c r="D154" s="10">
        <v>2</v>
      </c>
      <c r="E154" s="10" t="s">
        <v>953</v>
      </c>
      <c r="F154" s="10">
        <v>1</v>
      </c>
      <c r="G154" s="10" t="s">
        <v>72</v>
      </c>
      <c r="H154" s="10" t="s">
        <v>239</v>
      </c>
      <c r="I154" s="10" t="s">
        <v>81</v>
      </c>
      <c r="J154" s="10">
        <v>5</v>
      </c>
      <c r="K154" s="12">
        <v>45686</v>
      </c>
      <c r="L154" s="33">
        <v>0.64021990740740742</v>
      </c>
      <c r="M154" s="10">
        <v>1</v>
      </c>
      <c r="N154" s="10" t="s">
        <v>82</v>
      </c>
      <c r="O154" s="10">
        <v>0.69399999999999995</v>
      </c>
      <c r="P154" s="10">
        <v>7.3800000000000004E-2</v>
      </c>
      <c r="Q154" s="10">
        <v>180</v>
      </c>
      <c r="R154" s="10" t="s">
        <v>83</v>
      </c>
      <c r="S154" s="34">
        <f t="shared" si="39"/>
        <v>199.00450163999997</v>
      </c>
      <c r="T154" s="10" t="s">
        <v>962</v>
      </c>
      <c r="U154" s="34" t="str">
        <f t="shared" si="45"/>
        <v/>
      </c>
      <c r="V154" s="31" t="str">
        <f>IF(H154="CHK",VLOOKUP(I154,QCCHK,3,),IF(H154="GUP",VLOOKUP(E154,QCGUP,2,),IF(AND(H154="ATP",OR(I154="TN",I154="TDN",I154="TNO2-3",I154="NO2-3")),VLOOKUP(E154,QCREC_N,2,),IF(AND(H154="NIC",OR(I154="TN",I154="TDN",I154="TNO2-3",I154="NO2-3")),VLOOKUP(E154,QCNIC_N,2,),IF(AND(H154="UREA",OR(I154="TN",I154="TDN",I154="TNO2-3",I154="NO2-3")),VLOOKUP(E154,QCUREA_N,2,),IF(H154="PER",VLOOKUP(I154,QCPER,MATCH(E154,QCACTUAL!$J$25:$AA$25,0),),IF(H154="SPK",VLOOKUP(I154,QCSPK,3,),IF(AND(H154="ATP",OR(I154="TP",I154="TDP")),VLOOKUP(E154,QCATP_P,2,),""))))))))</f>
        <v/>
      </c>
      <c r="W154" s="31" t="str">
        <f t="shared" si="40"/>
        <v>TRUE</v>
      </c>
      <c r="X154" s="31" t="str">
        <f t="shared" si="41"/>
        <v/>
      </c>
      <c r="Y154" s="10" t="s">
        <v>961</v>
      </c>
      <c r="AF154" s="12">
        <v>45686</v>
      </c>
      <c r="AH154" s="10">
        <f>-59.51*0.694^2+334.39*0.694-4.4</f>
        <v>199.00450163999997</v>
      </c>
      <c r="AI154" s="10">
        <f>-17.314*0.694^2+288.71*0.694+0.4726</f>
        <v>192.49829429599998</v>
      </c>
      <c r="AK154" s="10">
        <f>-0.9791*0.694^2+252.54*0.694+6.5963</f>
        <v>181.38749019240001</v>
      </c>
      <c r="AL154" s="10" t="str">
        <f t="shared" si="42"/>
        <v>FALSE</v>
      </c>
      <c r="AM154" s="10" t="str">
        <f t="shared" si="42"/>
        <v>y=-59.51*0.694^2+334.39*0.694-4.4</v>
      </c>
      <c r="AN154" s="10" t="str">
        <f t="shared" si="42"/>
        <v>y=-17.314*0.694^2+288.71*0.694+0.4726</v>
      </c>
      <c r="AO154" s="10" t="str">
        <f t="shared" si="43"/>
        <v>FALSE</v>
      </c>
      <c r="AP154" s="10" t="str">
        <f t="shared" si="43"/>
        <v>y=-0.9791*0.694^2+252.54*0.694+6.5963</v>
      </c>
      <c r="AQ154" s="10" t="b">
        <f>IF(AND(I154="TP",S154&lt;=150),VLOOKUP(AF154,TPCalibEq150!$AZ$2:$BB$166,3,),IF(AND(I154="TDP",S154&lt;=150),VLOOKUP(AF154,TPCalibEq150!$AZ$2:$BB$166,3,)))</f>
        <v>0</v>
      </c>
      <c r="AR154" s="10" t="str">
        <f>IF(AND(I154="TP",S154&lt;=300),VLOOKUP(AF154,TPCalibEq300!$AZ$2:$BB$166,3,),IF(AND(I154="TDP",S154&lt;=300),VLOOKUP(AF154,TPCalibEq300!$AZ$2:$BB$166,3,)))</f>
        <v>y=-59.51x2+334.39x-4.4</v>
      </c>
      <c r="AS154" s="10" t="str">
        <f>IF(AND(I154="TP",S154&lt;=500),VLOOKUP(AF154,TPCalibEq500!$AZ$2:$BB$165,3,),IF(AND(I154="TDP",S154&lt;=500),VLOOKUP(AF154,TPCalibEq500!$AZ$2:$BB$165,3,)))</f>
        <v>y=-17.314x2+288.71x+0.4726</v>
      </c>
      <c r="AT154" s="10" t="b">
        <f>IF(AND(I154="TN",S154&lt;=2800),VLOOKUP(AF154,TNCalibEq2500!$AZ$2:$BB$165,3,),IF(AND(I154="TDN",S154&lt;=2800),VLOOKUP(AF154,TNCalibEq2500!$AZ$2:$BB$165,3,)))</f>
        <v>0</v>
      </c>
      <c r="AU154" s="10" t="str">
        <f>IF(I154="TP",VLOOKUP(AF154,TPCalibEqFull!$AZ$2:$BB$165,3),IF(I154="TDP",VLOOKUP(AF154,TPCalibEqFull!$AZ$2:$BB$165,3),IF(I154="TDN",VLOOKUP(AF154,TNCalibEqFull!$AZ$2:$BB$164,3),IF(I154="TN",VLOOKUP(AF154,TNCalibEqFull!$AZ$2:$BB$164,3),FALSE))))</f>
        <v>y=-0.9791x2+252.54x+6.5963</v>
      </c>
      <c r="AV154" s="10" t="str">
        <f t="shared" si="44"/>
        <v>20240803 00:00:00-1000-2-Sh-1-DI-BLK</v>
      </c>
    </row>
    <row r="155" spans="1:48" s="10" customFormat="1" x14ac:dyDescent="0.3">
      <c r="A155" s="32">
        <v>45507</v>
      </c>
      <c r="B155" s="33">
        <v>0</v>
      </c>
      <c r="C155" s="10">
        <v>1000</v>
      </c>
      <c r="D155" s="10">
        <v>2</v>
      </c>
      <c r="E155" s="10" t="s">
        <v>953</v>
      </c>
      <c r="F155" s="10">
        <v>1</v>
      </c>
      <c r="G155" s="10" t="s">
        <v>229</v>
      </c>
      <c r="H155" s="10" t="s">
        <v>320</v>
      </c>
      <c r="I155" s="10" t="s">
        <v>81</v>
      </c>
      <c r="J155" s="10">
        <v>6</v>
      </c>
      <c r="K155" s="12">
        <v>45686</v>
      </c>
      <c r="L155" s="33">
        <v>0.64079861111111114</v>
      </c>
      <c r="M155" s="10">
        <v>1</v>
      </c>
      <c r="N155" s="10" t="s">
        <v>82</v>
      </c>
      <c r="O155" s="10">
        <v>0.378</v>
      </c>
      <c r="P155" s="10">
        <v>0.04</v>
      </c>
      <c r="Q155" s="10">
        <v>102</v>
      </c>
      <c r="R155" s="10" t="s">
        <v>83</v>
      </c>
      <c r="S155" s="34">
        <f t="shared" si="39"/>
        <v>117.74428455999998</v>
      </c>
      <c r="T155" s="10" t="s">
        <v>962</v>
      </c>
      <c r="U155" s="34" t="str">
        <f t="shared" si="45"/>
        <v/>
      </c>
      <c r="V155" s="31" t="str">
        <f>IF(H155="CHK",VLOOKUP(I155,QCCHK,3,),IF(H155="GUP",VLOOKUP(E155,QCGUP,2,),IF(AND(H155="ATP",OR(I155="TN",I155="TDN",I155="TNO2-3",I155="NO2-3")),VLOOKUP(E155,QCREC_N,2,),IF(AND(H155="NIC",OR(I155="TN",I155="TDN",I155="TNO2-3",I155="NO2-3")),VLOOKUP(E155,QCNIC_N,2,),IF(AND(H155="UREA",OR(I155="TN",I155="TDN",I155="TNO2-3",I155="NO2-3")),VLOOKUP(E155,QCUREA_N,2,),IF(H155="PER",VLOOKUP(I155,QCPER,MATCH(E155,QCACTUAL!$J$25:$AA$25,0),),IF(H155="SPK",VLOOKUP(I155,QCSPK,3,),IF(AND(H155="ATP",OR(I155="TP",I155="TDP")),VLOOKUP(E155,QCATP_P,2,),""))))))))</f>
        <v/>
      </c>
      <c r="W155" s="31" t="str">
        <f t="shared" si="40"/>
        <v>TRUE</v>
      </c>
      <c r="X155" s="31" t="str">
        <f t="shared" si="41"/>
        <v/>
      </c>
      <c r="Y155" s="10" t="s">
        <v>961</v>
      </c>
      <c r="AF155" s="12">
        <v>45686</v>
      </c>
      <c r="AG155" s="10">
        <f>-208.66*0.378^2+412.32*0.378-8.2985</f>
        <v>117.74428455999998</v>
      </c>
      <c r="AH155" s="10">
        <f>-59.51*0.378^2+334.39*0.378-4.4</f>
        <v>113.49639315999998</v>
      </c>
      <c r="AI155" s="10">
        <f>-17.314*0.378^2+288.71*0.378+0.4726</f>
        <v>107.131086424</v>
      </c>
      <c r="AK155" s="10">
        <f>-0.9791*0.378^2+252.54*0.378+6.5963</f>
        <v>101.9165222756</v>
      </c>
      <c r="AL155" s="10" t="str">
        <f t="shared" si="42"/>
        <v>y=-208.66*0.378^2+412.32*0.378-8.2985</v>
      </c>
      <c r="AM155" s="10" t="str">
        <f t="shared" si="42"/>
        <v>y=-59.51*0.378^2+334.39*0.378-4.4</v>
      </c>
      <c r="AN155" s="10" t="str">
        <f t="shared" si="42"/>
        <v>y=-17.314*0.378^2+288.71*0.378+0.4726</v>
      </c>
      <c r="AO155" s="10" t="str">
        <f t="shared" si="43"/>
        <v>FALSE</v>
      </c>
      <c r="AP155" s="10" t="str">
        <f t="shared" si="43"/>
        <v>y=-0.9791*0.378^2+252.54*0.378+6.5963</v>
      </c>
      <c r="AQ155" s="10" t="str">
        <f>IF(AND(I155="TP",S155&lt;=150),VLOOKUP(AF155,TPCalibEq150!$AZ$2:$BB$166,3,),IF(AND(I155="TDP",S155&lt;=150),VLOOKUP(AF155,TPCalibEq150!$AZ$2:$BB$166,3,)))</f>
        <v>y=-208.66x2+412.32x-8.2985</v>
      </c>
      <c r="AR155" s="10" t="str">
        <f>IF(AND(I155="TP",S155&lt;=300),VLOOKUP(AF155,TPCalibEq300!$AZ$2:$BB$166,3,),IF(AND(I155="TDP",S155&lt;=300),VLOOKUP(AF155,TPCalibEq300!$AZ$2:$BB$166,3,)))</f>
        <v>y=-59.51x2+334.39x-4.4</v>
      </c>
      <c r="AS155" s="10" t="str">
        <f>IF(AND(I155="TP",S155&lt;=500),VLOOKUP(AF155,TPCalibEq500!$AZ$2:$BB$165,3,),IF(AND(I155="TDP",S155&lt;=500),VLOOKUP(AF155,TPCalibEq500!$AZ$2:$BB$165,3,)))</f>
        <v>y=-17.314x2+288.71x+0.4726</v>
      </c>
      <c r="AT155" s="10" t="b">
        <f>IF(AND(I155="TN",S155&lt;=2800),VLOOKUP(AF155,TNCalibEq2500!$AZ$2:$BB$165,3,),IF(AND(I155="TDN",S155&lt;=2800),VLOOKUP(AF155,TNCalibEq2500!$AZ$2:$BB$165,3,)))</f>
        <v>0</v>
      </c>
      <c r="AU155" s="10" t="str">
        <f>IF(I155="TP",VLOOKUP(AF155,TPCalibEqFull!$AZ$2:$BB$165,3),IF(I155="TDP",VLOOKUP(AF155,TPCalibEqFull!$AZ$2:$BB$165,3),IF(I155="TDN",VLOOKUP(AF155,TNCalibEqFull!$AZ$2:$BB$164,3),IF(I155="TN",VLOOKUP(AF155,TNCalibEqFull!$AZ$2:$BB$164,3),FALSE))))</f>
        <v>y=-0.9791x2+252.54x+6.5963</v>
      </c>
      <c r="AV155" s="10" t="str">
        <f t="shared" si="44"/>
        <v>20240803 00:00:00-1000-2-Sh-1-SW-UKN</v>
      </c>
    </row>
    <row r="156" spans="1:48" s="10" customFormat="1" x14ac:dyDescent="0.3">
      <c r="A156" s="32">
        <v>45507</v>
      </c>
      <c r="B156" s="33">
        <v>0</v>
      </c>
      <c r="C156" s="10">
        <v>1000</v>
      </c>
      <c r="D156" s="10">
        <v>2</v>
      </c>
      <c r="E156" s="10" t="s">
        <v>953</v>
      </c>
      <c r="F156" s="10">
        <v>2</v>
      </c>
      <c r="G156" s="10" t="s">
        <v>229</v>
      </c>
      <c r="H156" s="10" t="s">
        <v>320</v>
      </c>
      <c r="I156" s="10" t="s">
        <v>81</v>
      </c>
      <c r="J156" s="10">
        <v>7</v>
      </c>
      <c r="K156" s="12">
        <v>45686</v>
      </c>
      <c r="L156" s="33">
        <v>0.64136574074074071</v>
      </c>
      <c r="M156" s="10">
        <v>1</v>
      </c>
      <c r="N156" s="10" t="s">
        <v>82</v>
      </c>
      <c r="O156" s="10">
        <v>0.71699999999999997</v>
      </c>
      <c r="P156" s="10">
        <v>7.6999999999999999E-2</v>
      </c>
      <c r="Q156" s="10">
        <v>186</v>
      </c>
      <c r="R156" s="10" t="s">
        <v>83</v>
      </c>
      <c r="S156" s="34">
        <f t="shared" si="39"/>
        <v>204.76419360999998</v>
      </c>
      <c r="T156" s="10" t="s">
        <v>962</v>
      </c>
      <c r="U156" s="34" t="str">
        <f t="shared" si="45"/>
        <v/>
      </c>
      <c r="V156" s="31" t="str">
        <f>IF(H156="CHK",VLOOKUP(I156,QCCHK,3,),IF(H156="GUP",VLOOKUP(E156,QCGUP,2,),IF(AND(H156="ATP",OR(I156="TN",I156="TDN",I156="TNO2-3",I156="NO2-3")),VLOOKUP(E156,QCREC_N,2,),IF(AND(H156="NIC",OR(I156="TN",I156="TDN",I156="TNO2-3",I156="NO2-3")),VLOOKUP(E156,QCNIC_N,2,),IF(AND(H156="UREA",OR(I156="TN",I156="TDN",I156="TNO2-3",I156="NO2-3")),VLOOKUP(E156,QCUREA_N,2,),IF(H156="PER",VLOOKUP(I156,QCPER,MATCH(E156,QCACTUAL!$J$25:$AA$25,0),),IF(H156="SPK",VLOOKUP(I156,QCSPK,3,),IF(AND(H156="ATP",OR(I156="TP",I156="TDP")),VLOOKUP(E156,QCATP_P,2,),""))))))))</f>
        <v/>
      </c>
      <c r="W156" s="31" t="str">
        <f t="shared" si="40"/>
        <v>TRUE</v>
      </c>
      <c r="X156" s="31" t="str">
        <f t="shared" si="41"/>
        <v/>
      </c>
      <c r="Y156" s="10" t="s">
        <v>961</v>
      </c>
      <c r="AF156" s="12">
        <v>45686</v>
      </c>
      <c r="AH156" s="10">
        <f>-59.51*0.717^2+334.39*0.717-4.4</f>
        <v>204.76419360999998</v>
      </c>
      <c r="AI156" s="10">
        <f>-17.314*0.717^2+288.71*0.717+0.4726</f>
        <v>198.57673305399999</v>
      </c>
      <c r="AK156" s="10">
        <f>-0.9791*0.717^2+252.54*0.717+6.5963</f>
        <v>187.1641354601</v>
      </c>
      <c r="AL156" s="10" t="str">
        <f t="shared" si="42"/>
        <v>FALSE</v>
      </c>
      <c r="AM156" s="10" t="str">
        <f t="shared" si="42"/>
        <v>y=-59.51*0.717^2+334.39*0.717-4.4</v>
      </c>
      <c r="AN156" s="10" t="str">
        <f t="shared" si="42"/>
        <v>y=-17.314*0.717^2+288.71*0.717+0.4726</v>
      </c>
      <c r="AO156" s="10" t="str">
        <f t="shared" si="43"/>
        <v>FALSE</v>
      </c>
      <c r="AP156" s="10" t="str">
        <f t="shared" si="43"/>
        <v>y=-0.9791*0.717^2+252.54*0.717+6.5963</v>
      </c>
      <c r="AQ156" s="10" t="b">
        <f>IF(AND(I156="TP",S156&lt;=150),VLOOKUP(AF156,TPCalibEq150!$AZ$2:$BB$166,3,),IF(AND(I156="TDP",S156&lt;=150),VLOOKUP(AF156,TPCalibEq150!$AZ$2:$BB$166,3,)))</f>
        <v>0</v>
      </c>
      <c r="AR156" s="10" t="str">
        <f>IF(AND(I156="TP",S156&lt;=300),VLOOKUP(AF156,TPCalibEq300!$AZ$2:$BB$166,3,),IF(AND(I156="TDP",S156&lt;=300),VLOOKUP(AF156,TPCalibEq300!$AZ$2:$BB$166,3,)))</f>
        <v>y=-59.51x2+334.39x-4.4</v>
      </c>
      <c r="AS156" s="10" t="str">
        <f>IF(AND(I156="TP",S156&lt;=500),VLOOKUP(AF156,TPCalibEq500!$AZ$2:$BB$165,3,),IF(AND(I156="TDP",S156&lt;=500),VLOOKUP(AF156,TPCalibEq500!$AZ$2:$BB$165,3,)))</f>
        <v>y=-17.314x2+288.71x+0.4726</v>
      </c>
      <c r="AT156" s="10" t="b">
        <f>IF(AND(I156="TN",S156&lt;=2800),VLOOKUP(AF156,TNCalibEq2500!$AZ$2:$BB$165,3,),IF(AND(I156="TDN",S156&lt;=2800),VLOOKUP(AF156,TNCalibEq2500!$AZ$2:$BB$165,3,)))</f>
        <v>0</v>
      </c>
      <c r="AU156" s="10" t="str">
        <f>IF(I156="TP",VLOOKUP(AF156,TPCalibEqFull!$AZ$2:$BB$165,3),IF(I156="TDP",VLOOKUP(AF156,TPCalibEqFull!$AZ$2:$BB$165,3),IF(I156="TDN",VLOOKUP(AF156,TNCalibEqFull!$AZ$2:$BB$164,3),IF(I156="TN",VLOOKUP(AF156,TNCalibEqFull!$AZ$2:$BB$164,3),FALSE))))</f>
        <v>y=-0.9791x2+252.54x+6.5963</v>
      </c>
      <c r="AV156" s="10" t="str">
        <f t="shared" si="44"/>
        <v>20240803 00:00:00-1000-2-Sh-2-SW-UKN</v>
      </c>
    </row>
    <row r="157" spans="1:48" s="10" customFormat="1" x14ac:dyDescent="0.3">
      <c r="A157" s="32">
        <v>45500</v>
      </c>
      <c r="B157" s="33">
        <v>0</v>
      </c>
      <c r="C157" s="10">
        <v>1000</v>
      </c>
      <c r="D157" s="10">
        <v>2</v>
      </c>
      <c r="E157" s="10" t="s">
        <v>954</v>
      </c>
      <c r="F157" s="10">
        <v>1</v>
      </c>
      <c r="G157" s="10" t="s">
        <v>229</v>
      </c>
      <c r="H157" s="10" t="s">
        <v>320</v>
      </c>
      <c r="I157" s="10" t="s">
        <v>81</v>
      </c>
      <c r="J157" s="10">
        <v>8</v>
      </c>
      <c r="K157" s="12">
        <v>45686</v>
      </c>
      <c r="L157" s="33">
        <v>0.66317129629629623</v>
      </c>
      <c r="M157" s="10">
        <v>1</v>
      </c>
      <c r="N157" s="10" t="s">
        <v>82</v>
      </c>
      <c r="O157" s="10">
        <v>0.34799999999999998</v>
      </c>
      <c r="P157" s="10">
        <v>3.6600000000000001E-2</v>
      </c>
      <c r="Q157" s="10">
        <v>95.2</v>
      </c>
      <c r="R157" s="10" t="s">
        <v>83</v>
      </c>
      <c r="S157" s="34">
        <f t="shared" si="39"/>
        <v>109.91929936</v>
      </c>
      <c r="T157" s="10" t="s">
        <v>962</v>
      </c>
      <c r="U157" s="34" t="str">
        <f t="shared" si="45"/>
        <v/>
      </c>
      <c r="V157" s="31" t="str">
        <f>IF(H157="CHK",VLOOKUP(I157,QCCHK,3,),IF(H157="GUP",VLOOKUP(E157,QCGUP,2,),IF(AND(H157="ATP",OR(I157="TN",I157="TDN",I157="TNO2-3",I157="NO2-3")),VLOOKUP(E157,QCREC_N,2,),IF(AND(H157="NIC",OR(I157="TN",I157="TDN",I157="TNO2-3",I157="NO2-3")),VLOOKUP(E157,QCNIC_N,2,),IF(AND(H157="UREA",OR(I157="TN",I157="TDN",I157="TNO2-3",I157="NO2-3")),VLOOKUP(E157,QCUREA_N,2,),IF(H157="PER",VLOOKUP(I157,QCPER,MATCH(E157,QCACTUAL!$J$25:$AA$25,0),),IF(H157="SPK",VLOOKUP(I157,QCSPK,3,),IF(AND(H157="ATP",OR(I157="TP",I157="TDP")),VLOOKUP(E157,QCATP_P,2,),""))))))))</f>
        <v/>
      </c>
      <c r="W157" s="31" t="str">
        <f t="shared" si="40"/>
        <v>TRUE</v>
      </c>
      <c r="X157" s="31" t="str">
        <f t="shared" si="41"/>
        <v/>
      </c>
      <c r="Y157" s="10" t="s">
        <v>961</v>
      </c>
      <c r="AF157" s="12">
        <v>45686</v>
      </c>
      <c r="AG157" s="10">
        <f>-208.66*0.348^2+412.32*0.348-8.2985</f>
        <v>109.91929936</v>
      </c>
      <c r="AH157" s="10">
        <f>-59.51*0.348^2+334.39*0.348-4.4</f>
        <v>104.76082095999999</v>
      </c>
      <c r="AI157" s="10">
        <f>-17.314*0.348^2+288.71*0.348+0.4726</f>
        <v>98.846885343999986</v>
      </c>
      <c r="AK157" s="10">
        <f>-0.9791*0.348^2+252.54*0.348+6.5963</f>
        <v>94.361647073599983</v>
      </c>
      <c r="AL157" s="10" t="str">
        <f t="shared" si="42"/>
        <v>y=-208.66*0.348^2+412.32*0.348-8.2985</v>
      </c>
      <c r="AM157" s="10" t="str">
        <f t="shared" si="42"/>
        <v>y=-59.51*0.348^2+334.39*0.348-4.4</v>
      </c>
      <c r="AN157" s="10" t="str">
        <f t="shared" si="42"/>
        <v>y=-17.314*0.348^2+288.71*0.348+0.4726</v>
      </c>
      <c r="AO157" s="10" t="str">
        <f t="shared" si="43"/>
        <v>FALSE</v>
      </c>
      <c r="AP157" s="10" t="str">
        <f t="shared" si="43"/>
        <v>y=-0.9791*0.348^2+252.54*0.348+6.5963</v>
      </c>
      <c r="AQ157" s="10" t="str">
        <f>IF(AND(I157="TP",S157&lt;=150),VLOOKUP(AF157,TPCalibEq150!$AZ$2:$BB$166,3,),IF(AND(I157="TDP",S157&lt;=150),VLOOKUP(AF157,TPCalibEq150!$AZ$2:$BB$166,3,)))</f>
        <v>y=-208.66x2+412.32x-8.2985</v>
      </c>
      <c r="AR157" s="10" t="str">
        <f>IF(AND(I157="TP",S157&lt;=300),VLOOKUP(AF157,TPCalibEq300!$AZ$2:$BB$166,3,),IF(AND(I157="TDP",S157&lt;=300),VLOOKUP(AF157,TPCalibEq300!$AZ$2:$BB$166,3,)))</f>
        <v>y=-59.51x2+334.39x-4.4</v>
      </c>
      <c r="AS157" s="10" t="str">
        <f>IF(AND(I157="TP",S157&lt;=500),VLOOKUP(AF157,TPCalibEq500!$AZ$2:$BB$165,3,),IF(AND(I157="TDP",S157&lt;=500),VLOOKUP(AF157,TPCalibEq500!$AZ$2:$BB$165,3,)))</f>
        <v>y=-17.314x2+288.71x+0.4726</v>
      </c>
      <c r="AT157" s="10" t="b">
        <f>IF(AND(I157="TN",S157&lt;=2800),VLOOKUP(AF157,TNCalibEq2500!$AZ$2:$BB$165,3,),IF(AND(I157="TDN",S157&lt;=2800),VLOOKUP(AF157,TNCalibEq2500!$AZ$2:$BB$165,3,)))</f>
        <v>0</v>
      </c>
      <c r="AU157" s="10" t="str">
        <f>IF(I157="TP",VLOOKUP(AF157,TPCalibEqFull!$AZ$2:$BB$165,3),IF(I157="TDP",VLOOKUP(AF157,TPCalibEqFull!$AZ$2:$BB$165,3),IF(I157="TDN",VLOOKUP(AF157,TNCalibEqFull!$AZ$2:$BB$164,3),IF(I157="TN",VLOOKUP(AF157,TNCalibEqFull!$AZ$2:$BB$164,3),FALSE))))</f>
        <v>y=-0.9791x2+252.54x+6.5963</v>
      </c>
      <c r="AV157" s="10" t="str">
        <f t="shared" si="44"/>
        <v>20240727 00:00:00-1000-2-Dp-1-SW-UKN</v>
      </c>
    </row>
    <row r="158" spans="1:48" s="10" customFormat="1" x14ac:dyDescent="0.3">
      <c r="A158" s="32">
        <v>45500</v>
      </c>
      <c r="B158" s="33">
        <v>0</v>
      </c>
      <c r="C158" s="10">
        <v>1000</v>
      </c>
      <c r="D158" s="10">
        <v>3</v>
      </c>
      <c r="E158" s="10" t="s">
        <v>953</v>
      </c>
      <c r="F158" s="10">
        <v>1</v>
      </c>
      <c r="G158" s="10" t="s">
        <v>229</v>
      </c>
      <c r="H158" s="10" t="s">
        <v>320</v>
      </c>
      <c r="I158" s="10" t="s">
        <v>81</v>
      </c>
      <c r="J158" s="10">
        <v>9</v>
      </c>
      <c r="K158" s="12">
        <v>45686</v>
      </c>
      <c r="L158" s="33">
        <v>0.642511574074074</v>
      </c>
      <c r="M158" s="10">
        <v>1</v>
      </c>
      <c r="N158" s="10" t="s">
        <v>82</v>
      </c>
      <c r="O158" s="10">
        <v>0.69199999999999995</v>
      </c>
      <c r="P158" s="10">
        <v>7.4300000000000005E-2</v>
      </c>
      <c r="Q158" s="10">
        <v>179</v>
      </c>
      <c r="R158" s="10" t="s">
        <v>83</v>
      </c>
      <c r="S158" s="34">
        <f t="shared" si="39"/>
        <v>198.50068335999998</v>
      </c>
      <c r="T158" s="10" t="s">
        <v>962</v>
      </c>
      <c r="U158" s="34" t="str">
        <f t="shared" si="45"/>
        <v/>
      </c>
      <c r="V158" s="31" t="str">
        <f>IF(H158="CHK",VLOOKUP(I158,QCCHK,3,),IF(H158="GUP",VLOOKUP(E158,QCGUP,2,),IF(AND(H158="ATP",OR(I158="TN",I158="TDN",I158="TNO2-3",I158="NO2-3")),VLOOKUP(E158,QCREC_N,2,),IF(AND(H158="NIC",OR(I158="TN",I158="TDN",I158="TNO2-3",I158="NO2-3")),VLOOKUP(E158,QCNIC_N,2,),IF(AND(H158="UREA",OR(I158="TN",I158="TDN",I158="TNO2-3",I158="NO2-3")),VLOOKUP(E158,QCUREA_N,2,),IF(H158="PER",VLOOKUP(I158,QCPER,MATCH(E158,QCACTUAL!$J$25:$AA$25,0),),IF(H158="SPK",VLOOKUP(I158,QCSPK,3,),IF(AND(H158="ATP",OR(I158="TP",I158="TDP")),VLOOKUP(E158,QCATP_P,2,),""))))))))</f>
        <v/>
      </c>
      <c r="W158" s="31" t="str">
        <f t="shared" si="40"/>
        <v>TRUE</v>
      </c>
      <c r="X158" s="31" t="str">
        <f t="shared" si="41"/>
        <v/>
      </c>
      <c r="Y158" s="10" t="s">
        <v>961</v>
      </c>
      <c r="AF158" s="12">
        <v>45686</v>
      </c>
      <c r="AH158" s="10">
        <f>-59.51*0.692^2+334.39*0.692-4.4</f>
        <v>198.50068335999998</v>
      </c>
      <c r="AI158" s="10">
        <f>-17.314*0.692^2+288.71*0.692+0.4726</f>
        <v>191.96886870399996</v>
      </c>
      <c r="AK158" s="10">
        <f>-0.9791*0.692^2+252.54*0.692+6.5963</f>
        <v>180.88512425760001</v>
      </c>
      <c r="AL158" s="10" t="str">
        <f t="shared" si="42"/>
        <v>FALSE</v>
      </c>
      <c r="AM158" s="10" t="str">
        <f t="shared" si="42"/>
        <v>y=-59.51*0.692^2+334.39*0.692-4.4</v>
      </c>
      <c r="AN158" s="10" t="str">
        <f t="shared" si="42"/>
        <v>y=-17.314*0.692^2+288.71*0.692+0.4726</v>
      </c>
      <c r="AO158" s="10" t="str">
        <f t="shared" si="43"/>
        <v>FALSE</v>
      </c>
      <c r="AP158" s="10" t="str">
        <f t="shared" si="43"/>
        <v>y=-0.9791*0.692^2+252.54*0.692+6.5963</v>
      </c>
      <c r="AQ158" s="10" t="b">
        <f>IF(AND(I158="TP",S158&lt;=150),VLOOKUP(AF158,TPCalibEq150!$AZ$2:$BB$166,3,),IF(AND(I158="TDP",S158&lt;=150),VLOOKUP(AF158,TPCalibEq150!$AZ$2:$BB$166,3,)))</f>
        <v>0</v>
      </c>
      <c r="AR158" s="10" t="str">
        <f>IF(AND(I158="TP",S158&lt;=300),VLOOKUP(AF158,TPCalibEq300!$AZ$2:$BB$166,3,),IF(AND(I158="TDP",S158&lt;=300),VLOOKUP(AF158,TPCalibEq300!$AZ$2:$BB$166,3,)))</f>
        <v>y=-59.51x2+334.39x-4.4</v>
      </c>
      <c r="AS158" s="10" t="str">
        <f>IF(AND(I158="TP",S158&lt;=500),VLOOKUP(AF158,TPCalibEq500!$AZ$2:$BB$165,3,),IF(AND(I158="TDP",S158&lt;=500),VLOOKUP(AF158,TPCalibEq500!$AZ$2:$BB$165,3,)))</f>
        <v>y=-17.314x2+288.71x+0.4726</v>
      </c>
      <c r="AT158" s="10" t="b">
        <f>IF(AND(I158="TN",S158&lt;=2800),VLOOKUP(AF158,TNCalibEq2500!$AZ$2:$BB$165,3,),IF(AND(I158="TDN",S158&lt;=2800),VLOOKUP(AF158,TNCalibEq2500!$AZ$2:$BB$165,3,)))</f>
        <v>0</v>
      </c>
      <c r="AU158" s="10" t="str">
        <f>IF(I158="TP",VLOOKUP(AF158,TPCalibEqFull!$AZ$2:$BB$165,3),IF(I158="TDP",VLOOKUP(AF158,TPCalibEqFull!$AZ$2:$BB$165,3),IF(I158="TDN",VLOOKUP(AF158,TNCalibEqFull!$AZ$2:$BB$164,3),IF(I158="TN",VLOOKUP(AF158,TNCalibEqFull!$AZ$2:$BB$164,3),FALSE))))</f>
        <v>y=-0.9791x2+252.54x+6.5963</v>
      </c>
      <c r="AV158" s="10" t="str">
        <f t="shared" si="44"/>
        <v>20240727 00:00:00-1000-3-Sh-1-SW-UKN</v>
      </c>
    </row>
    <row r="159" spans="1:48" s="10" customFormat="1" x14ac:dyDescent="0.3">
      <c r="A159" s="32">
        <v>45500</v>
      </c>
      <c r="B159" s="33">
        <v>0</v>
      </c>
      <c r="C159" s="10">
        <v>1000</v>
      </c>
      <c r="D159" s="10">
        <v>3</v>
      </c>
      <c r="E159" s="10" t="s">
        <v>953</v>
      </c>
      <c r="F159" s="10">
        <v>2</v>
      </c>
      <c r="G159" s="10" t="s">
        <v>229</v>
      </c>
      <c r="H159" s="10" t="s">
        <v>320</v>
      </c>
      <c r="I159" s="10" t="s">
        <v>81</v>
      </c>
      <c r="J159" s="10">
        <v>10</v>
      </c>
      <c r="K159" s="12">
        <v>45686</v>
      </c>
      <c r="L159" s="33">
        <v>0.64309027777777772</v>
      </c>
      <c r="M159" s="10">
        <v>1</v>
      </c>
      <c r="N159" s="10" t="s">
        <v>82</v>
      </c>
      <c r="O159" s="10">
        <v>0.79</v>
      </c>
      <c r="P159" s="10">
        <v>8.5000000000000006E-2</v>
      </c>
      <c r="Q159" s="10">
        <v>203</v>
      </c>
      <c r="R159" s="10" t="s">
        <v>83</v>
      </c>
      <c r="S159" s="34">
        <f t="shared" si="39"/>
        <v>222.62790899999996</v>
      </c>
      <c r="T159" s="10" t="s">
        <v>962</v>
      </c>
      <c r="U159" s="34" t="str">
        <f t="shared" si="45"/>
        <v/>
      </c>
      <c r="V159" s="31" t="str">
        <f>IF(H159="CHK",VLOOKUP(I159,QCCHK,3,),IF(H159="GUP",VLOOKUP(E159,QCGUP,2,),IF(AND(H159="ATP",OR(I159="TN",I159="TDN",I159="TNO2-3",I159="NO2-3")),VLOOKUP(E159,QCREC_N,2,),IF(AND(H159="NIC",OR(I159="TN",I159="TDN",I159="TNO2-3",I159="NO2-3")),VLOOKUP(E159,QCNIC_N,2,),IF(AND(H159="UREA",OR(I159="TN",I159="TDN",I159="TNO2-3",I159="NO2-3")),VLOOKUP(E159,QCUREA_N,2,),IF(H159="PER",VLOOKUP(I159,QCPER,MATCH(E159,QCACTUAL!$J$25:$AA$25,0),),IF(H159="SPK",VLOOKUP(I159,QCSPK,3,),IF(AND(H159="ATP",OR(I159="TP",I159="TDP")),VLOOKUP(E159,QCATP_P,2,),""))))))))</f>
        <v/>
      </c>
      <c r="W159" s="31" t="str">
        <f t="shared" si="40"/>
        <v>TRUE</v>
      </c>
      <c r="X159" s="31" t="str">
        <f t="shared" si="41"/>
        <v/>
      </c>
      <c r="Y159" s="10" t="s">
        <v>961</v>
      </c>
      <c r="AF159" s="12">
        <v>45686</v>
      </c>
      <c r="AH159" s="10">
        <f>-59.51*0.79^2+334.39*0.79-4.4</f>
        <v>222.62790899999996</v>
      </c>
      <c r="AI159" s="10">
        <f>-17.314*0.79^2+288.71*0.79+0.4726</f>
        <v>217.74783259999998</v>
      </c>
      <c r="AK159" s="10">
        <f>-0.9791*0.79^2+252.54*0.79+6.5963</f>
        <v>205.49184369</v>
      </c>
      <c r="AL159" s="10" t="str">
        <f t="shared" si="42"/>
        <v>FALSE</v>
      </c>
      <c r="AM159" s="10" t="str">
        <f t="shared" si="42"/>
        <v>y=-59.51*0.79^2+334.39*0.79-4.4</v>
      </c>
      <c r="AN159" s="10" t="str">
        <f t="shared" si="42"/>
        <v>y=-17.314*0.79^2+288.71*0.79+0.4726</v>
      </c>
      <c r="AO159" s="10" t="str">
        <f t="shared" si="43"/>
        <v>FALSE</v>
      </c>
      <c r="AP159" s="10" t="str">
        <f t="shared" si="43"/>
        <v>y=-0.9791*0.79^2+252.54*0.79+6.5963</v>
      </c>
      <c r="AQ159" s="10" t="b">
        <f>IF(AND(I159="TP",S159&lt;=150),VLOOKUP(AF159,TPCalibEq150!$AZ$2:$BB$166,3,),IF(AND(I159="TDP",S159&lt;=150),VLOOKUP(AF159,TPCalibEq150!$AZ$2:$BB$166,3,)))</f>
        <v>0</v>
      </c>
      <c r="AR159" s="10" t="str">
        <f>IF(AND(I159="TP",S159&lt;=300),VLOOKUP(AF159,TPCalibEq300!$AZ$2:$BB$166,3,),IF(AND(I159="TDP",S159&lt;=300),VLOOKUP(AF159,TPCalibEq300!$AZ$2:$BB$166,3,)))</f>
        <v>y=-59.51x2+334.39x-4.4</v>
      </c>
      <c r="AS159" s="10" t="str">
        <f>IF(AND(I159="TP",S159&lt;=500),VLOOKUP(AF159,TPCalibEq500!$AZ$2:$BB$165,3,),IF(AND(I159="TDP",S159&lt;=500),VLOOKUP(AF159,TPCalibEq500!$AZ$2:$BB$165,3,)))</f>
        <v>y=-17.314x2+288.71x+0.4726</v>
      </c>
      <c r="AT159" s="10" t="b">
        <f>IF(AND(I159="TN",S159&lt;=2800),VLOOKUP(AF159,TNCalibEq2500!$AZ$2:$BB$165,3,),IF(AND(I159="TDN",S159&lt;=2800),VLOOKUP(AF159,TNCalibEq2500!$AZ$2:$BB$165,3,)))</f>
        <v>0</v>
      </c>
      <c r="AU159" s="10" t="str">
        <f>IF(I159="TP",VLOOKUP(AF159,TPCalibEqFull!$AZ$2:$BB$165,3),IF(I159="TDP",VLOOKUP(AF159,TPCalibEqFull!$AZ$2:$BB$165,3),IF(I159="TDN",VLOOKUP(AF159,TNCalibEqFull!$AZ$2:$BB$164,3),IF(I159="TN",VLOOKUP(AF159,TNCalibEqFull!$AZ$2:$BB$164,3),FALSE))))</f>
        <v>y=-0.9791x2+252.54x+6.5963</v>
      </c>
      <c r="AV159" s="10" t="str">
        <f t="shared" si="44"/>
        <v>20240727 00:00:00-1000-3-Sh-2-SW-UKN</v>
      </c>
    </row>
    <row r="160" spans="1:48" s="10" customFormat="1" x14ac:dyDescent="0.3">
      <c r="A160" s="32">
        <v>45500</v>
      </c>
      <c r="B160" s="33">
        <v>0</v>
      </c>
      <c r="C160" s="10">
        <v>1000</v>
      </c>
      <c r="D160" s="10">
        <v>3</v>
      </c>
      <c r="E160" s="10" t="s">
        <v>954</v>
      </c>
      <c r="F160" s="10">
        <v>1</v>
      </c>
      <c r="G160" s="10" t="s">
        <v>229</v>
      </c>
      <c r="H160" s="10" t="s">
        <v>320</v>
      </c>
      <c r="I160" s="10" t="s">
        <v>81</v>
      </c>
      <c r="J160" s="10">
        <v>11</v>
      </c>
      <c r="K160" s="12">
        <v>45686</v>
      </c>
      <c r="L160" s="33">
        <v>0.6436574074074074</v>
      </c>
      <c r="M160" s="10">
        <v>1</v>
      </c>
      <c r="N160" s="10" t="s">
        <v>82</v>
      </c>
      <c r="O160" s="10">
        <v>0.10199999999999999</v>
      </c>
      <c r="P160" s="10">
        <v>9.3200000000000002E-3</v>
      </c>
      <c r="Q160" s="10">
        <v>34.9</v>
      </c>
      <c r="R160" s="10" t="s">
        <v>83</v>
      </c>
      <c r="S160" s="34">
        <f t="shared" si="39"/>
        <v>34.9</v>
      </c>
      <c r="T160" s="10" t="s">
        <v>962</v>
      </c>
      <c r="U160" s="34" t="str">
        <f t="shared" si="45"/>
        <v/>
      </c>
      <c r="V160" s="31" t="str">
        <f>IF(H160="CHK",VLOOKUP(I160,QCCHK,3,),IF(H160="GUP",VLOOKUP(E160,QCGUP,2,),IF(AND(H160="ATP",OR(I160="TN",I160="TDN",I160="TNO2-3",I160="NO2-3")),VLOOKUP(E160,QCREC_N,2,),IF(AND(H160="NIC",OR(I160="TN",I160="TDN",I160="TNO2-3",I160="NO2-3")),VLOOKUP(E160,QCNIC_N,2,),IF(AND(H160="UREA",OR(I160="TN",I160="TDN",I160="TNO2-3",I160="NO2-3")),VLOOKUP(E160,QCUREA_N,2,),IF(H160="PER",VLOOKUP(I160,QCPER,MATCH(E160,QCACTUAL!$J$25:$AA$25,0),),IF(H160="SPK",VLOOKUP(I160,QCSPK,3,),IF(AND(H160="ATP",OR(I160="TP",I160="TDP")),VLOOKUP(E160,QCATP_P,2,),""))))))))</f>
        <v/>
      </c>
      <c r="W160" s="31" t="str">
        <f t="shared" si="40"/>
        <v>TRUE</v>
      </c>
      <c r="X160" s="31" t="str">
        <f t="shared" si="41"/>
        <v/>
      </c>
      <c r="Y160" s="10" t="s">
        <v>961</v>
      </c>
      <c r="AF160" s="12">
        <v>45686</v>
      </c>
      <c r="AG160" s="10">
        <f>-208.66*0.102^2+412.32*0.102-8.2985</f>
        <v>31.587241359999997</v>
      </c>
      <c r="AH160" s="10">
        <f>-59.51*0.102^2+334.39*0.102-4.4</f>
        <v>29.08863796</v>
      </c>
      <c r="AI160" s="10">
        <f>-17.314*0.102^2+288.71*0.102+0.4726</f>
        <v>29.740885143999996</v>
      </c>
      <c r="AK160" s="10">
        <f>-0.9791*0.102^2+252.54*0.102+6.5963</f>
        <v>32.345193443599996</v>
      </c>
      <c r="AL160" s="10" t="str">
        <f t="shared" si="42"/>
        <v>y=-208.66*0.102^2+412.32*0.102-8.2985</v>
      </c>
      <c r="AM160" s="10" t="str">
        <f t="shared" si="42"/>
        <v>y=-59.51*0.102^2+334.39*0.102-4.4</v>
      </c>
      <c r="AN160" s="10" t="str">
        <f t="shared" si="42"/>
        <v>y=-17.314*0.102^2+288.71*0.102+0.4726</v>
      </c>
      <c r="AO160" s="10" t="str">
        <f t="shared" si="43"/>
        <v>FALSE</v>
      </c>
      <c r="AP160" s="10" t="str">
        <f t="shared" si="43"/>
        <v>y=-0.9791*0.102^2+252.54*0.102+6.5963</v>
      </c>
      <c r="AQ160" s="10" t="str">
        <f>IF(AND(I160="TP",S160&lt;=150),VLOOKUP(AF160,TPCalibEq150!$AZ$2:$BB$166,3,),IF(AND(I160="TDP",S160&lt;=150),VLOOKUP(AF160,TPCalibEq150!$AZ$2:$BB$166,3,)))</f>
        <v>y=-208.66x2+412.32x-8.2985</v>
      </c>
      <c r="AR160" s="10" t="str">
        <f>IF(AND(I160="TP",S160&lt;=300),VLOOKUP(AF160,TPCalibEq300!$AZ$2:$BB$166,3,),IF(AND(I160="TDP",S160&lt;=300),VLOOKUP(AF160,TPCalibEq300!$AZ$2:$BB$166,3,)))</f>
        <v>y=-59.51x2+334.39x-4.4</v>
      </c>
      <c r="AS160" s="10" t="str">
        <f>IF(AND(I160="TP",S160&lt;=500),VLOOKUP(AF160,TPCalibEq500!$AZ$2:$BB$165,3,),IF(AND(I160="TDP",S160&lt;=500),VLOOKUP(AF160,TPCalibEq500!$AZ$2:$BB$165,3,)))</f>
        <v>y=-17.314x2+288.71x+0.4726</v>
      </c>
      <c r="AT160" s="10" t="b">
        <f>IF(AND(I160="TN",S160&lt;=2800),VLOOKUP(AF160,TNCalibEq2500!$AZ$2:$BB$165,3,),IF(AND(I160="TDN",S160&lt;=2800),VLOOKUP(AF160,TNCalibEq2500!$AZ$2:$BB$165,3,)))</f>
        <v>0</v>
      </c>
      <c r="AU160" s="10" t="str">
        <f>IF(I160="TP",VLOOKUP(AF160,TPCalibEqFull!$AZ$2:$BB$165,3),IF(I160="TDP",VLOOKUP(AF160,TPCalibEqFull!$AZ$2:$BB$165,3),IF(I160="TDN",VLOOKUP(AF160,TNCalibEqFull!$AZ$2:$BB$164,3),IF(I160="TN",VLOOKUP(AF160,TNCalibEqFull!$AZ$2:$BB$164,3),FALSE))))</f>
        <v>y=-0.9791x2+252.54x+6.5963</v>
      </c>
      <c r="AV160" s="10" t="str">
        <f t="shared" si="44"/>
        <v>20240727 00:00:00-1000-3-Dp-1-SW-UKN</v>
      </c>
    </row>
    <row r="161" spans="1:48" s="10" customFormat="1" x14ac:dyDescent="0.3">
      <c r="A161" s="32">
        <v>45500</v>
      </c>
      <c r="B161" s="33">
        <v>0</v>
      </c>
      <c r="C161" s="10">
        <v>1000</v>
      </c>
      <c r="D161" s="10">
        <v>3</v>
      </c>
      <c r="E161" s="10" t="s">
        <v>954</v>
      </c>
      <c r="F161" s="10">
        <v>1</v>
      </c>
      <c r="G161" s="10" t="s">
        <v>229</v>
      </c>
      <c r="H161" s="10" t="s">
        <v>231</v>
      </c>
      <c r="I161" s="10" t="s">
        <v>81</v>
      </c>
      <c r="J161" s="10">
        <v>11</v>
      </c>
      <c r="K161" s="12">
        <v>45686</v>
      </c>
      <c r="L161" s="33">
        <v>0.64422453703703708</v>
      </c>
      <c r="M161" s="10">
        <v>1</v>
      </c>
      <c r="N161" s="10" t="s">
        <v>82</v>
      </c>
      <c r="O161" s="10">
        <v>0.10199999999999999</v>
      </c>
      <c r="P161" s="10">
        <v>9.1599999999999997E-3</v>
      </c>
      <c r="Q161" s="10">
        <v>34.700000000000003</v>
      </c>
      <c r="R161" s="10" t="s">
        <v>83</v>
      </c>
      <c r="S161" s="34">
        <f t="shared" si="39"/>
        <v>34.700000000000003</v>
      </c>
      <c r="T161" s="10" t="s">
        <v>962</v>
      </c>
      <c r="U161" s="34">
        <f t="shared" si="45"/>
        <v>0.57471264367814867</v>
      </c>
      <c r="V161" s="31" t="str">
        <f>IF(H161="CHK",VLOOKUP(I161,QCCHK,3,),IF(H161="GUP",VLOOKUP(E161,QCGUP,2,),IF(AND(H161="ATP",OR(I161="TN",I161="TDN",I161="TNO2-3",I161="NO2-3")),VLOOKUP(E161,QCREC_N,2,),IF(AND(H161="NIC",OR(I161="TN",I161="TDN",I161="TNO2-3",I161="NO2-3")),VLOOKUP(E161,QCNIC_N,2,),IF(AND(H161="UREA",OR(I161="TN",I161="TDN",I161="TNO2-3",I161="NO2-3")),VLOOKUP(E161,QCUREA_N,2,),IF(H161="PER",VLOOKUP(I161,QCPER,MATCH(E161,QCACTUAL!$J$25:$AA$25,0),),IF(H161="SPK",VLOOKUP(I161,QCSPK,3,),IF(AND(H161="ATP",OR(I161="TP",I161="TDP")),VLOOKUP(E161,QCATP_P,2,),""))))))))</f>
        <v/>
      </c>
      <c r="W161" s="31" t="str">
        <f t="shared" si="40"/>
        <v>TRUE</v>
      </c>
      <c r="X161" s="31" t="str">
        <f t="shared" si="41"/>
        <v>((ABS(rep1-rep2))/((rep1+rep2)/2)*100</v>
      </c>
      <c r="Y161" s="10" t="s">
        <v>961</v>
      </c>
      <c r="AF161" s="12">
        <v>45686</v>
      </c>
      <c r="AG161" s="10">
        <f>-208.66*0.102^2+412.32*0.102-8.2985</f>
        <v>31.587241359999997</v>
      </c>
      <c r="AH161" s="10">
        <f>-59.51*0.102^2+334.39*0.102-4.4</f>
        <v>29.08863796</v>
      </c>
      <c r="AI161" s="10">
        <f>-17.314*0.102^2+288.71*0.102+0.4726</f>
        <v>29.740885143999996</v>
      </c>
      <c r="AK161" s="10">
        <f>-0.9791*0.102^2+252.54*0.102+6.5963</f>
        <v>32.345193443599996</v>
      </c>
      <c r="AL161" s="10" t="str">
        <f t="shared" si="42"/>
        <v>y=-208.66*0.102^2+412.32*0.102-8.2985</v>
      </c>
      <c r="AM161" s="10" t="str">
        <f t="shared" si="42"/>
        <v>y=-59.51*0.102^2+334.39*0.102-4.4</v>
      </c>
      <c r="AN161" s="10" t="str">
        <f t="shared" si="42"/>
        <v>y=-17.314*0.102^2+288.71*0.102+0.4726</v>
      </c>
      <c r="AO161" s="10" t="str">
        <f t="shared" si="43"/>
        <v>FALSE</v>
      </c>
      <c r="AP161" s="10" t="str">
        <f t="shared" si="43"/>
        <v>y=-0.9791*0.102^2+252.54*0.102+6.5963</v>
      </c>
      <c r="AQ161" s="10" t="str">
        <f>IF(AND(I161="TP",S161&lt;=150),VLOOKUP(AF161,TPCalibEq150!$AZ$2:$BB$166,3,),IF(AND(I161="TDP",S161&lt;=150),VLOOKUP(AF161,TPCalibEq150!$AZ$2:$BB$166,3,)))</f>
        <v>y=-208.66x2+412.32x-8.2985</v>
      </c>
      <c r="AR161" s="10" t="str">
        <f>IF(AND(I161="TP",S161&lt;=300),VLOOKUP(AF161,TPCalibEq300!$AZ$2:$BB$166,3,),IF(AND(I161="TDP",S161&lt;=300),VLOOKUP(AF161,TPCalibEq300!$AZ$2:$BB$166,3,)))</f>
        <v>y=-59.51x2+334.39x-4.4</v>
      </c>
      <c r="AS161" s="10" t="str">
        <f>IF(AND(I161="TP",S161&lt;=500),VLOOKUP(AF161,TPCalibEq500!$AZ$2:$BB$165,3,),IF(AND(I161="TDP",S161&lt;=500),VLOOKUP(AF161,TPCalibEq500!$AZ$2:$BB$165,3,)))</f>
        <v>y=-17.314x2+288.71x+0.4726</v>
      </c>
      <c r="AT161" s="10" t="b">
        <f>IF(AND(I161="TN",S161&lt;=2800),VLOOKUP(AF161,TNCalibEq2500!$AZ$2:$BB$165,3,),IF(AND(I161="TDN",S161&lt;=2800),VLOOKUP(AF161,TNCalibEq2500!$AZ$2:$BB$165,3,)))</f>
        <v>0</v>
      </c>
      <c r="AU161" s="10" t="str">
        <f>IF(I161="TP",VLOOKUP(AF161,TPCalibEqFull!$AZ$2:$BB$165,3),IF(I161="TDP",VLOOKUP(AF161,TPCalibEqFull!$AZ$2:$BB$165,3),IF(I161="TDN",VLOOKUP(AF161,TNCalibEqFull!$AZ$2:$BB$164,3),IF(I161="TN",VLOOKUP(AF161,TNCalibEqFull!$AZ$2:$BB$164,3),FALSE))))</f>
        <v>y=-0.9791x2+252.54x+6.5963</v>
      </c>
      <c r="AV161" s="10" t="str">
        <f t="shared" si="44"/>
        <v>20240727 00:00:00-1000-3-Dp-1-SW-DUP</v>
      </c>
    </row>
    <row r="162" spans="1:48" s="10" customFormat="1" x14ac:dyDescent="0.3">
      <c r="A162" s="32">
        <v>45500</v>
      </c>
      <c r="B162" s="33">
        <v>0</v>
      </c>
      <c r="C162" s="10">
        <v>1000</v>
      </c>
      <c r="D162" s="10">
        <v>4</v>
      </c>
      <c r="E162" s="10" t="s">
        <v>953</v>
      </c>
      <c r="F162" s="10">
        <v>1</v>
      </c>
      <c r="G162" s="10" t="s">
        <v>72</v>
      </c>
      <c r="H162" s="10" t="s">
        <v>239</v>
      </c>
      <c r="I162" s="10" t="s">
        <v>81</v>
      </c>
      <c r="J162" s="10">
        <v>12</v>
      </c>
      <c r="K162" s="12">
        <v>45686</v>
      </c>
      <c r="L162" s="33">
        <v>0.64653935185185185</v>
      </c>
      <c r="M162" s="10">
        <v>1</v>
      </c>
      <c r="N162" s="10" t="s">
        <v>82</v>
      </c>
      <c r="O162" s="10">
        <v>0.27900000000000003</v>
      </c>
      <c r="P162" s="10">
        <v>2.9000000000000001E-2</v>
      </c>
      <c r="Q162" s="10">
        <v>78.3</v>
      </c>
      <c r="R162" s="10" t="s">
        <v>83</v>
      </c>
      <c r="S162" s="34">
        <f t="shared" si="39"/>
        <v>90.496476939999994</v>
      </c>
      <c r="T162" s="10" t="s">
        <v>962</v>
      </c>
      <c r="U162" s="34" t="str">
        <f>IF(OR(H162="CHK",H162="ATP",H162="GUP",H162="PER", H162="NIC", H162="UREA"),(S162/V162*100),IF(H162="DUP",((ABS(S162-#REF!))/((#REF!+S162)/2))*100,IF(H162="SPK",((S162-#REF!)/V162*100),IF(OR(H162="LAB",H162="FLD",H162="ESF"),S162,""))))</f>
        <v/>
      </c>
      <c r="V162" s="31" t="str">
        <f>IF(H162="CHK",VLOOKUP(I162,QCCHK,3,),IF(H162="GUP",VLOOKUP(E162,QCGUP,2,),IF(AND(H162="ATP",OR(I162="TN",I162="TDN",I162="TNO2-3",I162="NO2-3")),VLOOKUP(E162,QCREC_N,2,),IF(AND(H162="NIC",OR(I162="TN",I162="TDN",I162="TNO2-3",I162="NO2-3")),VLOOKUP(E162,QCNIC_N,2,),IF(AND(H162="UREA",OR(I162="TN",I162="TDN",I162="TNO2-3",I162="NO2-3")),VLOOKUP(E162,QCUREA_N,2,),IF(H162="PER",VLOOKUP(I162,QCPER,MATCH(E162,QCACTUAL!$J$25:$AA$25,0),),IF(H162="SPK",VLOOKUP(I162,QCSPK,3,),IF(AND(H162="ATP",OR(I162="TP",I162="TDP")),VLOOKUP(E162,QCATP_P,2,),""))))))))</f>
        <v/>
      </c>
      <c r="W162" s="31" t="str">
        <f t="shared" si="40"/>
        <v>TRUE</v>
      </c>
      <c r="X162" s="31" t="str">
        <f t="shared" si="41"/>
        <v/>
      </c>
      <c r="Y162" s="10" t="s">
        <v>961</v>
      </c>
      <c r="AF162" s="12">
        <v>45686</v>
      </c>
      <c r="AG162" s="10">
        <f>-208.66*0.279^2+412.32*0.279-8.2985</f>
        <v>90.496476939999994</v>
      </c>
      <c r="AH162" s="10">
        <f>-59.51*0.279^2+334.39*0.279-4.4</f>
        <v>84.262492089999995</v>
      </c>
      <c r="AI162" s="10">
        <f>-17.314*0.279^2+288.71*0.279+0.4726</f>
        <v>79.674950925999994</v>
      </c>
      <c r="AK162" s="10">
        <f>-0.9791*0.279^2+252.54*0.279+6.5963</f>
        <v>76.978745876900007</v>
      </c>
      <c r="AL162" s="10" t="str">
        <f t="shared" si="42"/>
        <v>y=-208.66*0.279^2+412.32*0.279-8.2985</v>
      </c>
      <c r="AM162" s="10" t="str">
        <f t="shared" si="42"/>
        <v>y=-59.51*0.279^2+334.39*0.279-4.4</v>
      </c>
      <c r="AN162" s="10" t="str">
        <f t="shared" si="42"/>
        <v>y=-17.314*0.279^2+288.71*0.279+0.4726</v>
      </c>
      <c r="AO162" s="10" t="str">
        <f t="shared" si="43"/>
        <v>FALSE</v>
      </c>
      <c r="AP162" s="10" t="str">
        <f t="shared" si="43"/>
        <v>y=-0.9791*0.279^2+252.54*0.279+6.5963</v>
      </c>
      <c r="AQ162" s="10" t="str">
        <f>IF(AND(I162="TP",S162&lt;=150),VLOOKUP(AF162,TPCalibEq150!$AZ$2:$BB$166,3,),IF(AND(I162="TDP",S162&lt;=150),VLOOKUP(AF162,TPCalibEq150!$AZ$2:$BB$166,3,)))</f>
        <v>y=-208.66x2+412.32x-8.2985</v>
      </c>
      <c r="AR162" s="10" t="str">
        <f>IF(AND(I162="TP",S162&lt;=300),VLOOKUP(AF162,TPCalibEq300!$AZ$2:$BB$166,3,),IF(AND(I162="TDP",S162&lt;=300),VLOOKUP(AF162,TPCalibEq300!$AZ$2:$BB$166,3,)))</f>
        <v>y=-59.51x2+334.39x-4.4</v>
      </c>
      <c r="AS162" s="10" t="str">
        <f>IF(AND(I162="TP",S162&lt;=500),VLOOKUP(AF162,TPCalibEq500!$AZ$2:$BB$165,3,),IF(AND(I162="TDP",S162&lt;=500),VLOOKUP(AF162,TPCalibEq500!$AZ$2:$BB$165,3,)))</f>
        <v>y=-17.314x2+288.71x+0.4726</v>
      </c>
      <c r="AT162" s="10" t="b">
        <f>IF(AND(I162="TN",S162&lt;=2800),VLOOKUP(AF162,TNCalibEq2500!$AZ$2:$BB$165,3,),IF(AND(I162="TDN",S162&lt;=2800),VLOOKUP(AF162,TNCalibEq2500!$AZ$2:$BB$165,3,)))</f>
        <v>0</v>
      </c>
      <c r="AU162" s="10" t="str">
        <f>IF(I162="TP",VLOOKUP(AF162,TPCalibEqFull!$AZ$2:$BB$165,3),IF(I162="TDP",VLOOKUP(AF162,TPCalibEqFull!$AZ$2:$BB$165,3),IF(I162="TDN",VLOOKUP(AF162,TNCalibEqFull!$AZ$2:$BB$164,3),IF(I162="TN",VLOOKUP(AF162,TNCalibEqFull!$AZ$2:$BB$164,3),FALSE))))</f>
        <v>y=-0.9791x2+252.54x+6.5963</v>
      </c>
      <c r="AV162" s="10" t="str">
        <f t="shared" si="44"/>
        <v>20240727 00:00:00-1000-4-Sh-1-DI-BLK</v>
      </c>
    </row>
    <row r="163" spans="1:48" s="10" customFormat="1" x14ac:dyDescent="0.3">
      <c r="A163" s="32">
        <v>45500</v>
      </c>
      <c r="B163" s="33">
        <v>0</v>
      </c>
      <c r="C163" s="10">
        <v>1000</v>
      </c>
      <c r="D163" s="10">
        <v>4</v>
      </c>
      <c r="E163" s="10" t="s">
        <v>953</v>
      </c>
      <c r="F163" s="10">
        <v>1</v>
      </c>
      <c r="G163" s="10" t="s">
        <v>229</v>
      </c>
      <c r="H163" s="10" t="s">
        <v>320</v>
      </c>
      <c r="I163" s="10" t="s">
        <v>81</v>
      </c>
      <c r="J163" s="10">
        <v>13</v>
      </c>
      <c r="K163" s="12">
        <v>45686</v>
      </c>
      <c r="L163" s="33">
        <v>0.64710648148148142</v>
      </c>
      <c r="M163" s="10">
        <v>1</v>
      </c>
      <c r="N163" s="10" t="s">
        <v>82</v>
      </c>
      <c r="O163" s="10">
        <v>1.0900000000000001</v>
      </c>
      <c r="P163" s="10">
        <v>0.11799999999999999</v>
      </c>
      <c r="Q163" s="10">
        <v>277</v>
      </c>
      <c r="R163" s="10" t="s">
        <v>83</v>
      </c>
      <c r="S163" s="34">
        <f t="shared" si="39"/>
        <v>294.59573659999995</v>
      </c>
      <c r="T163" s="10" t="s">
        <v>962</v>
      </c>
      <c r="U163" s="34" t="str">
        <f t="shared" si="45"/>
        <v/>
      </c>
      <c r="V163" s="31" t="str">
        <f>IF(H163="CHK",VLOOKUP(I163,QCCHK,3,),IF(H163="GUP",VLOOKUP(E163,QCGUP,2,),IF(AND(H163="ATP",OR(I163="TN",I163="TDN",I163="TNO2-3",I163="NO2-3")),VLOOKUP(E163,QCREC_N,2,),IF(AND(H163="NIC",OR(I163="TN",I163="TDN",I163="TNO2-3",I163="NO2-3")),VLOOKUP(E163,QCNIC_N,2,),IF(AND(H163="UREA",OR(I163="TN",I163="TDN",I163="TNO2-3",I163="NO2-3")),VLOOKUP(E163,QCUREA_N,2,),IF(H163="PER",VLOOKUP(I163,QCPER,MATCH(E163,QCACTUAL!$J$25:$AA$25,0),),IF(H163="SPK",VLOOKUP(I163,QCSPK,3,),IF(AND(H163="ATP",OR(I163="TP",I163="TDP")),VLOOKUP(E163,QCATP_P,2,),""))))))))</f>
        <v/>
      </c>
      <c r="W163" s="31" t="str">
        <f t="shared" si="40"/>
        <v>TRUE</v>
      </c>
      <c r="X163" s="31" t="str">
        <f t="shared" si="41"/>
        <v/>
      </c>
      <c r="Y163" s="10" t="s">
        <v>961</v>
      </c>
      <c r="AF163" s="12">
        <v>45686</v>
      </c>
      <c r="AH163" s="10">
        <f>-59.51*1.09^2+334.39*1.09-4.4</f>
        <v>289.38126899999997</v>
      </c>
      <c r="AI163" s="10">
        <f>-17.314*1.09^2+288.71*1.09+0.4726</f>
        <v>294.59573659999995</v>
      </c>
      <c r="AK163" s="10">
        <f>-0.9791*1.09^2+252.54*1.09+6.5963</f>
        <v>280.70163128999997</v>
      </c>
      <c r="AL163" s="10" t="str">
        <f t="shared" si="42"/>
        <v>FALSE</v>
      </c>
      <c r="AM163" s="10" t="str">
        <f t="shared" si="42"/>
        <v>y=-59.51*1.09^2+334.39*1.09-4.4</v>
      </c>
      <c r="AN163" s="10" t="str">
        <f t="shared" si="42"/>
        <v>y=-17.314*1.09^2+288.71*1.09+0.4726</v>
      </c>
      <c r="AO163" s="10" t="str">
        <f t="shared" si="43"/>
        <v>FALSE</v>
      </c>
      <c r="AP163" s="10" t="str">
        <f t="shared" si="43"/>
        <v>y=-0.9791*1.09^2+252.54*1.09+6.5963</v>
      </c>
      <c r="AQ163" s="10" t="b">
        <f>IF(AND(I163="TP",S163&lt;=150),VLOOKUP(AF163,TPCalibEq150!$AZ$2:$BB$166,3,),IF(AND(I163="TDP",S163&lt;=150),VLOOKUP(AF163,TPCalibEq150!$AZ$2:$BB$166,3,)))</f>
        <v>0</v>
      </c>
      <c r="AR163" s="10" t="str">
        <f>IF(AND(I163="TP",S163&lt;=300),VLOOKUP(AF163,TPCalibEq300!$AZ$2:$BB$166,3,),IF(AND(I163="TDP",S163&lt;=300),VLOOKUP(AF163,TPCalibEq300!$AZ$2:$BB$166,3,)))</f>
        <v>y=-59.51x2+334.39x-4.4</v>
      </c>
      <c r="AS163" s="10" t="str">
        <f>IF(AND(I163="TP",S163&lt;=500),VLOOKUP(AF163,TPCalibEq500!$AZ$2:$BB$165,3,),IF(AND(I163="TDP",S163&lt;=500),VLOOKUP(AF163,TPCalibEq500!$AZ$2:$BB$165,3,)))</f>
        <v>y=-17.314x2+288.71x+0.4726</v>
      </c>
      <c r="AT163" s="10" t="b">
        <f>IF(AND(I163="TN",S163&lt;=2800),VLOOKUP(AF163,TNCalibEq2500!$AZ$2:$BB$165,3,),IF(AND(I163="TDN",S163&lt;=2800),VLOOKUP(AF163,TNCalibEq2500!$AZ$2:$BB$165,3,)))</f>
        <v>0</v>
      </c>
      <c r="AU163" s="10" t="str">
        <f>IF(I163="TP",VLOOKUP(AF163,TPCalibEqFull!$AZ$2:$BB$165,3),IF(I163="TDP",VLOOKUP(AF163,TPCalibEqFull!$AZ$2:$BB$165,3),IF(I163="TDN",VLOOKUP(AF163,TNCalibEqFull!$AZ$2:$BB$164,3),IF(I163="TN",VLOOKUP(AF163,TNCalibEqFull!$AZ$2:$BB$164,3),FALSE))))</f>
        <v>y=-0.9791x2+252.54x+6.5963</v>
      </c>
      <c r="AV163" s="10" t="str">
        <f t="shared" si="44"/>
        <v>20240727 00:00:00-1000-4-Sh-1-SW-UKN</v>
      </c>
    </row>
    <row r="164" spans="1:48" s="10" customFormat="1" x14ac:dyDescent="0.3">
      <c r="A164" s="32">
        <v>45500</v>
      </c>
      <c r="B164" s="33">
        <v>0</v>
      </c>
      <c r="C164" s="10">
        <v>1000</v>
      </c>
      <c r="D164" s="10">
        <v>4</v>
      </c>
      <c r="E164" s="10" t="s">
        <v>953</v>
      </c>
      <c r="F164" s="10">
        <v>2</v>
      </c>
      <c r="G164" s="10" t="s">
        <v>229</v>
      </c>
      <c r="H164" s="10" t="s">
        <v>320</v>
      </c>
      <c r="I164" s="10" t="s">
        <v>81</v>
      </c>
      <c r="J164" s="10">
        <v>14</v>
      </c>
      <c r="K164" s="12">
        <v>45686</v>
      </c>
      <c r="L164" s="33">
        <v>0.6476736111111111</v>
      </c>
      <c r="M164" s="10">
        <v>1</v>
      </c>
      <c r="N164" s="10" t="s">
        <v>82</v>
      </c>
      <c r="O164" s="10">
        <v>0.59799999999999998</v>
      </c>
      <c r="P164" s="10">
        <v>6.4199999999999993E-2</v>
      </c>
      <c r="Q164" s="10">
        <v>156</v>
      </c>
      <c r="R164" s="10" t="s">
        <v>83</v>
      </c>
      <c r="S164" s="34">
        <f t="shared" si="39"/>
        <v>174.28420595999998</v>
      </c>
      <c r="T164" s="10" t="s">
        <v>962</v>
      </c>
      <c r="U164" s="34" t="str">
        <f t="shared" si="45"/>
        <v/>
      </c>
      <c r="V164" s="31" t="str">
        <f>IF(H164="CHK",VLOOKUP(I164,QCCHK,3,),IF(H164="GUP",VLOOKUP(E164,QCGUP,2,),IF(AND(H164="ATP",OR(I164="TN",I164="TDN",I164="TNO2-3",I164="NO2-3")),VLOOKUP(E164,QCREC_N,2,),IF(AND(H164="NIC",OR(I164="TN",I164="TDN",I164="TNO2-3",I164="NO2-3")),VLOOKUP(E164,QCNIC_N,2,),IF(AND(H164="UREA",OR(I164="TN",I164="TDN",I164="TNO2-3",I164="NO2-3")),VLOOKUP(E164,QCUREA_N,2,),IF(H164="PER",VLOOKUP(I164,QCPER,MATCH(E164,QCACTUAL!$J$25:$AA$25,0),),IF(H164="SPK",VLOOKUP(I164,QCSPK,3,),IF(AND(H164="ATP",OR(I164="TP",I164="TDP")),VLOOKUP(E164,QCATP_P,2,),""))))))))</f>
        <v/>
      </c>
      <c r="W164" s="31" t="str">
        <f t="shared" si="40"/>
        <v>TRUE</v>
      </c>
      <c r="X164" s="31" t="str">
        <f t="shared" si="41"/>
        <v/>
      </c>
      <c r="Y164" s="10" t="s">
        <v>961</v>
      </c>
      <c r="AF164" s="12">
        <v>45686</v>
      </c>
      <c r="AH164" s="10">
        <f>-59.51*0.598^2+334.39*0.598-4.4</f>
        <v>174.28420595999998</v>
      </c>
      <c r="AI164" s="10">
        <f>-17.314*0.598^2+288.71*0.598+0.4726</f>
        <v>166.92962434399999</v>
      </c>
      <c r="AK164" s="10">
        <f>-0.9791*0.598^2+252.54*0.598+6.5963</f>
        <v>157.26508992359999</v>
      </c>
      <c r="AL164" s="10" t="str">
        <f t="shared" si="42"/>
        <v>FALSE</v>
      </c>
      <c r="AM164" s="10" t="str">
        <f t="shared" si="42"/>
        <v>y=-59.51*0.598^2+334.39*0.598-4.4</v>
      </c>
      <c r="AN164" s="10" t="str">
        <f t="shared" si="42"/>
        <v>y=-17.314*0.598^2+288.71*0.598+0.4726</v>
      </c>
      <c r="AO164" s="10" t="str">
        <f t="shared" si="43"/>
        <v>FALSE</v>
      </c>
      <c r="AP164" s="10" t="str">
        <f t="shared" si="43"/>
        <v>y=-0.9791*0.598^2+252.54*0.598+6.5963</v>
      </c>
      <c r="AQ164" s="10" t="b">
        <f>IF(AND(I164="TP",S164&lt;=150),VLOOKUP(AF164,TPCalibEq150!$AZ$2:$BB$166,3,),IF(AND(I164="TDP",S164&lt;=150),VLOOKUP(AF164,TPCalibEq150!$AZ$2:$BB$166,3,)))</f>
        <v>0</v>
      </c>
      <c r="AR164" s="10" t="str">
        <f>IF(AND(I164="TP",S164&lt;=300),VLOOKUP(AF164,TPCalibEq300!$AZ$2:$BB$166,3,),IF(AND(I164="TDP",S164&lt;=300),VLOOKUP(AF164,TPCalibEq300!$AZ$2:$BB$166,3,)))</f>
        <v>y=-59.51x2+334.39x-4.4</v>
      </c>
      <c r="AS164" s="10" t="str">
        <f>IF(AND(I164="TP",S164&lt;=500),VLOOKUP(AF164,TPCalibEq500!$AZ$2:$BB$165,3,),IF(AND(I164="TDP",S164&lt;=500),VLOOKUP(AF164,TPCalibEq500!$AZ$2:$BB$165,3,)))</f>
        <v>y=-17.314x2+288.71x+0.4726</v>
      </c>
      <c r="AT164" s="10" t="b">
        <f>IF(AND(I164="TN",S164&lt;=2800),VLOOKUP(AF164,TNCalibEq2500!$AZ$2:$BB$165,3,),IF(AND(I164="TDN",S164&lt;=2800),VLOOKUP(AF164,TNCalibEq2500!$AZ$2:$BB$165,3,)))</f>
        <v>0</v>
      </c>
      <c r="AU164" s="10" t="str">
        <f>IF(I164="TP",VLOOKUP(AF164,TPCalibEqFull!$AZ$2:$BB$165,3),IF(I164="TDP",VLOOKUP(AF164,TPCalibEqFull!$AZ$2:$BB$165,3),IF(I164="TDN",VLOOKUP(AF164,TNCalibEqFull!$AZ$2:$BB$164,3),IF(I164="TN",VLOOKUP(AF164,TNCalibEqFull!$AZ$2:$BB$164,3),FALSE))))</f>
        <v>y=-0.9791x2+252.54x+6.5963</v>
      </c>
      <c r="AV164" s="10" t="str">
        <f t="shared" si="44"/>
        <v>20240727 00:00:00-1000-4-Sh-2-SW-UKN</v>
      </c>
    </row>
    <row r="165" spans="1:48" s="10" customFormat="1" x14ac:dyDescent="0.3">
      <c r="A165" s="32">
        <v>45500</v>
      </c>
      <c r="B165" s="33">
        <v>0</v>
      </c>
      <c r="C165" s="10">
        <v>1000</v>
      </c>
      <c r="D165" s="10">
        <v>4</v>
      </c>
      <c r="E165" s="10" t="s">
        <v>954</v>
      </c>
      <c r="F165" s="10">
        <v>1</v>
      </c>
      <c r="G165" s="10" t="s">
        <v>229</v>
      </c>
      <c r="H165" s="10" t="s">
        <v>320</v>
      </c>
      <c r="I165" s="10" t="s">
        <v>81</v>
      </c>
      <c r="J165" s="10">
        <v>15</v>
      </c>
      <c r="K165" s="12">
        <v>45686</v>
      </c>
      <c r="L165" s="33">
        <v>0.64822916666666663</v>
      </c>
      <c r="M165" s="10">
        <v>1</v>
      </c>
      <c r="N165" s="10" t="s">
        <v>82</v>
      </c>
      <c r="O165" s="10">
        <v>0.84099999999999997</v>
      </c>
      <c r="P165" s="10">
        <v>9.0899999999999995E-2</v>
      </c>
      <c r="Q165" s="10">
        <v>216</v>
      </c>
      <c r="R165" s="10" t="s">
        <v>83</v>
      </c>
      <c r="S165" s="34">
        <f t="shared" si="39"/>
        <v>234.73169769</v>
      </c>
      <c r="T165" s="10" t="s">
        <v>962</v>
      </c>
      <c r="U165" s="34" t="str">
        <f t="shared" si="45"/>
        <v/>
      </c>
      <c r="V165" s="31" t="str">
        <f>IF(H165="CHK",VLOOKUP(I165,QCCHK,3,),IF(H165="GUP",VLOOKUP(E165,QCGUP,2,),IF(AND(H165="ATP",OR(I165="TN",I165="TDN",I165="TNO2-3",I165="NO2-3")),VLOOKUP(E165,QCREC_N,2,),IF(AND(H165="NIC",OR(I165="TN",I165="TDN",I165="TNO2-3",I165="NO2-3")),VLOOKUP(E165,QCNIC_N,2,),IF(AND(H165="UREA",OR(I165="TN",I165="TDN",I165="TNO2-3",I165="NO2-3")),VLOOKUP(E165,QCUREA_N,2,),IF(H165="PER",VLOOKUP(I165,QCPER,MATCH(E165,QCACTUAL!$J$25:$AA$25,0),),IF(H165="SPK",VLOOKUP(I165,QCSPK,3,),IF(AND(H165="ATP",OR(I165="TP",I165="TDP")),VLOOKUP(E165,QCATP_P,2,),""))))))))</f>
        <v/>
      </c>
      <c r="W165" s="31" t="str">
        <f t="shared" si="40"/>
        <v>TRUE</v>
      </c>
      <c r="X165" s="31" t="str">
        <f t="shared" si="41"/>
        <v/>
      </c>
      <c r="Y165" s="10" t="s">
        <v>961</v>
      </c>
      <c r="AF165" s="12">
        <v>45686</v>
      </c>
      <c r="AH165" s="10">
        <f>-59.51*0.841^2+334.39*0.841-4.4</f>
        <v>234.73169769</v>
      </c>
      <c r="AI165" s="10">
        <f>-17.314*0.841^2+288.71*0.841+0.4726</f>
        <v>231.03184676599997</v>
      </c>
      <c r="AK165" s="10">
        <f>-0.9791*0.841^2+252.54*0.841+6.5963</f>
        <v>218.2899411729</v>
      </c>
      <c r="AL165" s="10" t="str">
        <f t="shared" si="42"/>
        <v>FALSE</v>
      </c>
      <c r="AM165" s="10" t="str">
        <f t="shared" si="42"/>
        <v>y=-59.51*0.841^2+334.39*0.841-4.4</v>
      </c>
      <c r="AN165" s="10" t="str">
        <f t="shared" si="42"/>
        <v>y=-17.314*0.841^2+288.71*0.841+0.4726</v>
      </c>
      <c r="AO165" s="10" t="str">
        <f t="shared" si="43"/>
        <v>FALSE</v>
      </c>
      <c r="AP165" s="10" t="str">
        <f t="shared" si="43"/>
        <v>y=-0.9791*0.841^2+252.54*0.841+6.5963</v>
      </c>
      <c r="AQ165" s="10" t="b">
        <f>IF(AND(I165="TP",S165&lt;=150),VLOOKUP(AF165,TPCalibEq150!$AZ$2:$BB$166,3,),IF(AND(I165="TDP",S165&lt;=150),VLOOKUP(AF165,TPCalibEq150!$AZ$2:$BB$166,3,)))</f>
        <v>0</v>
      </c>
      <c r="AR165" s="10" t="str">
        <f>IF(AND(I165="TP",S165&lt;=300),VLOOKUP(AF165,TPCalibEq300!$AZ$2:$BB$166,3,),IF(AND(I165="TDP",S165&lt;=300),VLOOKUP(AF165,TPCalibEq300!$AZ$2:$BB$166,3,)))</f>
        <v>y=-59.51x2+334.39x-4.4</v>
      </c>
      <c r="AS165" s="10" t="str">
        <f>IF(AND(I165="TP",S165&lt;=500),VLOOKUP(AF165,TPCalibEq500!$AZ$2:$BB$165,3,),IF(AND(I165="TDP",S165&lt;=500),VLOOKUP(AF165,TPCalibEq500!$AZ$2:$BB$165,3,)))</f>
        <v>y=-17.314x2+288.71x+0.4726</v>
      </c>
      <c r="AT165" s="10" t="b">
        <f>IF(AND(I165="TN",S165&lt;=2800),VLOOKUP(AF165,TNCalibEq2500!$AZ$2:$BB$165,3,),IF(AND(I165="TDN",S165&lt;=2800),VLOOKUP(AF165,TNCalibEq2500!$AZ$2:$BB$165,3,)))</f>
        <v>0</v>
      </c>
      <c r="AU165" s="10" t="str">
        <f>IF(I165="TP",VLOOKUP(AF165,TPCalibEqFull!$AZ$2:$BB$165,3),IF(I165="TDP",VLOOKUP(AF165,TPCalibEqFull!$AZ$2:$BB$165,3),IF(I165="TDN",VLOOKUP(AF165,TNCalibEqFull!$AZ$2:$BB$164,3),IF(I165="TN",VLOOKUP(AF165,TNCalibEqFull!$AZ$2:$BB$164,3),FALSE))))</f>
        <v>y=-0.9791x2+252.54x+6.5963</v>
      </c>
      <c r="AV165" s="10" t="str">
        <f t="shared" si="44"/>
        <v>20240727 00:00:00-1000-4-Dp-1-SW-UKN</v>
      </c>
    </row>
    <row r="166" spans="1:48" s="10" customFormat="1" x14ac:dyDescent="0.3">
      <c r="A166" s="32">
        <v>45507</v>
      </c>
      <c r="B166" s="33">
        <v>0</v>
      </c>
      <c r="C166" s="10">
        <v>1000</v>
      </c>
      <c r="D166" s="10">
        <v>9</v>
      </c>
      <c r="E166" s="10" t="s">
        <v>953</v>
      </c>
      <c r="F166" s="10">
        <v>1</v>
      </c>
      <c r="G166" s="10" t="s">
        <v>72</v>
      </c>
      <c r="H166" s="10" t="s">
        <v>239</v>
      </c>
      <c r="I166" s="10" t="s">
        <v>81</v>
      </c>
      <c r="J166" s="10">
        <v>16</v>
      </c>
      <c r="K166" s="12">
        <v>45686</v>
      </c>
      <c r="L166" s="33">
        <v>0.6488194444444445</v>
      </c>
      <c r="M166" s="10">
        <v>1</v>
      </c>
      <c r="N166" s="10" t="s">
        <v>82</v>
      </c>
      <c r="O166" s="10">
        <v>0.40799999999999997</v>
      </c>
      <c r="P166" s="10">
        <v>4.3400000000000001E-2</v>
      </c>
      <c r="Q166" s="10">
        <v>110</v>
      </c>
      <c r="R166" s="10" t="s">
        <v>83</v>
      </c>
      <c r="S166" s="34">
        <f t="shared" si="39"/>
        <v>125.19368175999999</v>
      </c>
      <c r="T166" s="10" t="s">
        <v>962</v>
      </c>
      <c r="U166" s="34" t="str">
        <f t="shared" si="45"/>
        <v/>
      </c>
      <c r="V166" s="31" t="str">
        <f>IF(H166="CHK",VLOOKUP(I166,QCCHK,3,),IF(H166="GUP",VLOOKUP(E166,QCGUP,2,),IF(AND(H166="ATP",OR(I166="TN",I166="TDN",I166="TNO2-3",I166="NO2-3")),VLOOKUP(E166,QCREC_N,2,),IF(AND(H166="NIC",OR(I166="TN",I166="TDN",I166="TNO2-3",I166="NO2-3")),VLOOKUP(E166,QCNIC_N,2,),IF(AND(H166="UREA",OR(I166="TN",I166="TDN",I166="TNO2-3",I166="NO2-3")),VLOOKUP(E166,QCUREA_N,2,),IF(H166="PER",VLOOKUP(I166,QCPER,MATCH(E166,QCACTUAL!$J$25:$AA$25,0),),IF(H166="SPK",VLOOKUP(I166,QCSPK,3,),IF(AND(H166="ATP",OR(I166="TP",I166="TDP")),VLOOKUP(E166,QCATP_P,2,),""))))))))</f>
        <v/>
      </c>
      <c r="W166" s="31" t="str">
        <f t="shared" si="40"/>
        <v>TRUE</v>
      </c>
      <c r="X166" s="31" t="str">
        <f t="shared" si="41"/>
        <v/>
      </c>
      <c r="Y166" s="10" t="s">
        <v>961</v>
      </c>
      <c r="AF166" s="12">
        <v>45686</v>
      </c>
      <c r="AG166" s="10">
        <f>-208.66*0.408^2+412.32*0.408-8.2985</f>
        <v>125.19368175999999</v>
      </c>
      <c r="AH166" s="10">
        <f>-59.51*0.408^2+334.39*0.408-4.4</f>
        <v>122.12484735999999</v>
      </c>
      <c r="AI166" s="10">
        <f>-17.314*0.408^2+288.71*0.408+0.4726</f>
        <v>115.38412230399999</v>
      </c>
      <c r="AK166" s="10">
        <f>-0.9791*0.408^2+252.54*0.408+6.5963</f>
        <v>109.46963509759999</v>
      </c>
      <c r="AL166" s="10" t="str">
        <f t="shared" si="42"/>
        <v>y=-208.66*0.408^2+412.32*0.408-8.2985</v>
      </c>
      <c r="AM166" s="10" t="str">
        <f t="shared" si="42"/>
        <v>y=-59.51*0.408^2+334.39*0.408-4.4</v>
      </c>
      <c r="AN166" s="10" t="str">
        <f t="shared" si="42"/>
        <v>y=-17.314*0.408^2+288.71*0.408+0.4726</v>
      </c>
      <c r="AO166" s="10" t="str">
        <f t="shared" si="43"/>
        <v>FALSE</v>
      </c>
      <c r="AP166" s="10" t="str">
        <f t="shared" si="43"/>
        <v>y=-0.9791*0.408^2+252.54*0.408+6.5963</v>
      </c>
      <c r="AQ166" s="10" t="str">
        <f>IF(AND(I166="TP",S166&lt;=150),VLOOKUP(AF166,TPCalibEq150!$AZ$2:$BB$166,3,),IF(AND(I166="TDP",S166&lt;=150),VLOOKUP(AF166,TPCalibEq150!$AZ$2:$BB$166,3,)))</f>
        <v>y=-208.66x2+412.32x-8.2985</v>
      </c>
      <c r="AR166" s="10" t="str">
        <f>IF(AND(I166="TP",S166&lt;=300),VLOOKUP(AF166,TPCalibEq300!$AZ$2:$BB$166,3,),IF(AND(I166="TDP",S166&lt;=300),VLOOKUP(AF166,TPCalibEq300!$AZ$2:$BB$166,3,)))</f>
        <v>y=-59.51x2+334.39x-4.4</v>
      </c>
      <c r="AS166" s="10" t="str">
        <f>IF(AND(I166="TP",S166&lt;=500),VLOOKUP(AF166,TPCalibEq500!$AZ$2:$BB$165,3,),IF(AND(I166="TDP",S166&lt;=500),VLOOKUP(AF166,TPCalibEq500!$AZ$2:$BB$165,3,)))</f>
        <v>y=-17.314x2+288.71x+0.4726</v>
      </c>
      <c r="AT166" s="10" t="b">
        <f>IF(AND(I166="TN",S166&lt;=2800),VLOOKUP(AF166,TNCalibEq2500!$AZ$2:$BB$165,3,),IF(AND(I166="TDN",S166&lt;=2800),VLOOKUP(AF166,TNCalibEq2500!$AZ$2:$BB$165,3,)))</f>
        <v>0</v>
      </c>
      <c r="AU166" s="10" t="str">
        <f>IF(I166="TP",VLOOKUP(AF166,TPCalibEqFull!$AZ$2:$BB$165,3),IF(I166="TDP",VLOOKUP(AF166,TPCalibEqFull!$AZ$2:$BB$165,3),IF(I166="TDN",VLOOKUP(AF166,TNCalibEqFull!$AZ$2:$BB$164,3),IF(I166="TN",VLOOKUP(AF166,TNCalibEqFull!$AZ$2:$BB$164,3),FALSE))))</f>
        <v>y=-0.9791x2+252.54x+6.5963</v>
      </c>
      <c r="AV166" s="10" t="str">
        <f t="shared" si="44"/>
        <v>20240803 00:00:00-1000-9-Sh-1-DI-BLK</v>
      </c>
    </row>
    <row r="167" spans="1:48" s="10" customFormat="1" x14ac:dyDescent="0.3">
      <c r="A167" s="32">
        <v>45507</v>
      </c>
      <c r="B167" s="33">
        <v>0</v>
      </c>
      <c r="C167" s="10">
        <v>1000</v>
      </c>
      <c r="D167" s="10">
        <v>9</v>
      </c>
      <c r="E167" s="10" t="s">
        <v>953</v>
      </c>
      <c r="F167" s="10">
        <v>1</v>
      </c>
      <c r="G167" s="10" t="s">
        <v>229</v>
      </c>
      <c r="H167" s="10" t="s">
        <v>320</v>
      </c>
      <c r="I167" s="10" t="s">
        <v>81</v>
      </c>
      <c r="J167" s="10">
        <v>17</v>
      </c>
      <c r="K167" s="12">
        <v>45686</v>
      </c>
      <c r="L167" s="33">
        <v>0.64939814814814811</v>
      </c>
      <c r="M167" s="10">
        <v>1</v>
      </c>
      <c r="N167" s="10" t="s">
        <v>82</v>
      </c>
      <c r="O167" s="10">
        <v>0.89600000000000002</v>
      </c>
      <c r="P167" s="10">
        <v>9.7000000000000003E-2</v>
      </c>
      <c r="Q167" s="10">
        <v>230</v>
      </c>
      <c r="R167" s="10" t="s">
        <v>83</v>
      </c>
      <c r="S167" s="34">
        <f t="shared" si="39"/>
        <v>247.43785983999996</v>
      </c>
      <c r="T167" s="10" t="s">
        <v>962</v>
      </c>
      <c r="U167" s="34" t="str">
        <f t="shared" si="45"/>
        <v/>
      </c>
      <c r="V167" s="31" t="str">
        <f>IF(H167="CHK",VLOOKUP(I167,QCCHK,3,),IF(H167="GUP",VLOOKUP(E167,QCGUP,2,),IF(AND(H167="ATP",OR(I167="TN",I167="TDN",I167="TNO2-3",I167="NO2-3")),VLOOKUP(E167,QCREC_N,2,),IF(AND(H167="NIC",OR(I167="TN",I167="TDN",I167="TNO2-3",I167="NO2-3")),VLOOKUP(E167,QCNIC_N,2,),IF(AND(H167="UREA",OR(I167="TN",I167="TDN",I167="TNO2-3",I167="NO2-3")),VLOOKUP(E167,QCUREA_N,2,),IF(H167="PER",VLOOKUP(I167,QCPER,MATCH(E167,QCACTUAL!$J$25:$AA$25,0),),IF(H167="SPK",VLOOKUP(I167,QCSPK,3,),IF(AND(H167="ATP",OR(I167="TP",I167="TDP")),VLOOKUP(E167,QCATP_P,2,),""))))))))</f>
        <v/>
      </c>
      <c r="W167" s="31" t="str">
        <f t="shared" si="40"/>
        <v>TRUE</v>
      </c>
      <c r="X167" s="31" t="str">
        <f t="shared" si="41"/>
        <v/>
      </c>
      <c r="Y167" s="10" t="s">
        <v>961</v>
      </c>
      <c r="AF167" s="12">
        <v>45686</v>
      </c>
      <c r="AH167" s="10">
        <f>-59.51*0.896^2+334.39*0.896-4.4</f>
        <v>247.43785983999996</v>
      </c>
      <c r="AI167" s="10">
        <f>-17.314*0.896^2+288.71*0.896+0.4726</f>
        <v>245.25680377599997</v>
      </c>
      <c r="AK167" s="10">
        <f>-0.9791*0.896^2+252.54*0.896+6.5963</f>
        <v>232.0861028544</v>
      </c>
      <c r="AL167" s="10" t="str">
        <f t="shared" si="42"/>
        <v>FALSE</v>
      </c>
      <c r="AM167" s="10" t="str">
        <f t="shared" si="42"/>
        <v>y=-59.51*0.896^2+334.39*0.896-4.4</v>
      </c>
      <c r="AN167" s="10" t="str">
        <f t="shared" si="42"/>
        <v>y=-17.314*0.896^2+288.71*0.896+0.4726</v>
      </c>
      <c r="AO167" s="10" t="str">
        <f t="shared" si="43"/>
        <v>FALSE</v>
      </c>
      <c r="AP167" s="10" t="str">
        <f t="shared" si="43"/>
        <v>y=-0.9791*0.896^2+252.54*0.896+6.5963</v>
      </c>
      <c r="AQ167" s="10" t="b">
        <f>IF(AND(I167="TP",S167&lt;=150),VLOOKUP(AF167,TPCalibEq150!$AZ$2:$BB$166,3,),IF(AND(I167="TDP",S167&lt;=150),VLOOKUP(AF167,TPCalibEq150!$AZ$2:$BB$166,3,)))</f>
        <v>0</v>
      </c>
      <c r="AR167" s="10" t="str">
        <f>IF(AND(I167="TP",S167&lt;=300),VLOOKUP(AF167,TPCalibEq300!$AZ$2:$BB$166,3,),IF(AND(I167="TDP",S167&lt;=300),VLOOKUP(AF167,TPCalibEq300!$AZ$2:$BB$166,3,)))</f>
        <v>y=-59.51x2+334.39x-4.4</v>
      </c>
      <c r="AS167" s="10" t="str">
        <f>IF(AND(I167="TP",S167&lt;=500),VLOOKUP(AF167,TPCalibEq500!$AZ$2:$BB$165,3,),IF(AND(I167="TDP",S167&lt;=500),VLOOKUP(AF167,TPCalibEq500!$AZ$2:$BB$165,3,)))</f>
        <v>y=-17.314x2+288.71x+0.4726</v>
      </c>
      <c r="AT167" s="10" t="b">
        <f>IF(AND(I167="TN",S167&lt;=2800),VLOOKUP(AF167,TNCalibEq2500!$AZ$2:$BB$165,3,),IF(AND(I167="TDN",S167&lt;=2800),VLOOKUP(AF167,TNCalibEq2500!$AZ$2:$BB$165,3,)))</f>
        <v>0</v>
      </c>
      <c r="AU167" s="10" t="str">
        <f>IF(I167="TP",VLOOKUP(AF167,TPCalibEqFull!$AZ$2:$BB$165,3),IF(I167="TDP",VLOOKUP(AF167,TPCalibEqFull!$AZ$2:$BB$165,3),IF(I167="TDN",VLOOKUP(AF167,TNCalibEqFull!$AZ$2:$BB$164,3),IF(I167="TN",VLOOKUP(AF167,TNCalibEqFull!$AZ$2:$BB$164,3),FALSE))))</f>
        <v>y=-0.9791x2+252.54x+6.5963</v>
      </c>
      <c r="AV167" s="10" t="str">
        <f t="shared" si="44"/>
        <v>20240803 00:00:00-1000-9-Sh-1-SW-UKN</v>
      </c>
    </row>
    <row r="168" spans="1:48" s="10" customFormat="1" x14ac:dyDescent="0.3">
      <c r="A168" s="32">
        <v>45507</v>
      </c>
      <c r="B168" s="33">
        <v>0</v>
      </c>
      <c r="C168" s="10">
        <v>1000</v>
      </c>
      <c r="D168" s="10">
        <v>9</v>
      </c>
      <c r="E168" s="10" t="s">
        <v>953</v>
      </c>
      <c r="F168" s="10">
        <v>2</v>
      </c>
      <c r="G168" s="10" t="s">
        <v>229</v>
      </c>
      <c r="H168" s="10" t="s">
        <v>320</v>
      </c>
      <c r="I168" s="10" t="s">
        <v>81</v>
      </c>
      <c r="J168" s="10">
        <v>18</v>
      </c>
      <c r="K168" s="12">
        <v>45686</v>
      </c>
      <c r="L168" s="33">
        <v>0.64997685185185183</v>
      </c>
      <c r="M168" s="10">
        <v>1</v>
      </c>
      <c r="N168" s="10" t="s">
        <v>82</v>
      </c>
      <c r="O168" s="10">
        <v>0.42799999999999999</v>
      </c>
      <c r="P168" s="10">
        <v>4.4999999999999998E-2</v>
      </c>
      <c r="Q168" s="10">
        <v>115</v>
      </c>
      <c r="R168" s="10" t="s">
        <v>83</v>
      </c>
      <c r="S168" s="34">
        <f t="shared" si="39"/>
        <v>129.95128656000003</v>
      </c>
      <c r="T168" s="10" t="s">
        <v>962</v>
      </c>
      <c r="U168" s="34" t="str">
        <f t="shared" si="45"/>
        <v/>
      </c>
      <c r="V168" s="31" t="str">
        <f>IF(H168="CHK",VLOOKUP(I168,QCCHK,3,),IF(H168="GUP",VLOOKUP(E168,QCGUP,2,),IF(AND(H168="ATP",OR(I168="TN",I168="TDN",I168="TNO2-3",I168="NO2-3")),VLOOKUP(E168,QCREC_N,2,),IF(AND(H168="NIC",OR(I168="TN",I168="TDN",I168="TNO2-3",I168="NO2-3")),VLOOKUP(E168,QCNIC_N,2,),IF(AND(H168="UREA",OR(I168="TN",I168="TDN",I168="TNO2-3",I168="NO2-3")),VLOOKUP(E168,QCUREA_N,2,),IF(H168="PER",VLOOKUP(I168,QCPER,MATCH(E168,QCACTUAL!$J$25:$AA$25,0),),IF(H168="SPK",VLOOKUP(I168,QCSPK,3,),IF(AND(H168="ATP",OR(I168="TP",I168="TDP")),VLOOKUP(E168,QCATP_P,2,),""))))))))</f>
        <v/>
      </c>
      <c r="W168" s="31" t="str">
        <f t="shared" si="40"/>
        <v>TRUE</v>
      </c>
      <c r="X168" s="31" t="str">
        <f t="shared" si="41"/>
        <v/>
      </c>
      <c r="Y168" s="10" t="s">
        <v>961</v>
      </c>
      <c r="AF168" s="12">
        <v>45686</v>
      </c>
      <c r="AG168" s="10">
        <f>-208.66*0.428^2+412.32*0.428-8.2985</f>
        <v>129.95128656000003</v>
      </c>
      <c r="AH168" s="10">
        <f>-59.51*0.428^2+334.39*0.428-4.4</f>
        <v>127.81764016</v>
      </c>
      <c r="AI168" s="10">
        <f>-17.314*0.428^2+288.71*0.428+0.4726</f>
        <v>120.86883222399999</v>
      </c>
      <c r="AK168" s="10">
        <f>-0.9791*0.428^2+252.54*0.428+6.5963</f>
        <v>114.5040645456</v>
      </c>
      <c r="AL168" s="10" t="str">
        <f t="shared" si="42"/>
        <v>y=-208.66*0.428^2+412.32*0.428-8.2985</v>
      </c>
      <c r="AM168" s="10" t="str">
        <f t="shared" si="42"/>
        <v>y=-59.51*0.428^2+334.39*0.428-4.4</v>
      </c>
      <c r="AN168" s="10" t="str">
        <f t="shared" si="42"/>
        <v>y=-17.314*0.428^2+288.71*0.428+0.4726</v>
      </c>
      <c r="AO168" s="10" t="str">
        <f t="shared" si="43"/>
        <v>FALSE</v>
      </c>
      <c r="AP168" s="10" t="str">
        <f t="shared" si="43"/>
        <v>y=-0.9791*0.428^2+252.54*0.428+6.5963</v>
      </c>
      <c r="AQ168" s="10" t="str">
        <f>IF(AND(I168="TP",S168&lt;=150),VLOOKUP(AF168,TPCalibEq150!$AZ$2:$BB$166,3,),IF(AND(I168="TDP",S168&lt;=150),VLOOKUP(AF168,TPCalibEq150!$AZ$2:$BB$166,3,)))</f>
        <v>y=-208.66x2+412.32x-8.2985</v>
      </c>
      <c r="AR168" s="10" t="str">
        <f>IF(AND(I168="TP",S168&lt;=300),VLOOKUP(AF168,TPCalibEq300!$AZ$2:$BB$166,3,),IF(AND(I168="TDP",S168&lt;=300),VLOOKUP(AF168,TPCalibEq300!$AZ$2:$BB$166,3,)))</f>
        <v>y=-59.51x2+334.39x-4.4</v>
      </c>
      <c r="AS168" s="10" t="str">
        <f>IF(AND(I168="TP",S168&lt;=500),VLOOKUP(AF168,TPCalibEq500!$AZ$2:$BB$165,3,),IF(AND(I168="TDP",S168&lt;=500),VLOOKUP(AF168,TPCalibEq500!$AZ$2:$BB$165,3,)))</f>
        <v>y=-17.314x2+288.71x+0.4726</v>
      </c>
      <c r="AT168" s="10" t="b">
        <f>IF(AND(I168="TN",S168&lt;=2800),VLOOKUP(AF168,TNCalibEq2500!$AZ$2:$BB$165,3,),IF(AND(I168="TDN",S168&lt;=2800),VLOOKUP(AF168,TNCalibEq2500!$AZ$2:$BB$165,3,)))</f>
        <v>0</v>
      </c>
      <c r="AU168" s="10" t="str">
        <f>IF(I168="TP",VLOOKUP(AF168,TPCalibEqFull!$AZ$2:$BB$165,3),IF(I168="TDP",VLOOKUP(AF168,TPCalibEqFull!$AZ$2:$BB$165,3),IF(I168="TDN",VLOOKUP(AF168,TNCalibEqFull!$AZ$2:$BB$164,3),IF(I168="TN",VLOOKUP(AF168,TNCalibEqFull!$AZ$2:$BB$164,3),FALSE))))</f>
        <v>y=-0.9791x2+252.54x+6.5963</v>
      </c>
      <c r="AV168" s="10" t="str">
        <f t="shared" si="44"/>
        <v>20240803 00:00:00-1000-9-Sh-2-SW-UKN</v>
      </c>
    </row>
    <row r="169" spans="1:48" s="10" customFormat="1" x14ac:dyDescent="0.3">
      <c r="A169" s="32">
        <v>45507</v>
      </c>
      <c r="B169" s="33">
        <v>0</v>
      </c>
      <c r="C169" s="10">
        <v>1000</v>
      </c>
      <c r="D169" s="10">
        <v>9</v>
      </c>
      <c r="E169" s="10" t="s">
        <v>954</v>
      </c>
      <c r="F169" s="10">
        <v>1</v>
      </c>
      <c r="G169" s="10" t="s">
        <v>229</v>
      </c>
      <c r="H169" s="10" t="s">
        <v>320</v>
      </c>
      <c r="I169" s="10" t="s">
        <v>81</v>
      </c>
      <c r="J169" s="10">
        <v>19</v>
      </c>
      <c r="K169" s="12">
        <v>45686</v>
      </c>
      <c r="L169" s="33">
        <v>0.65055555555555555</v>
      </c>
      <c r="M169" s="10">
        <v>1</v>
      </c>
      <c r="N169" s="10" t="s">
        <v>82</v>
      </c>
      <c r="O169" s="10">
        <v>2.19</v>
      </c>
      <c r="P169" s="10">
        <v>0.24399999999999999</v>
      </c>
      <c r="Q169" s="10">
        <v>547</v>
      </c>
      <c r="R169" s="10" t="s">
        <v>83</v>
      </c>
      <c r="S169" s="34">
        <f t="shared" si="39"/>
        <v>554.96303849000003</v>
      </c>
      <c r="T169" s="10" t="s">
        <v>962</v>
      </c>
      <c r="U169" s="34" t="str">
        <f t="shared" si="45"/>
        <v/>
      </c>
      <c r="V169" s="31" t="str">
        <f>IF(H169="CHK",VLOOKUP(I169,QCCHK,3,),IF(H169="GUP",VLOOKUP(E169,QCGUP,2,),IF(AND(H169="ATP",OR(I169="TN",I169="TDN",I169="TNO2-3",I169="NO2-3")),VLOOKUP(E169,QCREC_N,2,),IF(AND(H169="NIC",OR(I169="TN",I169="TDN",I169="TNO2-3",I169="NO2-3")),VLOOKUP(E169,QCNIC_N,2,),IF(AND(H169="UREA",OR(I169="TN",I169="TDN",I169="TNO2-3",I169="NO2-3")),VLOOKUP(E169,QCUREA_N,2,),IF(H169="PER",VLOOKUP(I169,QCPER,MATCH(E169,QCACTUAL!$J$25:$AA$25,0),),IF(H169="SPK",VLOOKUP(I169,QCSPK,3,),IF(AND(H169="ATP",OR(I169="TP",I169="TDP")),VLOOKUP(E169,QCATP_P,2,),""))))))))</f>
        <v/>
      </c>
      <c r="W169" s="31" t="str">
        <f t="shared" si="40"/>
        <v>TRUE</v>
      </c>
      <c r="X169" s="31" t="str">
        <f t="shared" si="41"/>
        <v/>
      </c>
      <c r="Y169" s="10" t="s">
        <v>961</v>
      </c>
      <c r="AF169" s="12">
        <v>45686</v>
      </c>
      <c r="AK169" s="10">
        <f>-0.9791*2.19^2+252.54*2.19+6.5963</f>
        <v>554.96303849000003</v>
      </c>
      <c r="AL169" s="10" t="str">
        <f t="shared" si="42"/>
        <v>FALSE</v>
      </c>
      <c r="AM169" s="10" t="str">
        <f t="shared" si="42"/>
        <v>FALSE</v>
      </c>
      <c r="AN169" s="10" t="str">
        <f t="shared" si="42"/>
        <v>FALSE</v>
      </c>
      <c r="AO169" s="10" t="str">
        <f t="shared" si="43"/>
        <v>FALSE</v>
      </c>
      <c r="AP169" s="10" t="str">
        <f t="shared" si="43"/>
        <v>y=-0.9791*2.19^2+252.54*2.19+6.5963</v>
      </c>
      <c r="AQ169" s="10" t="b">
        <f>IF(AND(I169="TP",S169&lt;=150),VLOOKUP(AF169,TPCalibEq150!$AZ$2:$BB$166,3,),IF(AND(I169="TDP",S169&lt;=150),VLOOKUP(AF169,TPCalibEq150!$AZ$2:$BB$166,3,)))</f>
        <v>0</v>
      </c>
      <c r="AR169" s="10" t="b">
        <f>IF(AND(I169="TP",S169&lt;=300),VLOOKUP(AF169,TPCalibEq300!$AZ$2:$BB$166,3,),IF(AND(I169="TDP",S169&lt;=300),VLOOKUP(AF169,TPCalibEq300!$AZ$2:$BB$166,3,)))</f>
        <v>0</v>
      </c>
      <c r="AS169" s="10" t="b">
        <f>IF(AND(I169="TP",S169&lt;=500),VLOOKUP(AF169,TPCalibEq500!$AZ$2:$BB$165,3,),IF(AND(I169="TDP",S169&lt;=500),VLOOKUP(AF169,TPCalibEq500!$AZ$2:$BB$165,3,)))</f>
        <v>0</v>
      </c>
      <c r="AT169" s="10" t="b">
        <f>IF(AND(I169="TN",S169&lt;=2800),VLOOKUP(AF169,TNCalibEq2500!$AZ$2:$BB$165,3,),IF(AND(I169="TDN",S169&lt;=2800),VLOOKUP(AF169,TNCalibEq2500!$AZ$2:$BB$165,3,)))</f>
        <v>0</v>
      </c>
      <c r="AU169" s="10" t="str">
        <f>IF(I169="TP",VLOOKUP(AF169,TPCalibEqFull!$AZ$2:$BB$165,3),IF(I169="TDP",VLOOKUP(AF169,TPCalibEqFull!$AZ$2:$BB$165,3),IF(I169="TDN",VLOOKUP(AF169,TNCalibEqFull!$AZ$2:$BB$164,3),IF(I169="TN",VLOOKUP(AF169,TNCalibEqFull!$AZ$2:$BB$164,3),FALSE))))</f>
        <v>y=-0.9791x2+252.54x+6.5963</v>
      </c>
      <c r="AV169" s="10" t="str">
        <f t="shared" si="44"/>
        <v>20240803 00:00:00-1000-9-Dp-1-SW-UKN</v>
      </c>
    </row>
    <row r="170" spans="1:48" s="10" customFormat="1" x14ac:dyDescent="0.3">
      <c r="A170" s="32">
        <v>45507</v>
      </c>
      <c r="B170" s="33">
        <v>0</v>
      </c>
      <c r="C170" s="10">
        <v>1000</v>
      </c>
      <c r="D170" s="10">
        <v>16</v>
      </c>
      <c r="E170" s="10" t="s">
        <v>953</v>
      </c>
      <c r="F170" s="10">
        <v>1</v>
      </c>
      <c r="G170" s="10" t="s">
        <v>72</v>
      </c>
      <c r="H170" s="10" t="s">
        <v>239</v>
      </c>
      <c r="I170" s="10" t="s">
        <v>81</v>
      </c>
      <c r="J170" s="10">
        <v>20</v>
      </c>
      <c r="K170" s="12">
        <v>45686</v>
      </c>
      <c r="L170" s="33">
        <v>0.65113425925925927</v>
      </c>
      <c r="M170" s="10">
        <v>1</v>
      </c>
      <c r="N170" s="10" t="s">
        <v>82</v>
      </c>
      <c r="O170" s="10">
        <v>1.89E-2</v>
      </c>
      <c r="P170" s="10">
        <v>2.3E-3</v>
      </c>
      <c r="Q170" s="10">
        <v>14.4</v>
      </c>
      <c r="R170" s="10" t="s">
        <v>83</v>
      </c>
      <c r="S170" s="34">
        <f t="shared" si="39"/>
        <v>14.4</v>
      </c>
      <c r="T170" s="10" t="s">
        <v>962</v>
      </c>
      <c r="U170" s="34" t="str">
        <f t="shared" si="45"/>
        <v/>
      </c>
      <c r="V170" s="31" t="str">
        <f>IF(H170="CHK",VLOOKUP(I170,QCCHK,3,),IF(H170="GUP",VLOOKUP(E170,QCGUP,2,),IF(AND(H170="ATP",OR(I170="TN",I170="TDN",I170="TNO2-3",I170="NO2-3")),VLOOKUP(E170,QCREC_N,2,),IF(AND(H170="NIC",OR(I170="TN",I170="TDN",I170="TNO2-3",I170="NO2-3")),VLOOKUP(E170,QCNIC_N,2,),IF(AND(H170="UREA",OR(I170="TN",I170="TDN",I170="TNO2-3",I170="NO2-3")),VLOOKUP(E170,QCUREA_N,2,),IF(H170="PER",VLOOKUP(I170,QCPER,MATCH(E170,QCACTUAL!$J$25:$AA$25,0),),IF(H170="SPK",VLOOKUP(I170,QCSPK,3,),IF(AND(H170="ATP",OR(I170="TP",I170="TDP")),VLOOKUP(E170,QCATP_P,2,),""))))))))</f>
        <v/>
      </c>
      <c r="W170" s="31" t="str">
        <f t="shared" si="40"/>
        <v>TRUE</v>
      </c>
      <c r="X170" s="31" t="str">
        <f t="shared" si="41"/>
        <v/>
      </c>
      <c r="Y170" s="10" t="s">
        <v>961</v>
      </c>
      <c r="AF170" s="12">
        <v>45686</v>
      </c>
      <c r="AG170" s="10">
        <f>-208.66*0.0189^2+412.32*0.0189-8.2985</f>
        <v>-0.58018743860000033</v>
      </c>
      <c r="AH170" s="10">
        <f>-59.51*0.0189^2+334.39*0.0189-4.4</f>
        <v>1.8987134328999993</v>
      </c>
      <c r="AI170" s="10">
        <f>-17.314*0.0189^2+288.71*0.0189+0.4726</f>
        <v>5.9230342660600002</v>
      </c>
      <c r="AK170" s="10">
        <f>-0.9791*0.0189^2+252.54*0.0189+6.5963</f>
        <v>11.368956255689</v>
      </c>
      <c r="AL170" s="10" t="str">
        <f t="shared" si="42"/>
        <v>y=-208.66*0.0189^2+412.32*0.0189-8.2985</v>
      </c>
      <c r="AM170" s="10" t="str">
        <f t="shared" si="42"/>
        <v>y=-59.51*0.0189^2+334.39*0.0189-4.4</v>
      </c>
      <c r="AN170" s="10" t="str">
        <f t="shared" si="42"/>
        <v>y=-17.314*0.0189^2+288.71*0.0189+0.4726</v>
      </c>
      <c r="AO170" s="10" t="str">
        <f t="shared" si="43"/>
        <v>FALSE</v>
      </c>
      <c r="AP170" s="10" t="str">
        <f t="shared" si="43"/>
        <v>y=-0.9791*0.0189^2+252.54*0.0189+6.5963</v>
      </c>
      <c r="AQ170" s="10" t="str">
        <f>IF(AND(I170="TP",S170&lt;=150),VLOOKUP(AF170,TPCalibEq150!$AZ$2:$BB$166,3,),IF(AND(I170="TDP",S170&lt;=150),VLOOKUP(AF170,TPCalibEq150!$AZ$2:$BB$166,3,)))</f>
        <v>y=-208.66x2+412.32x-8.2985</v>
      </c>
      <c r="AR170" s="10" t="str">
        <f>IF(AND(I170="TP",S170&lt;=300),VLOOKUP(AF170,TPCalibEq300!$AZ$2:$BB$166,3,),IF(AND(I170="TDP",S170&lt;=300),VLOOKUP(AF170,TPCalibEq300!$AZ$2:$BB$166,3,)))</f>
        <v>y=-59.51x2+334.39x-4.4</v>
      </c>
      <c r="AS170" s="10" t="str">
        <f>IF(AND(I170="TP",S170&lt;=500),VLOOKUP(AF170,TPCalibEq500!$AZ$2:$BB$165,3,),IF(AND(I170="TDP",S170&lt;=500),VLOOKUP(AF170,TPCalibEq500!$AZ$2:$BB$165,3,)))</f>
        <v>y=-17.314x2+288.71x+0.4726</v>
      </c>
      <c r="AT170" s="10" t="b">
        <f>IF(AND(I170="TN",S170&lt;=2800),VLOOKUP(AF170,TNCalibEq2500!$AZ$2:$BB$165,3,),IF(AND(I170="TDN",S170&lt;=2800),VLOOKUP(AF170,TNCalibEq2500!$AZ$2:$BB$165,3,)))</f>
        <v>0</v>
      </c>
      <c r="AU170" s="10" t="str">
        <f>IF(I170="TP",VLOOKUP(AF170,TPCalibEqFull!$AZ$2:$BB$165,3),IF(I170="TDP",VLOOKUP(AF170,TPCalibEqFull!$AZ$2:$BB$165,3),IF(I170="TDN",VLOOKUP(AF170,TNCalibEqFull!$AZ$2:$BB$164,3),IF(I170="TN",VLOOKUP(AF170,TNCalibEqFull!$AZ$2:$BB$164,3),FALSE))))</f>
        <v>y=-0.9791x2+252.54x+6.5963</v>
      </c>
      <c r="AV170" s="10" t="str">
        <f t="shared" si="44"/>
        <v>20240803 00:00:00-1000-16-Sh-1-DI-BLK</v>
      </c>
    </row>
    <row r="171" spans="1:48" s="10" customFormat="1" x14ac:dyDescent="0.3">
      <c r="A171" s="32">
        <v>45507</v>
      </c>
      <c r="B171" s="33">
        <v>0</v>
      </c>
      <c r="C171" s="10">
        <v>1000</v>
      </c>
      <c r="D171" s="10">
        <v>16</v>
      </c>
      <c r="E171" s="10" t="s">
        <v>953</v>
      </c>
      <c r="F171" s="10">
        <v>1</v>
      </c>
      <c r="G171" s="10" t="s">
        <v>229</v>
      </c>
      <c r="H171" s="10" t="s">
        <v>320</v>
      </c>
      <c r="I171" s="10" t="s">
        <v>81</v>
      </c>
      <c r="J171" s="10">
        <v>21</v>
      </c>
      <c r="K171" s="12">
        <v>45686</v>
      </c>
      <c r="L171" s="33">
        <v>0.65170138888888884</v>
      </c>
      <c r="M171" s="10">
        <v>1</v>
      </c>
      <c r="N171" s="10" t="s">
        <v>82</v>
      </c>
      <c r="O171" s="10">
        <v>0.83799999999999997</v>
      </c>
      <c r="P171" s="10">
        <v>9.0399999999999994E-2</v>
      </c>
      <c r="Q171" s="10">
        <v>215</v>
      </c>
      <c r="R171" s="10" t="s">
        <v>83</v>
      </c>
      <c r="S171" s="34">
        <f t="shared" si="39"/>
        <v>234.02827955999999</v>
      </c>
      <c r="T171" s="10" t="s">
        <v>962</v>
      </c>
      <c r="U171" s="34" t="str">
        <f t="shared" si="45"/>
        <v/>
      </c>
      <c r="V171" s="31" t="str">
        <f>IF(H171="CHK",VLOOKUP(I171,QCCHK,3,),IF(H171="GUP",VLOOKUP(E171,QCGUP,2,),IF(AND(H171="ATP",OR(I171="TN",I171="TDN",I171="TNO2-3",I171="NO2-3")),VLOOKUP(E171,QCREC_N,2,),IF(AND(H171="NIC",OR(I171="TN",I171="TDN",I171="TNO2-3",I171="NO2-3")),VLOOKUP(E171,QCNIC_N,2,),IF(AND(H171="UREA",OR(I171="TN",I171="TDN",I171="TNO2-3",I171="NO2-3")),VLOOKUP(E171,QCUREA_N,2,),IF(H171="PER",VLOOKUP(I171,QCPER,MATCH(E171,QCACTUAL!$J$25:$AA$25,0),),IF(H171="SPK",VLOOKUP(I171,QCSPK,3,),IF(AND(H171="ATP",OR(I171="TP",I171="TDP")),VLOOKUP(E171,QCATP_P,2,),""))))))))</f>
        <v/>
      </c>
      <c r="W171" s="31" t="str">
        <f t="shared" si="40"/>
        <v>TRUE</v>
      </c>
      <c r="X171" s="31" t="str">
        <f t="shared" si="41"/>
        <v/>
      </c>
      <c r="Y171" s="10" t="s">
        <v>961</v>
      </c>
      <c r="AF171" s="12">
        <v>45686</v>
      </c>
      <c r="AH171" s="10">
        <f>-59.51*0.838^2+334.39*0.838-4.4</f>
        <v>234.02827955999999</v>
      </c>
      <c r="AI171" s="10">
        <f>-17.314*0.838^2+288.71*0.838+0.4726</f>
        <v>230.25292738399997</v>
      </c>
      <c r="AK171" s="10">
        <f>-0.9791*0.838^2+252.54*0.838+6.5963</f>
        <v>217.53725289959999</v>
      </c>
      <c r="AL171" s="10" t="str">
        <f t="shared" si="42"/>
        <v>FALSE</v>
      </c>
      <c r="AM171" s="10" t="str">
        <f t="shared" si="42"/>
        <v>y=-59.51*0.838^2+334.39*0.838-4.4</v>
      </c>
      <c r="AN171" s="10" t="str">
        <f t="shared" si="42"/>
        <v>y=-17.314*0.838^2+288.71*0.838+0.4726</v>
      </c>
      <c r="AO171" s="10" t="str">
        <f t="shared" si="43"/>
        <v>FALSE</v>
      </c>
      <c r="AP171" s="10" t="str">
        <f t="shared" si="43"/>
        <v>y=-0.9791*0.838^2+252.54*0.838+6.5963</v>
      </c>
      <c r="AQ171" s="10" t="b">
        <f>IF(AND(I171="TP",S171&lt;=150),VLOOKUP(AF171,TPCalibEq150!$AZ$2:$BB$166,3,),IF(AND(I171="TDP",S171&lt;=150),VLOOKUP(AF171,TPCalibEq150!$AZ$2:$BB$166,3,)))</f>
        <v>0</v>
      </c>
      <c r="AR171" s="10" t="str">
        <f>IF(AND(I171="TP",S171&lt;=300),VLOOKUP(AF171,TPCalibEq300!$AZ$2:$BB$166,3,),IF(AND(I171="TDP",S171&lt;=300),VLOOKUP(AF171,TPCalibEq300!$AZ$2:$BB$166,3,)))</f>
        <v>y=-59.51x2+334.39x-4.4</v>
      </c>
      <c r="AS171" s="10" t="str">
        <f>IF(AND(I171="TP",S171&lt;=500),VLOOKUP(AF171,TPCalibEq500!$AZ$2:$BB$165,3,),IF(AND(I171="TDP",S171&lt;=500),VLOOKUP(AF171,TPCalibEq500!$AZ$2:$BB$165,3,)))</f>
        <v>y=-17.314x2+288.71x+0.4726</v>
      </c>
      <c r="AT171" s="10" t="b">
        <f>IF(AND(I171="TN",S171&lt;=2800),VLOOKUP(AF171,TNCalibEq2500!$AZ$2:$BB$165,3,),IF(AND(I171="TDN",S171&lt;=2800),VLOOKUP(AF171,TNCalibEq2500!$AZ$2:$BB$165,3,)))</f>
        <v>0</v>
      </c>
      <c r="AU171" s="10" t="str">
        <f>IF(I171="TP",VLOOKUP(AF171,TPCalibEqFull!$AZ$2:$BB$165,3),IF(I171="TDP",VLOOKUP(AF171,TPCalibEqFull!$AZ$2:$BB$165,3),IF(I171="TDN",VLOOKUP(AF171,TNCalibEqFull!$AZ$2:$BB$164,3),IF(I171="TN",VLOOKUP(AF171,TNCalibEqFull!$AZ$2:$BB$164,3),FALSE))))</f>
        <v>y=-0.9791x2+252.54x+6.5963</v>
      </c>
      <c r="AV171" s="10" t="str">
        <f t="shared" si="44"/>
        <v>20240803 00:00:00-1000-16-Sh-1-SW-UKN</v>
      </c>
    </row>
    <row r="172" spans="1:48" s="10" customFormat="1" x14ac:dyDescent="0.3">
      <c r="A172" s="32">
        <v>45507</v>
      </c>
      <c r="B172" s="33">
        <v>0</v>
      </c>
      <c r="C172" s="10">
        <v>1000</v>
      </c>
      <c r="D172" s="10">
        <v>16</v>
      </c>
      <c r="E172" s="10" t="s">
        <v>953</v>
      </c>
      <c r="F172" s="10">
        <v>2</v>
      </c>
      <c r="G172" s="10" t="s">
        <v>229</v>
      </c>
      <c r="H172" s="10" t="s">
        <v>320</v>
      </c>
      <c r="I172" s="10" t="s">
        <v>81</v>
      </c>
      <c r="J172" s="10">
        <v>22</v>
      </c>
      <c r="K172" s="12">
        <v>45686</v>
      </c>
      <c r="L172" s="33">
        <v>0.65228009259259256</v>
      </c>
      <c r="M172" s="10">
        <v>1</v>
      </c>
      <c r="N172" s="10" t="s">
        <v>82</v>
      </c>
      <c r="O172" s="10">
        <v>0.88700000000000001</v>
      </c>
      <c r="P172" s="10">
        <v>9.5699999999999993E-2</v>
      </c>
      <c r="Q172" s="10">
        <v>227</v>
      </c>
      <c r="R172" s="10" t="s">
        <v>83</v>
      </c>
      <c r="S172" s="34">
        <f t="shared" si="39"/>
        <v>245.38330680999999</v>
      </c>
      <c r="T172" s="10" t="s">
        <v>962</v>
      </c>
      <c r="U172" s="34" t="str">
        <f t="shared" si="45"/>
        <v/>
      </c>
      <c r="V172" s="31" t="str">
        <f>IF(H172="CHK",VLOOKUP(I172,QCCHK,3,),IF(H172="GUP",VLOOKUP(E172,QCGUP,2,),IF(AND(H172="ATP",OR(I172="TN",I172="TDN",I172="TNO2-3",I172="NO2-3")),VLOOKUP(E172,QCREC_N,2,),IF(AND(H172="NIC",OR(I172="TN",I172="TDN",I172="TNO2-3",I172="NO2-3")),VLOOKUP(E172,QCNIC_N,2,),IF(AND(H172="UREA",OR(I172="TN",I172="TDN",I172="TNO2-3",I172="NO2-3")),VLOOKUP(E172,QCUREA_N,2,),IF(H172="PER",VLOOKUP(I172,QCPER,MATCH(E172,QCACTUAL!$J$25:$AA$25,0),),IF(H172="SPK",VLOOKUP(I172,QCSPK,3,),IF(AND(H172="ATP",OR(I172="TP",I172="TDP")),VLOOKUP(E172,QCATP_P,2,),""))))))))</f>
        <v/>
      </c>
      <c r="W172" s="31" t="str">
        <f t="shared" si="40"/>
        <v>TRUE</v>
      </c>
      <c r="X172" s="31" t="str">
        <f t="shared" si="41"/>
        <v/>
      </c>
      <c r="Y172" s="10" t="s">
        <v>961</v>
      </c>
      <c r="AF172" s="12">
        <v>45686</v>
      </c>
      <c r="AH172" s="10">
        <f>-59.51*0.887^2+334.39*0.887-4.4</f>
        <v>245.38330680999999</v>
      </c>
      <c r="AI172" s="10">
        <f>-17.314*0.887^2+288.71*0.887+0.4726</f>
        <v>242.93625153399998</v>
      </c>
      <c r="AK172" s="10">
        <f>-0.9791*0.887^2+252.54*0.887+6.5963</f>
        <v>229.82895447210001</v>
      </c>
      <c r="AL172" s="10" t="str">
        <f t="shared" si="42"/>
        <v>FALSE</v>
      </c>
      <c r="AM172" s="10" t="str">
        <f t="shared" si="42"/>
        <v>y=-59.51*0.887^2+334.39*0.887-4.4</v>
      </c>
      <c r="AN172" s="10" t="str">
        <f t="shared" si="42"/>
        <v>y=-17.314*0.887^2+288.71*0.887+0.4726</v>
      </c>
      <c r="AO172" s="10" t="str">
        <f t="shared" si="43"/>
        <v>FALSE</v>
      </c>
      <c r="AP172" s="10" t="str">
        <f t="shared" si="43"/>
        <v>y=-0.9791*0.887^2+252.54*0.887+6.5963</v>
      </c>
      <c r="AQ172" s="10" t="b">
        <f>IF(AND(I172="TP",S172&lt;=150),VLOOKUP(AF172,TPCalibEq150!$AZ$2:$BB$166,3,),IF(AND(I172="TDP",S172&lt;=150),VLOOKUP(AF172,TPCalibEq150!$AZ$2:$BB$166,3,)))</f>
        <v>0</v>
      </c>
      <c r="AR172" s="10" t="str">
        <f>IF(AND(I172="TP",S172&lt;=300),VLOOKUP(AF172,TPCalibEq300!$AZ$2:$BB$166,3,),IF(AND(I172="TDP",S172&lt;=300),VLOOKUP(AF172,TPCalibEq300!$AZ$2:$BB$166,3,)))</f>
        <v>y=-59.51x2+334.39x-4.4</v>
      </c>
      <c r="AS172" s="10" t="str">
        <f>IF(AND(I172="TP",S172&lt;=500),VLOOKUP(AF172,TPCalibEq500!$AZ$2:$BB$165,3,),IF(AND(I172="TDP",S172&lt;=500),VLOOKUP(AF172,TPCalibEq500!$AZ$2:$BB$165,3,)))</f>
        <v>y=-17.314x2+288.71x+0.4726</v>
      </c>
      <c r="AT172" s="10" t="b">
        <f>IF(AND(I172="TN",S172&lt;=2800),VLOOKUP(AF172,TNCalibEq2500!$AZ$2:$BB$165,3,),IF(AND(I172="TDN",S172&lt;=2800),VLOOKUP(AF172,TNCalibEq2500!$AZ$2:$BB$165,3,)))</f>
        <v>0</v>
      </c>
      <c r="AU172" s="10" t="str">
        <f>IF(I172="TP",VLOOKUP(AF172,TPCalibEqFull!$AZ$2:$BB$165,3),IF(I172="TDP",VLOOKUP(AF172,TPCalibEqFull!$AZ$2:$BB$165,3),IF(I172="TDN",VLOOKUP(AF172,TNCalibEqFull!$AZ$2:$BB$164,3),IF(I172="TN",VLOOKUP(AF172,TNCalibEqFull!$AZ$2:$BB$164,3),FALSE))))</f>
        <v>y=-0.9791x2+252.54x+6.5963</v>
      </c>
      <c r="AV172" s="10" t="str">
        <f t="shared" si="44"/>
        <v>20240803 00:00:00-1000-16-Sh-2-SW-UKN</v>
      </c>
    </row>
    <row r="173" spans="1:48" s="10" customFormat="1" x14ac:dyDescent="0.3">
      <c r="A173" s="32">
        <v>45507</v>
      </c>
      <c r="B173" s="33">
        <v>0</v>
      </c>
      <c r="C173" s="10">
        <v>1000</v>
      </c>
      <c r="D173" s="10">
        <v>16</v>
      </c>
      <c r="E173" s="10" t="s">
        <v>953</v>
      </c>
      <c r="F173" s="10">
        <v>1</v>
      </c>
      <c r="G173" s="10" t="s">
        <v>229</v>
      </c>
      <c r="H173" s="10" t="s">
        <v>231</v>
      </c>
      <c r="I173" s="10" t="s">
        <v>81</v>
      </c>
      <c r="J173" s="10">
        <v>22</v>
      </c>
      <c r="K173" s="12">
        <v>45686</v>
      </c>
      <c r="L173" s="33">
        <v>0.65284722222222225</v>
      </c>
      <c r="M173" s="10">
        <v>1</v>
      </c>
      <c r="N173" s="10" t="s">
        <v>82</v>
      </c>
      <c r="O173" s="10">
        <v>0.89200000000000002</v>
      </c>
      <c r="P173" s="10">
        <v>9.6199999999999994E-2</v>
      </c>
      <c r="Q173" s="10">
        <v>229</v>
      </c>
      <c r="R173" s="10" t="s">
        <v>83</v>
      </c>
      <c r="S173" s="34">
        <f t="shared" si="39"/>
        <v>246.52591535999997</v>
      </c>
      <c r="T173" s="10" t="s">
        <v>962</v>
      </c>
      <c r="U173" s="34">
        <f t="shared" si="45"/>
        <v>0.46456073539727238</v>
      </c>
      <c r="V173" s="31" t="str">
        <f>IF(H173="CHK",VLOOKUP(I173,QCCHK,3,),IF(H173="GUP",VLOOKUP(E173,QCGUP,2,),IF(AND(H173="ATP",OR(I173="TN",I173="TDN",I173="TNO2-3",I173="NO2-3")),VLOOKUP(E173,QCREC_N,2,),IF(AND(H173="NIC",OR(I173="TN",I173="TDN",I173="TNO2-3",I173="NO2-3")),VLOOKUP(E173,QCNIC_N,2,),IF(AND(H173="UREA",OR(I173="TN",I173="TDN",I173="TNO2-3",I173="NO2-3")),VLOOKUP(E173,QCUREA_N,2,),IF(H173="PER",VLOOKUP(I173,QCPER,MATCH(E173,QCACTUAL!$J$25:$AA$25,0),),IF(H173="SPK",VLOOKUP(I173,QCSPK,3,),IF(AND(H173="ATP",OR(I173="TP",I173="TDP")),VLOOKUP(E173,QCATP_P,2,),""))))))))</f>
        <v/>
      </c>
      <c r="W173" s="31" t="str">
        <f t="shared" si="40"/>
        <v>TRUE</v>
      </c>
      <c r="X173" s="31" t="str">
        <f t="shared" si="41"/>
        <v>((ABS(rep1-rep2))/((rep1+rep2)/2)*100</v>
      </c>
      <c r="Y173" s="10" t="s">
        <v>961</v>
      </c>
      <c r="AF173" s="12">
        <v>45686</v>
      </c>
      <c r="AH173" s="10">
        <f>-59.51*0.892^2+334.39*0.892-4.4</f>
        <v>246.52591535999997</v>
      </c>
      <c r="AI173" s="10">
        <f>-17.314*0.892^2+288.71*0.892+0.4726</f>
        <v>244.22579350399999</v>
      </c>
      <c r="AK173" s="10">
        <f>-0.9791*0.892^2+252.54*0.892+6.5963</f>
        <v>231.08294537760003</v>
      </c>
      <c r="AL173" s="10" t="str">
        <f t="shared" si="42"/>
        <v>FALSE</v>
      </c>
      <c r="AM173" s="10" t="str">
        <f t="shared" si="42"/>
        <v>y=-59.51*0.892^2+334.39*0.892-4.4</v>
      </c>
      <c r="AN173" s="10" t="str">
        <f t="shared" si="42"/>
        <v>y=-17.314*0.892^2+288.71*0.892+0.4726</v>
      </c>
      <c r="AO173" s="10" t="str">
        <f t="shared" si="43"/>
        <v>FALSE</v>
      </c>
      <c r="AP173" s="10" t="str">
        <f t="shared" si="43"/>
        <v>y=-0.9791*0.892^2+252.54*0.892+6.5963</v>
      </c>
      <c r="AQ173" s="10" t="b">
        <f>IF(AND(I173="TP",S173&lt;=150),VLOOKUP(AF173,TPCalibEq150!$AZ$2:$BB$166,3,),IF(AND(I173="TDP",S173&lt;=150),VLOOKUP(AF173,TPCalibEq150!$AZ$2:$BB$166,3,)))</f>
        <v>0</v>
      </c>
      <c r="AR173" s="10" t="str">
        <f>IF(AND(I173="TP",S173&lt;=300),VLOOKUP(AF173,TPCalibEq300!$AZ$2:$BB$166,3,),IF(AND(I173="TDP",S173&lt;=300),VLOOKUP(AF173,TPCalibEq300!$AZ$2:$BB$166,3,)))</f>
        <v>y=-59.51x2+334.39x-4.4</v>
      </c>
      <c r="AS173" s="10" t="str">
        <f>IF(AND(I173="TP",S173&lt;=500),VLOOKUP(AF173,TPCalibEq500!$AZ$2:$BB$165,3,),IF(AND(I173="TDP",S173&lt;=500),VLOOKUP(AF173,TPCalibEq500!$AZ$2:$BB$165,3,)))</f>
        <v>y=-17.314x2+288.71x+0.4726</v>
      </c>
      <c r="AT173" s="10" t="b">
        <f>IF(AND(I173="TN",S173&lt;=2800),VLOOKUP(AF173,TNCalibEq2500!$AZ$2:$BB$165,3,),IF(AND(I173="TDN",S173&lt;=2800),VLOOKUP(AF173,TNCalibEq2500!$AZ$2:$BB$165,3,)))</f>
        <v>0</v>
      </c>
      <c r="AU173" s="10" t="str">
        <f>IF(I173="TP",VLOOKUP(AF173,TPCalibEqFull!$AZ$2:$BB$165,3),IF(I173="TDP",VLOOKUP(AF173,TPCalibEqFull!$AZ$2:$BB$165,3),IF(I173="TDN",VLOOKUP(AF173,TNCalibEqFull!$AZ$2:$BB$164,3),IF(I173="TN",VLOOKUP(AF173,TNCalibEqFull!$AZ$2:$BB$164,3),FALSE))))</f>
        <v>y=-0.9791x2+252.54x+6.5963</v>
      </c>
      <c r="AV173" s="10" t="str">
        <f t="shared" si="44"/>
        <v>20240803 00:00:00-1000-16-Sh-1-SW-DUP</v>
      </c>
    </row>
    <row r="174" spans="1:48" s="10" customFormat="1" x14ac:dyDescent="0.3">
      <c r="A174" s="32">
        <v>45514</v>
      </c>
      <c r="B174" s="33">
        <v>0</v>
      </c>
      <c r="C174" s="10">
        <v>1000</v>
      </c>
      <c r="D174" s="10">
        <v>17</v>
      </c>
      <c r="E174" s="10" t="s">
        <v>953</v>
      </c>
      <c r="F174" s="10">
        <v>1</v>
      </c>
      <c r="G174" s="10" t="s">
        <v>72</v>
      </c>
      <c r="H174" s="10" t="s">
        <v>239</v>
      </c>
      <c r="I174" s="10" t="s">
        <v>81</v>
      </c>
      <c r="J174" s="10">
        <v>23</v>
      </c>
      <c r="K174" s="12">
        <v>45686</v>
      </c>
      <c r="L174" s="33">
        <v>0.65458333333333341</v>
      </c>
      <c r="M174" s="10">
        <v>1</v>
      </c>
      <c r="N174" s="10" t="s">
        <v>82</v>
      </c>
      <c r="O174" s="10">
        <v>0.38900000000000001</v>
      </c>
      <c r="P174" s="10">
        <v>4.07E-2</v>
      </c>
      <c r="Q174" s="10">
        <v>105</v>
      </c>
      <c r="R174" s="10" t="s">
        <v>83</v>
      </c>
      <c r="S174" s="34">
        <f t="shared" ref="S174:S199" si="46">IF(OR(AND(I174&lt;&gt;"TP", I174&lt;&gt;"TDP",I174&lt;&gt;"TN", I174&lt;&gt;"TDN"),H174="CAL"), Q174*M174, IF(OR(AND(I174="TN", Q174&gt;2500), AND(I174="TDN", Q174&gt;2500)),MAX(Q174, AK174)*M174, IF(OR(AND(I174="TN", Q174&lt;=2500), AND(I174="TDN", Q174&lt;=2500)),MAX(Q174, AJ174,AK174)*M174, IF(OR(AND(I174="TP",Q174&gt;500), AND(I174="TDP", Q174&gt;500)),MAX(Q174,AK174)*M174,IF(OR(AND(I174="TP",Q174&lt;=150), AND(I174="TDP", Q174&lt;=150)),MAX(Q174,AG174:AI174,AK174)*M174,IF(OR(AND(I174="TP",Q174&lt;=300), AND(I174="TDP", Q174&lt;=300)),MAX(Q174,AH174,AI174,AK174)*M174,IF(OR(AND(I174="TP",Q174&lt;=500), AND(I174="TDP", Q174&lt;=500)),MAX(Q174,AI174,AK174)*M174,"")))))))</f>
        <v>120.51934014000001</v>
      </c>
      <c r="T174" s="10" t="s">
        <v>962</v>
      </c>
      <c r="U174" s="34" t="str">
        <f>IF(OR(H174="CHK",H174="ATP",H174="GUP",H174="PER", H174="NIC", H174="UREA"),(S174/V174*100),IF(H174="DUP",((ABS(S174-#REF!))/((#REF!+S174)/2))*100,IF(H174="SPK",((S174-#REF!)/V174*100),IF(OR(H174="LAB",H174="FLD",H174="ESF"),S174,""))))</f>
        <v/>
      </c>
      <c r="V174" s="31" t="str">
        <f>IF(H174="CHK",VLOOKUP(I174,QCCHK,3,),IF(H174="GUP",VLOOKUP(E174,QCGUP,2,),IF(AND(H174="ATP",OR(I174="TN",I174="TDN",I174="TNO2-3",I174="NO2-3")),VLOOKUP(E174,QCREC_N,2,),IF(AND(H174="NIC",OR(I174="TN",I174="TDN",I174="TNO2-3",I174="NO2-3")),VLOOKUP(E174,QCNIC_N,2,),IF(AND(H174="UREA",OR(I174="TN",I174="TDN",I174="TNO2-3",I174="NO2-3")),VLOOKUP(E174,QCUREA_N,2,),IF(H174="PER",VLOOKUP(I174,QCPER,MATCH(E174,QCACTUAL!$J$25:$AA$25,0),),IF(H174="SPK",VLOOKUP(I174,QCSPK,3,),IF(AND(H174="ATP",OR(I174="TP",I174="TDP")),VLOOKUP(E174,QCATP_P,2,),""))))))))</f>
        <v/>
      </c>
      <c r="W174" s="31" t="str">
        <f t="shared" ref="W174:W198" si="47">IF(AND(OR(H174="PER",H174="ATP",H174="GUP",H174="CHK",H174="SPK", H174="NIC"),OR(U174&gt;125,U174&lt;75)),"FALSE",IF(AND(H174="DUP",OR(U174&gt;25, U174&lt;-25)),"FALSE",IF(AND(OR(H174="LAB",H174="FLD",H174="ESF"),U174&gt;15),"FALSE","TRUE")))</f>
        <v>TRUE</v>
      </c>
      <c r="X174" s="31" t="str">
        <f t="shared" ref="X174:X198" si="48">IF(ISNA(VLOOKUP(H174,QCEQUATIONS,2,)),"",(VLOOKUP(H174,QCEQUATIONS,2,)))</f>
        <v/>
      </c>
      <c r="Y174" s="10" t="s">
        <v>961</v>
      </c>
      <c r="AF174" s="12">
        <v>45686</v>
      </c>
      <c r="AG174" s="10">
        <f>-208.66*0.389^2+412.32*0.389-8.2985</f>
        <v>120.51934014000001</v>
      </c>
      <c r="AH174" s="10">
        <f>-59.51*0.389^2+334.39*0.389-4.4</f>
        <v>116.67259728999998</v>
      </c>
      <c r="AI174" s="10">
        <f>-17.314*0.389^2+288.71*0.389+0.4726</f>
        <v>110.160818206</v>
      </c>
      <c r="AK174" s="10">
        <f>-0.9791*0.389^2+252.54*0.389+6.5963</f>
        <v>104.68620160890001</v>
      </c>
      <c r="AL174" s="10" t="str">
        <f t="shared" si="42"/>
        <v>y=-208.66*0.389^2+412.32*0.389-8.2985</v>
      </c>
      <c r="AM174" s="10" t="str">
        <f t="shared" si="42"/>
        <v>y=-59.51*0.389^2+334.39*0.389-4.4</v>
      </c>
      <c r="AN174" s="10" t="str">
        <f t="shared" si="42"/>
        <v>y=-17.314*0.389^2+288.71*0.389+0.4726</v>
      </c>
      <c r="AO174" s="10" t="str">
        <f t="shared" si="43"/>
        <v>FALSE</v>
      </c>
      <c r="AP174" s="10" t="str">
        <f t="shared" si="43"/>
        <v>y=-0.9791*0.389^2+252.54*0.389+6.5963</v>
      </c>
      <c r="AQ174" s="10" t="str">
        <f>IF(AND(I174="TP",S174&lt;=150),VLOOKUP(AF174,TPCalibEq150!$AZ$2:$BB$166,3,),IF(AND(I174="TDP",S174&lt;=150),VLOOKUP(AF174,TPCalibEq150!$AZ$2:$BB$166,3,)))</f>
        <v>y=-208.66x2+412.32x-8.2985</v>
      </c>
      <c r="AR174" s="10" t="str">
        <f>IF(AND(I174="TP",S174&lt;=300),VLOOKUP(AF174,TPCalibEq300!$AZ$2:$BB$166,3,),IF(AND(I174="TDP",S174&lt;=300),VLOOKUP(AF174,TPCalibEq300!$AZ$2:$BB$166,3,)))</f>
        <v>y=-59.51x2+334.39x-4.4</v>
      </c>
      <c r="AS174" s="10" t="str">
        <f>IF(AND(I174="TP",S174&lt;=500),VLOOKUP(AF174,TPCalibEq500!$AZ$2:$BB$165,3,),IF(AND(I174="TDP",S174&lt;=500),VLOOKUP(AF174,TPCalibEq500!$AZ$2:$BB$165,3,)))</f>
        <v>y=-17.314x2+288.71x+0.4726</v>
      </c>
      <c r="AT174" s="10" t="b">
        <f>IF(AND(I174="TN",S174&lt;=2800),VLOOKUP(AF174,TNCalibEq2500!$AZ$2:$BB$165,3,),IF(AND(I174="TDN",S174&lt;=2800),VLOOKUP(AF174,TNCalibEq2500!$AZ$2:$BB$165,3,)))</f>
        <v>0</v>
      </c>
      <c r="AU174" s="10" t="str">
        <f>IF(I174="TP",VLOOKUP(AF174,TPCalibEqFull!$AZ$2:$BB$165,3),IF(I174="TDP",VLOOKUP(AF174,TPCalibEqFull!$AZ$2:$BB$165,3),IF(I174="TDN",VLOOKUP(AF174,TNCalibEqFull!$AZ$2:$BB$164,3),IF(I174="TN",VLOOKUP(AF174,TNCalibEqFull!$AZ$2:$BB$164,3),FALSE))))</f>
        <v>y=-0.9791x2+252.54x+6.5963</v>
      </c>
      <c r="AV174" s="10" t="str">
        <f t="shared" si="44"/>
        <v>20240810 00:00:00-1000-17-Sh-1-DI-BLK</v>
      </c>
    </row>
    <row r="175" spans="1:48" s="10" customFormat="1" x14ac:dyDescent="0.3">
      <c r="A175" s="32">
        <v>45514</v>
      </c>
      <c r="B175" s="33">
        <v>0</v>
      </c>
      <c r="C175" s="10">
        <v>1000</v>
      </c>
      <c r="D175" s="10">
        <v>17</v>
      </c>
      <c r="E175" s="10" t="s">
        <v>953</v>
      </c>
      <c r="F175" s="10">
        <v>1</v>
      </c>
      <c r="G175" s="10" t="s">
        <v>72</v>
      </c>
      <c r="H175" s="10" t="s">
        <v>231</v>
      </c>
      <c r="I175" s="10" t="s">
        <v>81</v>
      </c>
      <c r="J175" s="10">
        <v>23</v>
      </c>
      <c r="K175" s="12">
        <v>45686</v>
      </c>
      <c r="L175" s="33">
        <v>0.66431712962962963</v>
      </c>
      <c r="M175" s="10">
        <v>1</v>
      </c>
      <c r="N175" s="10" t="s">
        <v>82</v>
      </c>
      <c r="O175" s="10">
        <v>0.379</v>
      </c>
      <c r="P175" s="10">
        <v>3.9699999999999999E-2</v>
      </c>
      <c r="Q175" s="10">
        <v>103</v>
      </c>
      <c r="R175" s="10" t="s">
        <v>83</v>
      </c>
      <c r="S175" s="34">
        <f t="shared" si="46"/>
        <v>117.99864894000001</v>
      </c>
      <c r="T175" s="10" t="s">
        <v>962</v>
      </c>
      <c r="U175" s="34">
        <f t="shared" ref="U175:U199" si="49">IF(OR(H175="CHK",H175="ATP",H175="GUP",H175="PER", H175="NIC", H175="UREA"),(S175/V175*100),IF(H175="DUP",((ABS(S175-S174))/((S174+S175)/2))*100,IF(H175="SPK",((S175-S174)/V175*100),IF(OR(H175="LAB",H175="FLD",H175="ESF"),S175,""))))</f>
        <v>2.113627747510944</v>
      </c>
      <c r="V175" s="31" t="str">
        <f>IF(H175="CHK",VLOOKUP(I175,QCCHK,3,),IF(H175="GUP",VLOOKUP(E175,QCGUP,2,),IF(AND(H175="ATP",OR(I175="TN",I175="TDN",I175="TNO2-3",I175="NO2-3")),VLOOKUP(E175,QCREC_N,2,),IF(AND(H175="NIC",OR(I175="TN",I175="TDN",I175="TNO2-3",I175="NO2-3")),VLOOKUP(E175,QCNIC_N,2,),IF(AND(H175="UREA",OR(I175="TN",I175="TDN",I175="TNO2-3",I175="NO2-3")),VLOOKUP(E175,QCUREA_N,2,),IF(H175="PER",VLOOKUP(I175,QCPER,MATCH(E175,QCACTUAL!$J$25:$AA$25,0),),IF(H175="SPK",VLOOKUP(I175,QCSPK,3,),IF(AND(H175="ATP",OR(I175="TP",I175="TDP")),VLOOKUP(E175,QCATP_P,2,),""))))))))</f>
        <v/>
      </c>
      <c r="W175" s="31" t="str">
        <f t="shared" si="47"/>
        <v>TRUE</v>
      </c>
      <c r="X175" s="31" t="str">
        <f t="shared" si="48"/>
        <v>((ABS(rep1-rep2))/((rep1+rep2)/2)*100</v>
      </c>
      <c r="Y175" s="10" t="s">
        <v>961</v>
      </c>
      <c r="AF175" s="12">
        <v>45686</v>
      </c>
      <c r="AG175" s="10">
        <f>-208.66*0.379^2+412.32*0.379-8.2985</f>
        <v>117.99864894000001</v>
      </c>
      <c r="AH175" s="10">
        <f>-59.51*0.379^2+334.39*0.379-4.4</f>
        <v>113.78573408999999</v>
      </c>
      <c r="AI175" s="10">
        <f>-17.314*0.379^2+288.71*0.379+0.4726</f>
        <v>107.406689726</v>
      </c>
      <c r="AK175" s="10">
        <f>-0.9791*0.379^2+252.54*0.379+6.5963</f>
        <v>102.1683210969</v>
      </c>
      <c r="AL175" s="10" t="str">
        <f t="shared" si="42"/>
        <v>y=-208.66*0.379^2+412.32*0.379-8.2985</v>
      </c>
      <c r="AM175" s="10" t="str">
        <f t="shared" si="42"/>
        <v>y=-59.51*0.379^2+334.39*0.379-4.4</v>
      </c>
      <c r="AN175" s="10" t="str">
        <f t="shared" si="42"/>
        <v>y=-17.314*0.379^2+288.71*0.379+0.4726</v>
      </c>
      <c r="AO175" s="10" t="str">
        <f t="shared" si="43"/>
        <v>FALSE</v>
      </c>
      <c r="AP175" s="10" t="str">
        <f t="shared" si="43"/>
        <v>y=-0.9791*0.379^2+252.54*0.379+6.5963</v>
      </c>
      <c r="AQ175" s="10" t="str">
        <f>IF(AND(I175="TP",S175&lt;=150),VLOOKUP(AF175,TPCalibEq150!$AZ$2:$BB$166,3,),IF(AND(I175="TDP",S175&lt;=150),VLOOKUP(AF175,TPCalibEq150!$AZ$2:$BB$166,3,)))</f>
        <v>y=-208.66x2+412.32x-8.2985</v>
      </c>
      <c r="AR175" s="10" t="str">
        <f>IF(AND(I175="TP",S175&lt;=300),VLOOKUP(AF175,TPCalibEq300!$AZ$2:$BB$166,3,),IF(AND(I175="TDP",S175&lt;=300),VLOOKUP(AF175,TPCalibEq300!$AZ$2:$BB$166,3,)))</f>
        <v>y=-59.51x2+334.39x-4.4</v>
      </c>
      <c r="AS175" s="10" t="str">
        <f>IF(AND(I175="TP",S175&lt;=500),VLOOKUP(AF175,TPCalibEq500!$AZ$2:$BB$165,3,),IF(AND(I175="TDP",S175&lt;=500),VLOOKUP(AF175,TPCalibEq500!$AZ$2:$BB$165,3,)))</f>
        <v>y=-17.314x2+288.71x+0.4726</v>
      </c>
      <c r="AT175" s="10" t="b">
        <f>IF(AND(I175="TN",S175&lt;=2800),VLOOKUP(AF175,TNCalibEq2500!$AZ$2:$BB$165,3,),IF(AND(I175="TDN",S175&lt;=2800),VLOOKUP(AF175,TNCalibEq2500!$AZ$2:$BB$165,3,)))</f>
        <v>0</v>
      </c>
      <c r="AU175" s="10" t="str">
        <f>IF(I175="TP",VLOOKUP(AF175,TPCalibEqFull!$AZ$2:$BB$165,3),IF(I175="TDP",VLOOKUP(AF175,TPCalibEqFull!$AZ$2:$BB$165,3),IF(I175="TDN",VLOOKUP(AF175,TNCalibEqFull!$AZ$2:$BB$164,3),IF(I175="TN",VLOOKUP(AF175,TNCalibEqFull!$AZ$2:$BB$164,3),FALSE))))</f>
        <v>y=-0.9791x2+252.54x+6.5963</v>
      </c>
      <c r="AV175" s="10" t="str">
        <f t="shared" si="44"/>
        <v>20240810 00:00:00-1000-17-Sh-1-DI-DUP</v>
      </c>
    </row>
    <row r="176" spans="1:48" s="10" customFormat="1" x14ac:dyDescent="0.3">
      <c r="A176" s="32">
        <v>45514</v>
      </c>
      <c r="B176" s="33">
        <v>0</v>
      </c>
      <c r="C176" s="10">
        <v>1000</v>
      </c>
      <c r="D176" s="10">
        <v>17</v>
      </c>
      <c r="E176" s="10" t="s">
        <v>953</v>
      </c>
      <c r="F176" s="10">
        <v>1</v>
      </c>
      <c r="G176" s="10" t="s">
        <v>229</v>
      </c>
      <c r="H176" s="10" t="s">
        <v>320</v>
      </c>
      <c r="I176" s="10" t="s">
        <v>81</v>
      </c>
      <c r="J176" s="10">
        <v>24</v>
      </c>
      <c r="K176" s="12">
        <v>45686</v>
      </c>
      <c r="L176" s="33">
        <v>0.65515046296296298</v>
      </c>
      <c r="M176" s="10">
        <v>1</v>
      </c>
      <c r="N176" s="10" t="s">
        <v>82</v>
      </c>
      <c r="O176" s="10">
        <v>1.03</v>
      </c>
      <c r="P176" s="10">
        <v>0.112</v>
      </c>
      <c r="Q176" s="10">
        <v>263</v>
      </c>
      <c r="R176" s="10" t="s">
        <v>83</v>
      </c>
      <c r="S176" s="34">
        <f t="shared" si="46"/>
        <v>279.47547739999999</v>
      </c>
      <c r="T176" s="10" t="s">
        <v>962</v>
      </c>
      <c r="U176" s="34" t="str">
        <f t="shared" si="49"/>
        <v/>
      </c>
      <c r="V176" s="31" t="str">
        <f>IF(H176="CHK",VLOOKUP(I176,QCCHK,3,),IF(H176="GUP",VLOOKUP(E176,QCGUP,2,),IF(AND(H176="ATP",OR(I176="TN",I176="TDN",I176="TNO2-3",I176="NO2-3")),VLOOKUP(E176,QCREC_N,2,),IF(AND(H176="NIC",OR(I176="TN",I176="TDN",I176="TNO2-3",I176="NO2-3")),VLOOKUP(E176,QCNIC_N,2,),IF(AND(H176="UREA",OR(I176="TN",I176="TDN",I176="TNO2-3",I176="NO2-3")),VLOOKUP(E176,QCUREA_N,2,),IF(H176="PER",VLOOKUP(I176,QCPER,MATCH(E176,QCACTUAL!$J$25:$AA$25,0),),IF(H176="SPK",VLOOKUP(I176,QCSPK,3,),IF(AND(H176="ATP",OR(I176="TP",I176="TDP")),VLOOKUP(E176,QCATP_P,2,),""))))))))</f>
        <v/>
      </c>
      <c r="W176" s="31" t="str">
        <f t="shared" si="47"/>
        <v>TRUE</v>
      </c>
      <c r="X176" s="31" t="str">
        <f t="shared" si="48"/>
        <v/>
      </c>
      <c r="Y176" s="10" t="s">
        <v>961</v>
      </c>
      <c r="AF176" s="12">
        <v>45686</v>
      </c>
      <c r="AH176" s="10">
        <f>-59.51*1.03^2+334.39*1.03-4.4</f>
        <v>276.887541</v>
      </c>
      <c r="AI176" s="10">
        <f>-17.314*1.03^2+288.71*1.03+0.4726</f>
        <v>279.47547739999999</v>
      </c>
      <c r="AK176" s="10">
        <f>-0.9791*1.03^2+252.54*1.03+6.5963</f>
        <v>265.67377281</v>
      </c>
      <c r="AL176" s="10" t="str">
        <f t="shared" si="42"/>
        <v>FALSE</v>
      </c>
      <c r="AM176" s="10" t="str">
        <f t="shared" si="42"/>
        <v>y=-59.51*1.03^2+334.39*1.03-4.4</v>
      </c>
      <c r="AN176" s="10" t="str">
        <f t="shared" si="42"/>
        <v>y=-17.314*1.03^2+288.71*1.03+0.4726</v>
      </c>
      <c r="AO176" s="10" t="str">
        <f t="shared" si="43"/>
        <v>FALSE</v>
      </c>
      <c r="AP176" s="10" t="str">
        <f t="shared" si="43"/>
        <v>y=-0.9791*1.03^2+252.54*1.03+6.5963</v>
      </c>
      <c r="AQ176" s="10" t="b">
        <f>IF(AND(I176="TP",S176&lt;=150),VLOOKUP(AF176,TPCalibEq150!$AZ$2:$BB$166,3,),IF(AND(I176="TDP",S176&lt;=150),VLOOKUP(AF176,TPCalibEq150!$AZ$2:$BB$166,3,)))</f>
        <v>0</v>
      </c>
      <c r="AR176" s="10" t="str">
        <f>IF(AND(I176="TP",S176&lt;=300),VLOOKUP(AF176,TPCalibEq300!$AZ$2:$BB$166,3,),IF(AND(I176="TDP",S176&lt;=300),VLOOKUP(AF176,TPCalibEq300!$AZ$2:$BB$166,3,)))</f>
        <v>y=-59.51x2+334.39x-4.4</v>
      </c>
      <c r="AS176" s="10" t="str">
        <f>IF(AND(I176="TP",S176&lt;=500),VLOOKUP(AF176,TPCalibEq500!$AZ$2:$BB$165,3,),IF(AND(I176="TDP",S176&lt;=500),VLOOKUP(AF176,TPCalibEq500!$AZ$2:$BB$165,3,)))</f>
        <v>y=-17.314x2+288.71x+0.4726</v>
      </c>
      <c r="AT176" s="10" t="b">
        <f>IF(AND(I176="TN",S176&lt;=2800),VLOOKUP(AF176,TNCalibEq2500!$AZ$2:$BB$165,3,),IF(AND(I176="TDN",S176&lt;=2800),VLOOKUP(AF176,TNCalibEq2500!$AZ$2:$BB$165,3,)))</f>
        <v>0</v>
      </c>
      <c r="AU176" s="10" t="str">
        <f>IF(I176="TP",VLOOKUP(AF176,TPCalibEqFull!$AZ$2:$BB$165,3),IF(I176="TDP",VLOOKUP(AF176,TPCalibEqFull!$AZ$2:$BB$165,3),IF(I176="TDN",VLOOKUP(AF176,TNCalibEqFull!$AZ$2:$BB$164,3),IF(I176="TN",VLOOKUP(AF176,TNCalibEqFull!$AZ$2:$BB$164,3),FALSE))))</f>
        <v>y=-0.9791x2+252.54x+6.5963</v>
      </c>
      <c r="AV176" s="10" t="str">
        <f t="shared" si="44"/>
        <v>20240810 00:00:00-1000-17-Sh-1-SW-UKN</v>
      </c>
    </row>
    <row r="177" spans="1:48" s="10" customFormat="1" x14ac:dyDescent="0.3">
      <c r="A177" s="32">
        <v>45514</v>
      </c>
      <c r="B177" s="33">
        <v>0</v>
      </c>
      <c r="C177" s="10">
        <v>1000</v>
      </c>
      <c r="D177" s="10">
        <v>17</v>
      </c>
      <c r="E177" s="10" t="s">
        <v>953</v>
      </c>
      <c r="F177" s="10">
        <v>2</v>
      </c>
      <c r="G177" s="10" t="s">
        <v>229</v>
      </c>
      <c r="H177" s="10" t="s">
        <v>320</v>
      </c>
      <c r="I177" s="10" t="s">
        <v>81</v>
      </c>
      <c r="J177" s="10">
        <v>25</v>
      </c>
      <c r="K177" s="12">
        <v>45686</v>
      </c>
      <c r="L177" s="33">
        <v>0.65571759259259255</v>
      </c>
      <c r="M177" s="10">
        <v>1</v>
      </c>
      <c r="N177" s="10" t="s">
        <v>82</v>
      </c>
      <c r="O177" s="10">
        <v>0.71799999999999997</v>
      </c>
      <c r="P177" s="10">
        <v>7.6700000000000004E-2</v>
      </c>
      <c r="Q177" s="10">
        <v>186</v>
      </c>
      <c r="R177" s="10" t="s">
        <v>83</v>
      </c>
      <c r="S177" s="34">
        <f t="shared" si="46"/>
        <v>205.01318676</v>
      </c>
      <c r="T177" s="10" t="s">
        <v>962</v>
      </c>
      <c r="U177" s="34" t="str">
        <f t="shared" si="49"/>
        <v/>
      </c>
      <c r="V177" s="31" t="str">
        <f>IF(H177="CHK",VLOOKUP(I177,QCCHK,3,),IF(H177="GUP",VLOOKUP(E177,QCGUP,2,),IF(AND(H177="ATP",OR(I177="TN",I177="TDN",I177="TNO2-3",I177="NO2-3")),VLOOKUP(E177,QCREC_N,2,),IF(AND(H177="NIC",OR(I177="TN",I177="TDN",I177="TNO2-3",I177="NO2-3")),VLOOKUP(E177,QCNIC_N,2,),IF(AND(H177="UREA",OR(I177="TN",I177="TDN",I177="TNO2-3",I177="NO2-3")),VLOOKUP(E177,QCUREA_N,2,),IF(H177="PER",VLOOKUP(I177,QCPER,MATCH(E177,QCACTUAL!$J$25:$AA$25,0),),IF(H177="SPK",VLOOKUP(I177,QCSPK,3,),IF(AND(H177="ATP",OR(I177="TP",I177="TDP")),VLOOKUP(E177,QCATP_P,2,),""))))))))</f>
        <v/>
      </c>
      <c r="W177" s="31" t="str">
        <f t="shared" si="47"/>
        <v>TRUE</v>
      </c>
      <c r="X177" s="31" t="str">
        <f t="shared" si="48"/>
        <v/>
      </c>
      <c r="Y177" s="10" t="s">
        <v>961</v>
      </c>
      <c r="AF177" s="12">
        <v>45686</v>
      </c>
      <c r="AH177" s="10">
        <f>-59.51*0.718^2+334.39*0.718-4.4</f>
        <v>205.01318676</v>
      </c>
      <c r="AI177" s="10">
        <f>-17.314*0.718^2+288.71*0.718+0.4726</f>
        <v>198.84059746399998</v>
      </c>
      <c r="AK177" s="10">
        <f>-0.9791*0.718^2+252.54*0.718+6.5963</f>
        <v>187.41527045159998</v>
      </c>
      <c r="AL177" s="10" t="str">
        <f t="shared" si="42"/>
        <v>FALSE</v>
      </c>
      <c r="AM177" s="10" t="str">
        <f t="shared" si="42"/>
        <v>y=-59.51*0.718^2+334.39*0.718-4.4</v>
      </c>
      <c r="AN177" s="10" t="str">
        <f t="shared" si="42"/>
        <v>y=-17.314*0.718^2+288.71*0.718+0.4726</v>
      </c>
      <c r="AO177" s="10" t="str">
        <f t="shared" si="43"/>
        <v>FALSE</v>
      </c>
      <c r="AP177" s="10" t="str">
        <f t="shared" si="43"/>
        <v>y=-0.9791*0.718^2+252.54*0.718+6.5963</v>
      </c>
      <c r="AQ177" s="10" t="b">
        <f>IF(AND(I177="TP",S177&lt;=150),VLOOKUP(AF177,TPCalibEq150!$AZ$2:$BB$166,3,),IF(AND(I177="TDP",S177&lt;=150),VLOOKUP(AF177,TPCalibEq150!$AZ$2:$BB$166,3,)))</f>
        <v>0</v>
      </c>
      <c r="AR177" s="10" t="str">
        <f>IF(AND(I177="TP",S177&lt;=300),VLOOKUP(AF177,TPCalibEq300!$AZ$2:$BB$166,3,),IF(AND(I177="TDP",S177&lt;=300),VLOOKUP(AF177,TPCalibEq300!$AZ$2:$BB$166,3,)))</f>
        <v>y=-59.51x2+334.39x-4.4</v>
      </c>
      <c r="AS177" s="10" t="str">
        <f>IF(AND(I177="TP",S177&lt;=500),VLOOKUP(AF177,TPCalibEq500!$AZ$2:$BB$165,3,),IF(AND(I177="TDP",S177&lt;=500),VLOOKUP(AF177,TPCalibEq500!$AZ$2:$BB$165,3,)))</f>
        <v>y=-17.314x2+288.71x+0.4726</v>
      </c>
      <c r="AT177" s="10" t="b">
        <f>IF(AND(I177="TN",S177&lt;=2800),VLOOKUP(AF177,TNCalibEq2500!$AZ$2:$BB$165,3,),IF(AND(I177="TDN",S177&lt;=2800),VLOOKUP(AF177,TNCalibEq2500!$AZ$2:$BB$165,3,)))</f>
        <v>0</v>
      </c>
      <c r="AU177" s="10" t="str">
        <f>IF(I177="TP",VLOOKUP(AF177,TPCalibEqFull!$AZ$2:$BB$165,3),IF(I177="TDP",VLOOKUP(AF177,TPCalibEqFull!$AZ$2:$BB$165,3),IF(I177="TDN",VLOOKUP(AF177,TNCalibEqFull!$AZ$2:$BB$164,3),IF(I177="TN",VLOOKUP(AF177,TNCalibEqFull!$AZ$2:$BB$164,3),FALSE))))</f>
        <v>y=-0.9791x2+252.54x+6.5963</v>
      </c>
      <c r="AV177" s="10" t="str">
        <f t="shared" si="44"/>
        <v>20240810 00:00:00-1000-17-Sh-2-SW-UKN</v>
      </c>
    </row>
    <row r="178" spans="1:48" s="10" customFormat="1" x14ac:dyDescent="0.3">
      <c r="A178" s="32">
        <v>45514</v>
      </c>
      <c r="B178" s="33">
        <v>0</v>
      </c>
      <c r="C178" s="10">
        <v>1000</v>
      </c>
      <c r="D178" s="10">
        <v>17</v>
      </c>
      <c r="E178" s="10" t="s">
        <v>954</v>
      </c>
      <c r="F178" s="10">
        <v>1</v>
      </c>
      <c r="G178" s="10" t="s">
        <v>229</v>
      </c>
      <c r="H178" s="10" t="s">
        <v>320</v>
      </c>
      <c r="I178" s="10" t="s">
        <v>81</v>
      </c>
      <c r="J178" s="10">
        <v>26</v>
      </c>
      <c r="K178" s="12">
        <v>45686</v>
      </c>
      <c r="L178" s="33">
        <v>0.65629629629629627</v>
      </c>
      <c r="M178" s="10">
        <v>1</v>
      </c>
      <c r="N178" s="10" t="s">
        <v>82</v>
      </c>
      <c r="O178" s="10">
        <v>0.875</v>
      </c>
      <c r="P178" s="10">
        <v>9.4100000000000003E-2</v>
      </c>
      <c r="Q178" s="10">
        <v>224</v>
      </c>
      <c r="R178" s="10" t="s">
        <v>83</v>
      </c>
      <c r="S178" s="34">
        <f t="shared" si="46"/>
        <v>242.62890625</v>
      </c>
      <c r="T178" s="10" t="s">
        <v>962</v>
      </c>
      <c r="U178" s="34" t="str">
        <f t="shared" si="49"/>
        <v/>
      </c>
      <c r="V178" s="31" t="str">
        <f>IF(H178="CHK",VLOOKUP(I178,QCCHK,3,),IF(H178="GUP",VLOOKUP(E178,QCGUP,2,),IF(AND(H178="ATP",OR(I178="TN",I178="TDN",I178="TNO2-3",I178="NO2-3")),VLOOKUP(E178,QCREC_N,2,),IF(AND(H178="NIC",OR(I178="TN",I178="TDN",I178="TNO2-3",I178="NO2-3")),VLOOKUP(E178,QCNIC_N,2,),IF(AND(H178="UREA",OR(I178="TN",I178="TDN",I178="TNO2-3",I178="NO2-3")),VLOOKUP(E178,QCUREA_N,2,),IF(H178="PER",VLOOKUP(I178,QCPER,MATCH(E178,QCACTUAL!$J$25:$AA$25,0),),IF(H178="SPK",VLOOKUP(I178,QCSPK,3,),IF(AND(H178="ATP",OR(I178="TP",I178="TDP")),VLOOKUP(E178,QCATP_P,2,),""))))))))</f>
        <v/>
      </c>
      <c r="W178" s="31" t="str">
        <f t="shared" si="47"/>
        <v>TRUE</v>
      </c>
      <c r="X178" s="31" t="str">
        <f t="shared" si="48"/>
        <v/>
      </c>
      <c r="Y178" s="10" t="s">
        <v>961</v>
      </c>
      <c r="AF178" s="12">
        <v>45686</v>
      </c>
      <c r="AH178" s="10">
        <f>-59.51*0.875^2+334.39*0.875-4.4</f>
        <v>242.62890625</v>
      </c>
      <c r="AI178" s="10">
        <f>-17.314*0.875^2+288.71*0.875+0.4726</f>
        <v>239.83781874999997</v>
      </c>
      <c r="AK178" s="10">
        <f>-0.9791*0.875^2+252.54*0.875+6.5963</f>
        <v>226.81917656250002</v>
      </c>
      <c r="AL178" s="10" t="str">
        <f t="shared" si="42"/>
        <v>FALSE</v>
      </c>
      <c r="AM178" s="10" t="str">
        <f t="shared" si="42"/>
        <v>y=-59.51*0.875^2+334.39*0.875-4.4</v>
      </c>
      <c r="AN178" s="10" t="str">
        <f t="shared" si="42"/>
        <v>y=-17.314*0.875^2+288.71*0.875+0.4726</v>
      </c>
      <c r="AO178" s="10" t="str">
        <f t="shared" si="43"/>
        <v>FALSE</v>
      </c>
      <c r="AP178" s="10" t="str">
        <f t="shared" si="43"/>
        <v>y=-0.9791*0.875^2+252.54*0.875+6.5963</v>
      </c>
      <c r="AQ178" s="10" t="b">
        <f>IF(AND(I178="TP",S178&lt;=150),VLOOKUP(AF178,TPCalibEq150!$AZ$2:$BB$166,3,),IF(AND(I178="TDP",S178&lt;=150),VLOOKUP(AF178,TPCalibEq150!$AZ$2:$BB$166,3,)))</f>
        <v>0</v>
      </c>
      <c r="AR178" s="10" t="str">
        <f>IF(AND(I178="TP",S178&lt;=300),VLOOKUP(AF178,TPCalibEq300!$AZ$2:$BB$166,3,),IF(AND(I178="TDP",S178&lt;=300),VLOOKUP(AF178,TPCalibEq300!$AZ$2:$BB$166,3,)))</f>
        <v>y=-59.51x2+334.39x-4.4</v>
      </c>
      <c r="AS178" s="10" t="str">
        <f>IF(AND(I178="TP",S178&lt;=500),VLOOKUP(AF178,TPCalibEq500!$AZ$2:$BB$165,3,),IF(AND(I178="TDP",S178&lt;=500),VLOOKUP(AF178,TPCalibEq500!$AZ$2:$BB$165,3,)))</f>
        <v>y=-17.314x2+288.71x+0.4726</v>
      </c>
      <c r="AT178" s="10" t="b">
        <f>IF(AND(I178="TN",S178&lt;=2800),VLOOKUP(AF178,TNCalibEq2500!$AZ$2:$BB$165,3,),IF(AND(I178="TDN",S178&lt;=2800),VLOOKUP(AF178,TNCalibEq2500!$AZ$2:$BB$165,3,)))</f>
        <v>0</v>
      </c>
      <c r="AU178" s="10" t="str">
        <f>IF(I178="TP",VLOOKUP(AF178,TPCalibEqFull!$AZ$2:$BB$165,3),IF(I178="TDP",VLOOKUP(AF178,TPCalibEqFull!$AZ$2:$BB$165,3),IF(I178="TDN",VLOOKUP(AF178,TNCalibEqFull!$AZ$2:$BB$164,3),IF(I178="TN",VLOOKUP(AF178,TNCalibEqFull!$AZ$2:$BB$164,3),FALSE))))</f>
        <v>y=-0.9791x2+252.54x+6.5963</v>
      </c>
      <c r="AV178" s="10" t="str">
        <f t="shared" si="44"/>
        <v>20240810 00:00:00-1000-17-Dp-1-SW-UKN</v>
      </c>
    </row>
    <row r="179" spans="1:48" s="10" customFormat="1" x14ac:dyDescent="0.3">
      <c r="A179" s="32">
        <v>45514</v>
      </c>
      <c r="B179" s="33">
        <v>0</v>
      </c>
      <c r="C179" s="10">
        <v>1000</v>
      </c>
      <c r="D179" s="10">
        <v>18</v>
      </c>
      <c r="E179" s="10" t="s">
        <v>953</v>
      </c>
      <c r="F179" s="10">
        <v>1</v>
      </c>
      <c r="G179" s="10" t="s">
        <v>72</v>
      </c>
      <c r="H179" s="10" t="s">
        <v>239</v>
      </c>
      <c r="I179" s="10" t="s">
        <v>81</v>
      </c>
      <c r="J179" s="10">
        <v>27</v>
      </c>
      <c r="K179" s="12">
        <v>45686</v>
      </c>
      <c r="L179" s="33">
        <v>0.65686342592592595</v>
      </c>
      <c r="M179" s="10">
        <v>1</v>
      </c>
      <c r="N179" s="10" t="s">
        <v>82</v>
      </c>
      <c r="O179" s="10">
        <v>0.70799999999999996</v>
      </c>
      <c r="P179" s="10">
        <v>7.5300000000000006E-2</v>
      </c>
      <c r="Q179" s="10">
        <v>183</v>
      </c>
      <c r="R179" s="10" t="s">
        <v>83</v>
      </c>
      <c r="S179" s="34">
        <f t="shared" si="46"/>
        <v>202.51789935999997</v>
      </c>
      <c r="T179" s="10" t="s">
        <v>962</v>
      </c>
      <c r="U179" s="34" t="str">
        <f t="shared" si="49"/>
        <v/>
      </c>
      <c r="V179" s="31" t="str">
        <f>IF(H179="CHK",VLOOKUP(I179,QCCHK,3,),IF(H179="GUP",VLOOKUP(E179,QCGUP,2,),IF(AND(H179="ATP",OR(I179="TN",I179="TDN",I179="TNO2-3",I179="NO2-3")),VLOOKUP(E179,QCREC_N,2,),IF(AND(H179="NIC",OR(I179="TN",I179="TDN",I179="TNO2-3",I179="NO2-3")),VLOOKUP(E179,QCNIC_N,2,),IF(AND(H179="UREA",OR(I179="TN",I179="TDN",I179="TNO2-3",I179="NO2-3")),VLOOKUP(E179,QCUREA_N,2,),IF(H179="PER",VLOOKUP(I179,QCPER,MATCH(E179,QCACTUAL!$J$25:$AA$25,0),),IF(H179="SPK",VLOOKUP(I179,QCSPK,3,),IF(AND(H179="ATP",OR(I179="TP",I179="TDP")),VLOOKUP(E179,QCATP_P,2,),""))))))))</f>
        <v/>
      </c>
      <c r="W179" s="31" t="str">
        <f t="shared" si="47"/>
        <v>TRUE</v>
      </c>
      <c r="X179" s="31" t="str">
        <f t="shared" si="48"/>
        <v/>
      </c>
      <c r="Y179" s="10" t="s">
        <v>961</v>
      </c>
      <c r="AF179" s="12">
        <v>45686</v>
      </c>
      <c r="AH179" s="10">
        <f>-59.51*0.708^2+334.39*0.708-4.4</f>
        <v>202.51789935999997</v>
      </c>
      <c r="AI179" s="10">
        <f>-17.314*0.708^2+288.71*0.708+0.4726</f>
        <v>196.20039510399997</v>
      </c>
      <c r="AK179" s="10">
        <f>-0.9791*0.708^2+252.54*0.708+6.5963</f>
        <v>184.9038324176</v>
      </c>
      <c r="AL179" s="10" t="str">
        <f t="shared" si="42"/>
        <v>FALSE</v>
      </c>
      <c r="AM179" s="10" t="str">
        <f t="shared" si="42"/>
        <v>y=-59.51*0.708^2+334.39*0.708-4.4</v>
      </c>
      <c r="AN179" s="10" t="str">
        <f t="shared" si="42"/>
        <v>y=-17.314*0.708^2+288.71*0.708+0.4726</v>
      </c>
      <c r="AO179" s="10" t="str">
        <f t="shared" si="43"/>
        <v>FALSE</v>
      </c>
      <c r="AP179" s="10" t="str">
        <f t="shared" si="43"/>
        <v>y=-0.9791*0.708^2+252.54*0.708+6.5963</v>
      </c>
      <c r="AQ179" s="10" t="b">
        <f>IF(AND(I179="TP",S179&lt;=150),VLOOKUP(AF179,TPCalibEq150!$AZ$2:$BB$166,3,),IF(AND(I179="TDP",S179&lt;=150),VLOOKUP(AF179,TPCalibEq150!$AZ$2:$BB$166,3,)))</f>
        <v>0</v>
      </c>
      <c r="AR179" s="10" t="str">
        <f>IF(AND(I179="TP",S179&lt;=300),VLOOKUP(AF179,TPCalibEq300!$AZ$2:$BB$166,3,),IF(AND(I179="TDP",S179&lt;=300),VLOOKUP(AF179,TPCalibEq300!$AZ$2:$BB$166,3,)))</f>
        <v>y=-59.51x2+334.39x-4.4</v>
      </c>
      <c r="AS179" s="10" t="str">
        <f>IF(AND(I179="TP",S179&lt;=500),VLOOKUP(AF179,TPCalibEq500!$AZ$2:$BB$165,3,),IF(AND(I179="TDP",S179&lt;=500),VLOOKUP(AF179,TPCalibEq500!$AZ$2:$BB$165,3,)))</f>
        <v>y=-17.314x2+288.71x+0.4726</v>
      </c>
      <c r="AT179" s="10" t="b">
        <f>IF(AND(I179="TN",S179&lt;=2800),VLOOKUP(AF179,TNCalibEq2500!$AZ$2:$BB$165,3,),IF(AND(I179="TDN",S179&lt;=2800),VLOOKUP(AF179,TNCalibEq2500!$AZ$2:$BB$165,3,)))</f>
        <v>0</v>
      </c>
      <c r="AU179" s="10" t="str">
        <f>IF(I179="TP",VLOOKUP(AF179,TPCalibEqFull!$AZ$2:$BB$165,3),IF(I179="TDP",VLOOKUP(AF179,TPCalibEqFull!$AZ$2:$BB$165,3),IF(I179="TDN",VLOOKUP(AF179,TNCalibEqFull!$AZ$2:$BB$164,3),IF(I179="TN",VLOOKUP(AF179,TNCalibEqFull!$AZ$2:$BB$164,3),FALSE))))</f>
        <v>y=-0.9791x2+252.54x+6.5963</v>
      </c>
      <c r="AV179" s="10" t="str">
        <f t="shared" si="44"/>
        <v>20240810 00:00:00-1000-18-Sh-1-DI-BLK</v>
      </c>
    </row>
    <row r="180" spans="1:48" s="10" customFormat="1" x14ac:dyDescent="0.3">
      <c r="A180" s="32">
        <v>45514</v>
      </c>
      <c r="B180" s="33">
        <v>0</v>
      </c>
      <c r="C180" s="10">
        <v>1000</v>
      </c>
      <c r="D180" s="10">
        <v>18</v>
      </c>
      <c r="E180" s="10" t="s">
        <v>953</v>
      </c>
      <c r="F180" s="10">
        <v>1</v>
      </c>
      <c r="G180" s="10" t="s">
        <v>229</v>
      </c>
      <c r="H180" s="10" t="s">
        <v>320</v>
      </c>
      <c r="I180" s="10" t="s">
        <v>81</v>
      </c>
      <c r="J180" s="10">
        <v>28</v>
      </c>
      <c r="K180" s="12">
        <v>45686</v>
      </c>
      <c r="L180" s="33">
        <v>0.65743055555555563</v>
      </c>
      <c r="M180" s="10">
        <v>1</v>
      </c>
      <c r="N180" s="10" t="s">
        <v>82</v>
      </c>
      <c r="O180" s="10">
        <v>1.1200000000000001</v>
      </c>
      <c r="P180" s="10">
        <v>0.121</v>
      </c>
      <c r="Q180" s="10">
        <v>284</v>
      </c>
      <c r="R180" s="10" t="s">
        <v>83</v>
      </c>
      <c r="S180" s="34">
        <f t="shared" si="46"/>
        <v>302.1091184</v>
      </c>
      <c r="T180" s="10" t="s">
        <v>962</v>
      </c>
      <c r="U180" s="34" t="str">
        <f t="shared" si="49"/>
        <v/>
      </c>
      <c r="V180" s="31" t="str">
        <f>IF(H180="CHK",VLOOKUP(I180,QCCHK,3,),IF(H180="GUP",VLOOKUP(E180,QCGUP,2,),IF(AND(H180="ATP",OR(I180="TN",I180="TDN",I180="TNO2-3",I180="NO2-3")),VLOOKUP(E180,QCREC_N,2,),IF(AND(H180="NIC",OR(I180="TN",I180="TDN",I180="TNO2-3",I180="NO2-3")),VLOOKUP(E180,QCNIC_N,2,),IF(AND(H180="UREA",OR(I180="TN",I180="TDN",I180="TNO2-3",I180="NO2-3")),VLOOKUP(E180,QCUREA_N,2,),IF(H180="PER",VLOOKUP(I180,QCPER,MATCH(E180,QCACTUAL!$J$25:$AA$25,0),),IF(H180="SPK",VLOOKUP(I180,QCSPK,3,),IF(AND(H180="ATP",OR(I180="TP",I180="TDP")),VLOOKUP(E180,QCATP_P,2,),""))))))))</f>
        <v/>
      </c>
      <c r="W180" s="31" t="str">
        <f t="shared" si="47"/>
        <v>TRUE</v>
      </c>
      <c r="X180" s="31" t="str">
        <f t="shared" si="48"/>
        <v/>
      </c>
      <c r="Y180" s="10" t="s">
        <v>961</v>
      </c>
      <c r="AF180" s="12">
        <v>45686</v>
      </c>
      <c r="AH180" s="10">
        <f>-59.51*1.12^2+334.39*1.12-4.4</f>
        <v>295.46745600000008</v>
      </c>
      <c r="AI180" s="10">
        <f>-17.314*1.12^2+288.71*1.12+0.4726</f>
        <v>302.1091184</v>
      </c>
      <c r="AK180" s="10">
        <f>-0.9791*1.12^2+252.54*1.12+6.5963</f>
        <v>288.21291696000003</v>
      </c>
      <c r="AL180" s="10" t="str">
        <f t="shared" ref="AL180:AN187" si="50">IF($O180="", "", IF(AQ180&lt;&gt;"", SUBSTITUTE(SUBSTITUTE(AQ180, "x", "*"&amp;$O180&amp;"^", 1), "x", "*"&amp;$O180, 1), ""))</f>
        <v>FALSE</v>
      </c>
      <c r="AM180" s="10" t="str">
        <f t="shared" si="50"/>
        <v>FALSE</v>
      </c>
      <c r="AN180" s="10" t="str">
        <f t="shared" si="50"/>
        <v>y=-17.314*1.12^2+288.71*1.12+0.4726</v>
      </c>
      <c r="AO180" s="10" t="str">
        <f t="shared" ref="AO180:AP187" si="51">IF($O180="", "FALSE", IF(AT180&lt;&gt;"FALSE", SUBSTITUTE(SUBSTITUTE(AT180, "x", "*"&amp;$O180&amp;"^", 1), "x", "*"&amp;$O180, 1), ""))</f>
        <v>FALSE</v>
      </c>
      <c r="AP180" s="10" t="str">
        <f t="shared" si="51"/>
        <v>y=-0.9791*1.12^2+252.54*1.12+6.5963</v>
      </c>
      <c r="AQ180" s="10" t="b">
        <f>IF(AND(I180="TP",S180&lt;=150),VLOOKUP(AF180,TPCalibEq150!$AZ$2:$BB$166,3,),IF(AND(I180="TDP",S180&lt;=150),VLOOKUP(AF180,TPCalibEq150!$AZ$2:$BB$166,3,)))</f>
        <v>0</v>
      </c>
      <c r="AR180" s="10" t="b">
        <f>IF(AND(I180="TP",S180&lt;=300),VLOOKUP(AF180,TPCalibEq300!$AZ$2:$BB$166,3,),IF(AND(I180="TDP",S180&lt;=300),VLOOKUP(AF180,TPCalibEq300!$AZ$2:$BB$166,3,)))</f>
        <v>0</v>
      </c>
      <c r="AS180" s="10" t="str">
        <f>IF(AND(I180="TP",S180&lt;=500),VLOOKUP(AF180,TPCalibEq500!$AZ$2:$BB$165,3,),IF(AND(I180="TDP",S180&lt;=500),VLOOKUP(AF180,TPCalibEq500!$AZ$2:$BB$165,3,)))</f>
        <v>y=-17.314x2+288.71x+0.4726</v>
      </c>
      <c r="AT180" s="10" t="b">
        <f>IF(AND(I180="TN",S180&lt;=2800),VLOOKUP(AF180,TNCalibEq2500!$AZ$2:$BB$165,3,),IF(AND(I180="TDN",S180&lt;=2800),VLOOKUP(AF180,TNCalibEq2500!$AZ$2:$BB$165,3,)))</f>
        <v>0</v>
      </c>
      <c r="AU180" s="10" t="str">
        <f>IF(I180="TP",VLOOKUP(AF180,TPCalibEqFull!$AZ$2:$BB$165,3),IF(I180="TDP",VLOOKUP(AF180,TPCalibEqFull!$AZ$2:$BB$165,3),IF(I180="TDN",VLOOKUP(AF180,TNCalibEqFull!$AZ$2:$BB$164,3),IF(I180="TN",VLOOKUP(AF180,TNCalibEqFull!$AZ$2:$BB$164,3),FALSE))))</f>
        <v>y=-0.9791x2+252.54x+6.5963</v>
      </c>
      <c r="AV180" s="10" t="str">
        <f t="shared" ref="AV180:AV205" si="52">TEXT(A180, "YYYYMMDD")&amp;" "&amp;TEXT(B180, "HH:MM:SS")&amp;"-"&amp;C180&amp;"-"&amp;D180&amp;"-"&amp;E180&amp;"-"&amp;F180&amp;"-"&amp;G180&amp;"-"&amp;H180</f>
        <v>20240810 00:00:00-1000-18-Sh-1-SW-UKN</v>
      </c>
    </row>
    <row r="181" spans="1:48" s="10" customFormat="1" x14ac:dyDescent="0.3">
      <c r="A181" s="32">
        <v>45514</v>
      </c>
      <c r="B181" s="33">
        <v>0</v>
      </c>
      <c r="C181" s="10">
        <v>1000</v>
      </c>
      <c r="D181" s="10">
        <v>18</v>
      </c>
      <c r="E181" s="10" t="s">
        <v>953</v>
      </c>
      <c r="F181" s="10">
        <v>2</v>
      </c>
      <c r="G181" s="10" t="s">
        <v>229</v>
      </c>
      <c r="H181" s="10" t="s">
        <v>320</v>
      </c>
      <c r="I181" s="10" t="s">
        <v>81</v>
      </c>
      <c r="J181" s="10">
        <v>29</v>
      </c>
      <c r="K181" s="12">
        <v>45686</v>
      </c>
      <c r="L181" s="33">
        <v>0.66543981481481485</v>
      </c>
      <c r="M181" s="10">
        <v>1</v>
      </c>
      <c r="N181" s="10" t="s">
        <v>82</v>
      </c>
      <c r="O181" s="10">
        <v>7.2400000000000006E-2</v>
      </c>
      <c r="P181" s="10">
        <v>6.2199999999999998E-3</v>
      </c>
      <c r="Q181" s="10">
        <v>27.5</v>
      </c>
      <c r="R181" s="10" t="s">
        <v>83</v>
      </c>
      <c r="S181" s="34">
        <f t="shared" si="46"/>
        <v>27.5</v>
      </c>
      <c r="T181" s="10" t="s">
        <v>962</v>
      </c>
      <c r="U181" s="34" t="str">
        <f t="shared" si="49"/>
        <v/>
      </c>
      <c r="V181" s="31" t="str">
        <f>IF(H181="CHK",VLOOKUP(I181,QCCHK,3,),IF(H181="GUP",VLOOKUP(E181,QCGUP,2,),IF(AND(H181="ATP",OR(I181="TN",I181="TDN",I181="TNO2-3",I181="NO2-3")),VLOOKUP(E181,QCREC_N,2,),IF(AND(H181="NIC",OR(I181="TN",I181="TDN",I181="TNO2-3",I181="NO2-3")),VLOOKUP(E181,QCNIC_N,2,),IF(AND(H181="UREA",OR(I181="TN",I181="TDN",I181="TNO2-3",I181="NO2-3")),VLOOKUP(E181,QCUREA_N,2,),IF(H181="PER",VLOOKUP(I181,QCPER,MATCH(E181,QCACTUAL!$J$25:$AA$25,0),),IF(H181="SPK",VLOOKUP(I181,QCSPK,3,),IF(AND(H181="ATP",OR(I181="TP",I181="TDP")),VLOOKUP(E181,QCATP_P,2,),""))))))))</f>
        <v/>
      </c>
      <c r="W181" s="31" t="str">
        <f t="shared" si="47"/>
        <v>TRUE</v>
      </c>
      <c r="X181" s="31" t="str">
        <f t="shared" si="48"/>
        <v/>
      </c>
      <c r="Y181" s="10" t="s">
        <v>961</v>
      </c>
      <c r="AF181" s="12">
        <v>45686</v>
      </c>
      <c r="AG181" s="10">
        <f>-208.66*0.0724^2+412.32*0.0724-8.2985</f>
        <v>20.459722358400001</v>
      </c>
      <c r="AH181" s="10">
        <f>-59.51*0.0724^2+334.39*0.0724-4.4</f>
        <v>19.4978988624</v>
      </c>
      <c r="AI181" s="10">
        <f>-17.314*0.0724^2+288.71*0.0724+0.4726</f>
        <v>21.284448167360001</v>
      </c>
      <c r="AK181" s="10">
        <f>-0.9791*0.0724^2+252.54*0.0724+6.5963</f>
        <v>24.875063792784001</v>
      </c>
      <c r="AL181" s="10" t="str">
        <f t="shared" si="50"/>
        <v>y=-208.66*0.0724^2+412.32*0.0724-8.2985</v>
      </c>
      <c r="AM181" s="10" t="str">
        <f t="shared" si="50"/>
        <v>y=-59.51*0.0724^2+334.39*0.0724-4.4</v>
      </c>
      <c r="AN181" s="10" t="str">
        <f t="shared" si="50"/>
        <v>y=-17.314*0.0724^2+288.71*0.0724+0.4726</v>
      </c>
      <c r="AO181" s="10" t="str">
        <f t="shared" si="51"/>
        <v>FALSE</v>
      </c>
      <c r="AP181" s="10" t="str">
        <f t="shared" si="51"/>
        <v>y=-0.9791*0.0724^2+252.54*0.0724+6.5963</v>
      </c>
      <c r="AQ181" s="10" t="str">
        <f>IF(AND(I181="TP",S181&lt;=150),VLOOKUP(AF181,TPCalibEq150!$AZ$2:$BB$166,3,),IF(AND(I181="TDP",S181&lt;=150),VLOOKUP(AF181,TPCalibEq150!$AZ$2:$BB$166,3,)))</f>
        <v>y=-208.66x2+412.32x-8.2985</v>
      </c>
      <c r="AR181" s="10" t="str">
        <f>IF(AND(I181="TP",S181&lt;=300),VLOOKUP(AF181,TPCalibEq300!$AZ$2:$BB$166,3,),IF(AND(I181="TDP",S181&lt;=300),VLOOKUP(AF181,TPCalibEq300!$AZ$2:$BB$166,3,)))</f>
        <v>y=-59.51x2+334.39x-4.4</v>
      </c>
      <c r="AS181" s="10" t="str">
        <f>IF(AND(I181="TP",S181&lt;=500),VLOOKUP(AF181,TPCalibEq500!$AZ$2:$BB$165,3,),IF(AND(I181="TDP",S181&lt;=500),VLOOKUP(AF181,TPCalibEq500!$AZ$2:$BB$165,3,)))</f>
        <v>y=-17.314x2+288.71x+0.4726</v>
      </c>
      <c r="AT181" s="10" t="b">
        <f>IF(AND(I181="TN",S181&lt;=2800),VLOOKUP(AF181,TNCalibEq2500!$AZ$2:$BB$165,3,),IF(AND(I181="TDN",S181&lt;=2800),VLOOKUP(AF181,TNCalibEq2500!$AZ$2:$BB$165,3,)))</f>
        <v>0</v>
      </c>
      <c r="AU181" s="10" t="str">
        <f>IF(I181="TP",VLOOKUP(AF181,TPCalibEqFull!$AZ$2:$BB$165,3),IF(I181="TDP",VLOOKUP(AF181,TPCalibEqFull!$AZ$2:$BB$165,3),IF(I181="TDN",VLOOKUP(AF181,TNCalibEqFull!$AZ$2:$BB$164,3),IF(I181="TN",VLOOKUP(AF181,TNCalibEqFull!$AZ$2:$BB$164,3),FALSE))))</f>
        <v>y=-0.9791x2+252.54x+6.5963</v>
      </c>
      <c r="AV181" s="10" t="str">
        <f t="shared" si="52"/>
        <v>20240810 00:00:00-1000-18-Sh-2-SW-UKN</v>
      </c>
    </row>
    <row r="182" spans="1:48" s="10" customFormat="1" x14ac:dyDescent="0.3">
      <c r="A182" s="32">
        <v>45514</v>
      </c>
      <c r="B182" s="33">
        <v>0</v>
      </c>
      <c r="C182" s="10">
        <v>1000</v>
      </c>
      <c r="D182" s="10">
        <v>18</v>
      </c>
      <c r="E182" s="10" t="s">
        <v>954</v>
      </c>
      <c r="F182" s="10">
        <v>1</v>
      </c>
      <c r="G182" s="10" t="s">
        <v>229</v>
      </c>
      <c r="H182" s="10" t="s">
        <v>320</v>
      </c>
      <c r="I182" s="10" t="s">
        <v>81</v>
      </c>
      <c r="J182" s="10">
        <v>30</v>
      </c>
      <c r="K182" s="12">
        <v>45686</v>
      </c>
      <c r="L182" s="33">
        <v>0.6665740740740741</v>
      </c>
      <c r="M182" s="10">
        <v>1</v>
      </c>
      <c r="N182" s="10" t="s">
        <v>82</v>
      </c>
      <c r="O182" s="10">
        <v>0.92100000000000004</v>
      </c>
      <c r="P182" s="10">
        <v>0.1</v>
      </c>
      <c r="Q182" s="10">
        <v>236</v>
      </c>
      <c r="R182" s="10" t="s">
        <v>83</v>
      </c>
      <c r="S182" s="34">
        <f t="shared" si="46"/>
        <v>253.09436808999996</v>
      </c>
      <c r="T182" s="10" t="s">
        <v>962</v>
      </c>
      <c r="U182" s="34" t="str">
        <f t="shared" si="49"/>
        <v/>
      </c>
      <c r="V182" s="31" t="str">
        <f>IF(H182="CHK",VLOOKUP(I182,QCCHK,3,),IF(H182="GUP",VLOOKUP(E182,QCGUP,2,),IF(AND(H182="ATP",OR(I182="TN",I182="TDN",I182="TNO2-3",I182="NO2-3")),VLOOKUP(E182,QCREC_N,2,),IF(AND(H182="NIC",OR(I182="TN",I182="TDN",I182="TNO2-3",I182="NO2-3")),VLOOKUP(E182,QCNIC_N,2,),IF(AND(H182="UREA",OR(I182="TN",I182="TDN",I182="TNO2-3",I182="NO2-3")),VLOOKUP(E182,QCUREA_N,2,),IF(H182="PER",VLOOKUP(I182,QCPER,MATCH(E182,QCACTUAL!$J$25:$AA$25,0),),IF(H182="SPK",VLOOKUP(I182,QCSPK,3,),IF(AND(H182="ATP",OR(I182="TP",I182="TDP")),VLOOKUP(E182,QCATP_P,2,),""))))))))</f>
        <v/>
      </c>
      <c r="W182" s="31" t="str">
        <f t="shared" si="47"/>
        <v>TRUE</v>
      </c>
      <c r="X182" s="31" t="str">
        <f t="shared" si="48"/>
        <v/>
      </c>
      <c r="Y182" s="10" t="s">
        <v>961</v>
      </c>
      <c r="AF182" s="12">
        <v>45686</v>
      </c>
      <c r="AH182" s="10">
        <f>-59.51*0.921^2+334.39*0.921-4.4</f>
        <v>253.09436808999996</v>
      </c>
      <c r="AI182" s="10">
        <f>-17.314*0.921^2+288.71*0.921+0.4726</f>
        <v>251.68806532599999</v>
      </c>
      <c r="AK182" s="10">
        <f>-0.9791*0.921^2+252.54*0.921+6.5963</f>
        <v>238.35512723690002</v>
      </c>
      <c r="AL182" s="10" t="str">
        <f t="shared" si="50"/>
        <v>FALSE</v>
      </c>
      <c r="AM182" s="10" t="str">
        <f t="shared" si="50"/>
        <v>y=-59.51*0.921^2+334.39*0.921-4.4</v>
      </c>
      <c r="AN182" s="10" t="str">
        <f t="shared" si="50"/>
        <v>y=-17.314*0.921^2+288.71*0.921+0.4726</v>
      </c>
      <c r="AO182" s="10" t="str">
        <f t="shared" si="51"/>
        <v>FALSE</v>
      </c>
      <c r="AP182" s="10" t="str">
        <f t="shared" si="51"/>
        <v>y=-0.9791*0.921^2+252.54*0.921+6.5963</v>
      </c>
      <c r="AQ182" s="10" t="b">
        <f>IF(AND(I182="TP",S182&lt;=150),VLOOKUP(AF182,TPCalibEq150!$AZ$2:$BB$166,3,),IF(AND(I182="TDP",S182&lt;=150),VLOOKUP(AF182,TPCalibEq150!$AZ$2:$BB$166,3,)))</f>
        <v>0</v>
      </c>
      <c r="AR182" s="10" t="str">
        <f>IF(AND(I182="TP",S182&lt;=300),VLOOKUP(AF182,TPCalibEq300!$AZ$2:$BB$166,3,),IF(AND(I182="TDP",S182&lt;=300),VLOOKUP(AF182,TPCalibEq300!$AZ$2:$BB$166,3,)))</f>
        <v>y=-59.51x2+334.39x-4.4</v>
      </c>
      <c r="AS182" s="10" t="str">
        <f>IF(AND(I182="TP",S182&lt;=500),VLOOKUP(AF182,TPCalibEq500!$AZ$2:$BB$165,3,),IF(AND(I182="TDP",S182&lt;=500),VLOOKUP(AF182,TPCalibEq500!$AZ$2:$BB$165,3,)))</f>
        <v>y=-17.314x2+288.71x+0.4726</v>
      </c>
      <c r="AT182" s="10" t="b">
        <f>IF(AND(I182="TN",S182&lt;=2800),VLOOKUP(AF182,TNCalibEq2500!$AZ$2:$BB$165,3,),IF(AND(I182="TDN",S182&lt;=2800),VLOOKUP(AF182,TNCalibEq2500!$AZ$2:$BB$165,3,)))</f>
        <v>0</v>
      </c>
      <c r="AU182" s="10" t="str">
        <f>IF(I182="TP",VLOOKUP(AF182,TPCalibEqFull!$AZ$2:$BB$165,3),IF(I182="TDP",VLOOKUP(AF182,TPCalibEqFull!$AZ$2:$BB$165,3),IF(I182="TDN",VLOOKUP(AF182,TNCalibEqFull!$AZ$2:$BB$164,3),IF(I182="TN",VLOOKUP(AF182,TNCalibEqFull!$AZ$2:$BB$164,3),FALSE))))</f>
        <v>y=-0.9791x2+252.54x+6.5963</v>
      </c>
      <c r="AV182" s="10" t="str">
        <f t="shared" si="52"/>
        <v>20240810 00:00:00-1000-18-Dp-1-SW-UKN</v>
      </c>
    </row>
    <row r="183" spans="1:48" s="10" customFormat="1" x14ac:dyDescent="0.3">
      <c r="A183" s="32">
        <v>45514</v>
      </c>
      <c r="B183" s="33">
        <v>0</v>
      </c>
      <c r="C183" s="10">
        <v>1000</v>
      </c>
      <c r="D183" s="10">
        <v>26</v>
      </c>
      <c r="E183" s="10" t="s">
        <v>953</v>
      </c>
      <c r="F183" s="10">
        <v>1</v>
      </c>
      <c r="G183" s="10" t="s">
        <v>72</v>
      </c>
      <c r="H183" s="10" t="s">
        <v>239</v>
      </c>
      <c r="I183" s="10" t="s">
        <v>81</v>
      </c>
      <c r="J183" s="10">
        <v>31</v>
      </c>
      <c r="K183" s="12">
        <v>45686</v>
      </c>
      <c r="L183" s="33">
        <v>0.65913194444444445</v>
      </c>
      <c r="M183" s="10">
        <v>1</v>
      </c>
      <c r="N183" s="10" t="s">
        <v>82</v>
      </c>
      <c r="O183" s="10">
        <v>1.0900000000000001</v>
      </c>
      <c r="P183" s="10">
        <v>0.11899999999999999</v>
      </c>
      <c r="Q183" s="10">
        <v>277</v>
      </c>
      <c r="R183" s="10" t="s">
        <v>83</v>
      </c>
      <c r="S183" s="34">
        <f t="shared" si="46"/>
        <v>294.59573659999995</v>
      </c>
      <c r="T183" s="10" t="s">
        <v>962</v>
      </c>
      <c r="U183" s="34" t="str">
        <f t="shared" si="49"/>
        <v/>
      </c>
      <c r="V183" s="31" t="str">
        <f>IF(H183="CHK",VLOOKUP(I183,QCCHK,3,),IF(H183="GUP",VLOOKUP(E183,QCGUP,2,),IF(AND(H183="ATP",OR(I183="TN",I183="TDN",I183="TNO2-3",I183="NO2-3")),VLOOKUP(E183,QCREC_N,2,),IF(AND(H183="NIC",OR(I183="TN",I183="TDN",I183="TNO2-3",I183="NO2-3")),VLOOKUP(E183,QCNIC_N,2,),IF(AND(H183="UREA",OR(I183="TN",I183="TDN",I183="TNO2-3",I183="NO2-3")),VLOOKUP(E183,QCUREA_N,2,),IF(H183="PER",VLOOKUP(I183,QCPER,MATCH(E183,QCACTUAL!$J$25:$AA$25,0),),IF(H183="SPK",VLOOKUP(I183,QCSPK,3,),IF(AND(H183="ATP",OR(I183="TP",I183="TDP")),VLOOKUP(E183,QCATP_P,2,),""))))))))</f>
        <v/>
      </c>
      <c r="W183" s="31" t="str">
        <f t="shared" si="47"/>
        <v>TRUE</v>
      </c>
      <c r="X183" s="31" t="str">
        <f t="shared" si="48"/>
        <v/>
      </c>
      <c r="Y183" s="10" t="s">
        <v>961</v>
      </c>
      <c r="AF183" s="12">
        <v>45686</v>
      </c>
      <c r="AH183" s="10">
        <f>-59.51*1.09^2+334.39*1.09-4.4</f>
        <v>289.38126899999997</v>
      </c>
      <c r="AI183" s="10">
        <f>-17.314*1.09^2+288.71*1.09+0.4726</f>
        <v>294.59573659999995</v>
      </c>
      <c r="AK183" s="10">
        <f>-0.9791*1.09^2+252.54*1.09+6.5963</f>
        <v>280.70163128999997</v>
      </c>
      <c r="AL183" s="10" t="str">
        <f t="shared" si="50"/>
        <v>FALSE</v>
      </c>
      <c r="AM183" s="10" t="str">
        <f t="shared" si="50"/>
        <v>y=-59.51*1.09^2+334.39*1.09-4.4</v>
      </c>
      <c r="AN183" s="10" t="str">
        <f t="shared" si="50"/>
        <v>y=-17.314*1.09^2+288.71*1.09+0.4726</v>
      </c>
      <c r="AO183" s="10" t="str">
        <f t="shared" si="51"/>
        <v>FALSE</v>
      </c>
      <c r="AP183" s="10" t="str">
        <f t="shared" si="51"/>
        <v>y=-0.9791*1.09^2+252.54*1.09+6.5963</v>
      </c>
      <c r="AQ183" s="10" t="b">
        <f>IF(AND(I183="TP",S183&lt;=150),VLOOKUP(AF183,TPCalibEq150!$AZ$2:$BB$166,3,),IF(AND(I183="TDP",S183&lt;=150),VLOOKUP(AF183,TPCalibEq150!$AZ$2:$BB$166,3,)))</f>
        <v>0</v>
      </c>
      <c r="AR183" s="10" t="str">
        <f>IF(AND(I183="TP",S183&lt;=300),VLOOKUP(AF183,TPCalibEq300!$AZ$2:$BB$166,3,),IF(AND(I183="TDP",S183&lt;=300),VLOOKUP(AF183,TPCalibEq300!$AZ$2:$BB$166,3,)))</f>
        <v>y=-59.51x2+334.39x-4.4</v>
      </c>
      <c r="AS183" s="10" t="str">
        <f>IF(AND(I183="TP",S183&lt;=500),VLOOKUP(AF183,TPCalibEq500!$AZ$2:$BB$165,3,),IF(AND(I183="TDP",S183&lt;=500),VLOOKUP(AF183,TPCalibEq500!$AZ$2:$BB$165,3,)))</f>
        <v>y=-17.314x2+288.71x+0.4726</v>
      </c>
      <c r="AT183" s="10" t="b">
        <f>IF(AND(I183="TN",S183&lt;=2800),VLOOKUP(AF183,TNCalibEq2500!$AZ$2:$BB$165,3,),IF(AND(I183="TDN",S183&lt;=2800),VLOOKUP(AF183,TNCalibEq2500!$AZ$2:$BB$165,3,)))</f>
        <v>0</v>
      </c>
      <c r="AU183" s="10" t="str">
        <f>IF(I183="TP",VLOOKUP(AF183,TPCalibEqFull!$AZ$2:$BB$165,3),IF(I183="TDP",VLOOKUP(AF183,TPCalibEqFull!$AZ$2:$BB$165,3),IF(I183="TDN",VLOOKUP(AF183,TNCalibEqFull!$AZ$2:$BB$164,3),IF(I183="TN",VLOOKUP(AF183,TNCalibEqFull!$AZ$2:$BB$164,3),FALSE))))</f>
        <v>y=-0.9791x2+252.54x+6.5963</v>
      </c>
      <c r="AV183" s="10" t="str">
        <f t="shared" si="52"/>
        <v>20240810 00:00:00-1000-26-Sh-1-DI-BLK</v>
      </c>
    </row>
    <row r="184" spans="1:48" s="10" customFormat="1" x14ac:dyDescent="0.3">
      <c r="A184" s="32">
        <v>45514</v>
      </c>
      <c r="B184" s="33">
        <v>0</v>
      </c>
      <c r="C184" s="10">
        <v>1000</v>
      </c>
      <c r="D184" s="10">
        <v>26</v>
      </c>
      <c r="E184" s="10" t="s">
        <v>953</v>
      </c>
      <c r="F184" s="10">
        <v>1</v>
      </c>
      <c r="G184" s="10" t="s">
        <v>229</v>
      </c>
      <c r="H184" s="10" t="s">
        <v>320</v>
      </c>
      <c r="I184" s="10" t="s">
        <v>81</v>
      </c>
      <c r="J184" s="10">
        <v>32</v>
      </c>
      <c r="K184" s="12">
        <v>45686</v>
      </c>
      <c r="L184" s="33">
        <v>0.65971064814814817</v>
      </c>
      <c r="M184" s="10">
        <v>1</v>
      </c>
      <c r="N184" s="10" t="s">
        <v>82</v>
      </c>
      <c r="O184" s="10">
        <v>1.03</v>
      </c>
      <c r="P184" s="10">
        <v>0.112</v>
      </c>
      <c r="Q184" s="10">
        <v>262</v>
      </c>
      <c r="R184" s="10" t="s">
        <v>83</v>
      </c>
      <c r="S184" s="34">
        <f t="shared" si="46"/>
        <v>279.47547739999999</v>
      </c>
      <c r="T184" s="10" t="s">
        <v>962</v>
      </c>
      <c r="U184" s="34" t="str">
        <f t="shared" si="49"/>
        <v/>
      </c>
      <c r="V184" s="31" t="str">
        <f>IF(H184="CHK",VLOOKUP(I184,QCCHK,3,),IF(H184="GUP",VLOOKUP(E184,QCGUP,2,),IF(AND(H184="ATP",OR(I184="TN",I184="TDN",I184="TNO2-3",I184="NO2-3")),VLOOKUP(E184,QCREC_N,2,),IF(AND(H184="NIC",OR(I184="TN",I184="TDN",I184="TNO2-3",I184="NO2-3")),VLOOKUP(E184,QCNIC_N,2,),IF(AND(H184="UREA",OR(I184="TN",I184="TDN",I184="TNO2-3",I184="NO2-3")),VLOOKUP(E184,QCUREA_N,2,),IF(H184="PER",VLOOKUP(I184,QCPER,MATCH(E184,QCACTUAL!$J$25:$AA$25,0),),IF(H184="SPK",VLOOKUP(I184,QCSPK,3,),IF(AND(H184="ATP",OR(I184="TP",I184="TDP")),VLOOKUP(E184,QCATP_P,2,),""))))))))</f>
        <v/>
      </c>
      <c r="W184" s="31" t="str">
        <f t="shared" si="47"/>
        <v>TRUE</v>
      </c>
      <c r="X184" s="31" t="str">
        <f t="shared" si="48"/>
        <v/>
      </c>
      <c r="Y184" s="10" t="s">
        <v>961</v>
      </c>
      <c r="AF184" s="12">
        <v>45686</v>
      </c>
      <c r="AH184" s="10">
        <f>-59.51*1.03^2+334.39*1.03-4.4</f>
        <v>276.887541</v>
      </c>
      <c r="AI184" s="10">
        <f>-17.314*1.03^2+288.71*1.03+0.4726</f>
        <v>279.47547739999999</v>
      </c>
      <c r="AK184" s="10">
        <f>-0.9791*1.03^2+252.54*1.03+6.5963</f>
        <v>265.67377281</v>
      </c>
      <c r="AL184" s="10" t="str">
        <f t="shared" si="50"/>
        <v>FALSE</v>
      </c>
      <c r="AM184" s="10" t="str">
        <f t="shared" si="50"/>
        <v>y=-59.51*1.03^2+334.39*1.03-4.4</v>
      </c>
      <c r="AN184" s="10" t="str">
        <f t="shared" si="50"/>
        <v>y=-17.314*1.03^2+288.71*1.03+0.4726</v>
      </c>
      <c r="AO184" s="10" t="str">
        <f t="shared" si="51"/>
        <v>FALSE</v>
      </c>
      <c r="AP184" s="10" t="str">
        <f t="shared" si="51"/>
        <v>y=-0.9791*1.03^2+252.54*1.03+6.5963</v>
      </c>
      <c r="AQ184" s="10" t="b">
        <f>IF(AND(I184="TP",S184&lt;=150),VLOOKUP(AF184,TPCalibEq150!$AZ$2:$BB$166,3,),IF(AND(I184="TDP",S184&lt;=150),VLOOKUP(AF184,TPCalibEq150!$AZ$2:$BB$166,3,)))</f>
        <v>0</v>
      </c>
      <c r="AR184" s="10" t="str">
        <f>IF(AND(I184="TP",S184&lt;=300),VLOOKUP(AF184,TPCalibEq300!$AZ$2:$BB$166,3,),IF(AND(I184="TDP",S184&lt;=300),VLOOKUP(AF184,TPCalibEq300!$AZ$2:$BB$166,3,)))</f>
        <v>y=-59.51x2+334.39x-4.4</v>
      </c>
      <c r="AS184" s="10" t="str">
        <f>IF(AND(I184="TP",S184&lt;=500),VLOOKUP(AF184,TPCalibEq500!$AZ$2:$BB$165,3,),IF(AND(I184="TDP",S184&lt;=500),VLOOKUP(AF184,TPCalibEq500!$AZ$2:$BB$165,3,)))</f>
        <v>y=-17.314x2+288.71x+0.4726</v>
      </c>
      <c r="AT184" s="10" t="b">
        <f>IF(AND(I184="TN",S184&lt;=2800),VLOOKUP(AF184,TNCalibEq2500!$AZ$2:$BB$165,3,),IF(AND(I184="TDN",S184&lt;=2800),VLOOKUP(AF184,TNCalibEq2500!$AZ$2:$BB$165,3,)))</f>
        <v>0</v>
      </c>
      <c r="AU184" s="10" t="str">
        <f>IF(I184="TP",VLOOKUP(AF184,TPCalibEqFull!$AZ$2:$BB$165,3),IF(I184="TDP",VLOOKUP(AF184,TPCalibEqFull!$AZ$2:$BB$165,3),IF(I184="TDN",VLOOKUP(AF184,TNCalibEqFull!$AZ$2:$BB$164,3),IF(I184="TN",VLOOKUP(AF184,TNCalibEqFull!$AZ$2:$BB$164,3),FALSE))))</f>
        <v>y=-0.9791x2+252.54x+6.5963</v>
      </c>
      <c r="AV184" s="10" t="str">
        <f t="shared" si="52"/>
        <v>20240810 00:00:00-1000-26-Sh-1-SW-UKN</v>
      </c>
    </row>
    <row r="185" spans="1:48" s="10" customFormat="1" x14ac:dyDescent="0.3">
      <c r="A185" s="32">
        <v>45514</v>
      </c>
      <c r="B185" s="33">
        <v>0</v>
      </c>
      <c r="C185" s="10">
        <v>1000</v>
      </c>
      <c r="D185" s="10">
        <v>26</v>
      </c>
      <c r="E185" s="10" t="s">
        <v>953</v>
      </c>
      <c r="F185" s="10">
        <v>2</v>
      </c>
      <c r="G185" s="10" t="s">
        <v>229</v>
      </c>
      <c r="H185" s="10" t="s">
        <v>320</v>
      </c>
      <c r="I185" s="10" t="s">
        <v>81</v>
      </c>
      <c r="J185" s="10">
        <v>33</v>
      </c>
      <c r="K185" s="12">
        <v>45686</v>
      </c>
      <c r="L185" s="33">
        <v>0.66028935185185189</v>
      </c>
      <c r="M185" s="10">
        <v>1</v>
      </c>
      <c r="N185" s="10" t="s">
        <v>82</v>
      </c>
      <c r="O185" s="10">
        <v>0.57799999999999996</v>
      </c>
      <c r="P185" s="10">
        <v>6.2E-2</v>
      </c>
      <c r="Q185" s="10">
        <v>151</v>
      </c>
      <c r="R185" s="10" t="s">
        <v>83</v>
      </c>
      <c r="S185" s="34">
        <f t="shared" si="46"/>
        <v>168.99608115999999</v>
      </c>
      <c r="T185" s="10" t="s">
        <v>962</v>
      </c>
      <c r="U185" s="34" t="str">
        <f t="shared" si="49"/>
        <v/>
      </c>
      <c r="V185" s="31" t="str">
        <f>IF(H185="CHK",VLOOKUP(I185,QCCHK,3,),IF(H185="GUP",VLOOKUP(E185,QCGUP,2,),IF(AND(H185="ATP",OR(I185="TN",I185="TDN",I185="TNO2-3",I185="NO2-3")),VLOOKUP(E185,QCREC_N,2,),IF(AND(H185="NIC",OR(I185="TN",I185="TDN",I185="TNO2-3",I185="NO2-3")),VLOOKUP(E185,QCNIC_N,2,),IF(AND(H185="UREA",OR(I185="TN",I185="TDN",I185="TNO2-3",I185="NO2-3")),VLOOKUP(E185,QCUREA_N,2,),IF(H185="PER",VLOOKUP(I185,QCPER,MATCH(E185,QCACTUAL!$J$25:$AA$25,0),),IF(H185="SPK",VLOOKUP(I185,QCSPK,3,),IF(AND(H185="ATP",OR(I185="TP",I185="TDP")),VLOOKUP(E185,QCATP_P,2,),""))))))))</f>
        <v/>
      </c>
      <c r="W185" s="31" t="str">
        <f t="shared" si="47"/>
        <v>TRUE</v>
      </c>
      <c r="X185" s="31" t="str">
        <f t="shared" si="48"/>
        <v/>
      </c>
      <c r="Y185" s="10" t="s">
        <v>961</v>
      </c>
      <c r="AF185" s="12">
        <v>45686</v>
      </c>
      <c r="AH185" s="10">
        <f>-59.51*0.578^2+334.39*0.578-4.4</f>
        <v>168.99608115999999</v>
      </c>
      <c r="AI185" s="10">
        <f>-17.314*0.578^2+288.71*0.578+0.4726</f>
        <v>161.56264962399999</v>
      </c>
      <c r="AK185" s="10">
        <f>-0.9791*0.578^2+252.54*0.578+6.5963</f>
        <v>152.23731835560002</v>
      </c>
      <c r="AL185" s="10" t="str">
        <f t="shared" si="50"/>
        <v>FALSE</v>
      </c>
      <c r="AM185" s="10" t="str">
        <f t="shared" si="50"/>
        <v>y=-59.51*0.578^2+334.39*0.578-4.4</v>
      </c>
      <c r="AN185" s="10" t="str">
        <f t="shared" si="50"/>
        <v>y=-17.314*0.578^2+288.71*0.578+0.4726</v>
      </c>
      <c r="AO185" s="10" t="str">
        <f t="shared" si="51"/>
        <v>FALSE</v>
      </c>
      <c r="AP185" s="10" t="str">
        <f t="shared" si="51"/>
        <v>y=-0.9791*0.578^2+252.54*0.578+6.5963</v>
      </c>
      <c r="AQ185" s="10" t="b">
        <f>IF(AND(I185="TP",S185&lt;=150),VLOOKUP(AF185,TPCalibEq150!$AZ$2:$BB$166,3,),IF(AND(I185="TDP",S185&lt;=150),VLOOKUP(AF185,TPCalibEq150!$AZ$2:$BB$166,3,)))</f>
        <v>0</v>
      </c>
      <c r="AR185" s="10" t="str">
        <f>IF(AND(I185="TP",S185&lt;=300),VLOOKUP(AF185,TPCalibEq300!$AZ$2:$BB$166,3,),IF(AND(I185="TDP",S185&lt;=300),VLOOKUP(AF185,TPCalibEq300!$AZ$2:$BB$166,3,)))</f>
        <v>y=-59.51x2+334.39x-4.4</v>
      </c>
      <c r="AS185" s="10" t="str">
        <f>IF(AND(I185="TP",S185&lt;=500),VLOOKUP(AF185,TPCalibEq500!$AZ$2:$BB$165,3,),IF(AND(I185="TDP",S185&lt;=500),VLOOKUP(AF185,TPCalibEq500!$AZ$2:$BB$165,3,)))</f>
        <v>y=-17.314x2+288.71x+0.4726</v>
      </c>
      <c r="AT185" s="10" t="b">
        <f>IF(AND(I185="TN",S185&lt;=2800),VLOOKUP(AF185,TNCalibEq2500!$AZ$2:$BB$165,3,),IF(AND(I185="TDN",S185&lt;=2800),VLOOKUP(AF185,TNCalibEq2500!$AZ$2:$BB$165,3,)))</f>
        <v>0</v>
      </c>
      <c r="AU185" s="10" t="str">
        <f>IF(I185="TP",VLOOKUP(AF185,TPCalibEqFull!$AZ$2:$BB$165,3),IF(I185="TDP",VLOOKUP(AF185,TPCalibEqFull!$AZ$2:$BB$165,3),IF(I185="TDN",VLOOKUP(AF185,TNCalibEqFull!$AZ$2:$BB$164,3),IF(I185="TN",VLOOKUP(AF185,TNCalibEqFull!$AZ$2:$BB$164,3),FALSE))))</f>
        <v>y=-0.9791x2+252.54x+6.5963</v>
      </c>
      <c r="AV185" s="10" t="str">
        <f t="shared" si="52"/>
        <v>20240810 00:00:00-1000-26-Sh-2-SW-UKN</v>
      </c>
    </row>
    <row r="186" spans="1:48" s="10" customFormat="1" x14ac:dyDescent="0.3">
      <c r="A186" s="32">
        <v>45514</v>
      </c>
      <c r="B186" s="33">
        <v>0</v>
      </c>
      <c r="C186" s="10">
        <v>1000</v>
      </c>
      <c r="D186" s="10">
        <v>26</v>
      </c>
      <c r="E186" s="10" t="s">
        <v>954</v>
      </c>
      <c r="F186" s="10">
        <v>1</v>
      </c>
      <c r="G186" s="10" t="s">
        <v>229</v>
      </c>
      <c r="H186" s="10" t="s">
        <v>320</v>
      </c>
      <c r="I186" s="10" t="s">
        <v>81</v>
      </c>
      <c r="J186" s="10">
        <v>34</v>
      </c>
      <c r="K186" s="12">
        <v>45686</v>
      </c>
      <c r="L186" s="33">
        <v>0.66086805555555561</v>
      </c>
      <c r="M186" s="10">
        <v>1</v>
      </c>
      <c r="N186" s="10" t="s">
        <v>82</v>
      </c>
      <c r="O186" s="10">
        <v>1.02</v>
      </c>
      <c r="P186" s="10">
        <v>0.112</v>
      </c>
      <c r="Q186" s="10">
        <v>261</v>
      </c>
      <c r="R186" s="10" t="s">
        <v>83</v>
      </c>
      <c r="S186" s="34">
        <f t="shared" si="46"/>
        <v>276.94331439999996</v>
      </c>
      <c r="T186" s="10" t="s">
        <v>962</v>
      </c>
      <c r="U186" s="34" t="str">
        <f t="shared" si="49"/>
        <v/>
      </c>
      <c r="V186" s="31" t="str">
        <f>IF(H186="CHK",VLOOKUP(I186,QCCHK,3,),IF(H186="GUP",VLOOKUP(E186,QCGUP,2,),IF(AND(H186="ATP",OR(I186="TN",I186="TDN",I186="TNO2-3",I186="NO2-3")),VLOOKUP(E186,QCREC_N,2,),IF(AND(H186="NIC",OR(I186="TN",I186="TDN",I186="TNO2-3",I186="NO2-3")),VLOOKUP(E186,QCNIC_N,2,),IF(AND(H186="UREA",OR(I186="TN",I186="TDN",I186="TNO2-3",I186="NO2-3")),VLOOKUP(E186,QCUREA_N,2,),IF(H186="PER",VLOOKUP(I186,QCPER,MATCH(E186,QCACTUAL!$J$25:$AA$25,0),),IF(H186="SPK",VLOOKUP(I186,QCSPK,3,),IF(AND(H186="ATP",OR(I186="TP",I186="TDP")),VLOOKUP(E186,QCATP_P,2,),""))))))))</f>
        <v/>
      </c>
      <c r="W186" s="31" t="str">
        <f t="shared" si="47"/>
        <v>TRUE</v>
      </c>
      <c r="X186" s="31" t="str">
        <f t="shared" si="48"/>
        <v/>
      </c>
      <c r="Y186" s="10" t="s">
        <v>961</v>
      </c>
      <c r="AF186" s="12">
        <v>45686</v>
      </c>
      <c r="AH186" s="10">
        <f>-59.51*1.02^2+334.39*1.02-4.4</f>
        <v>274.76359600000001</v>
      </c>
      <c r="AI186" s="10">
        <f>-17.314*1.02^2+288.71*1.02+0.4726</f>
        <v>276.94331439999996</v>
      </c>
      <c r="AK186" s="10">
        <f>-0.9791*1.02^2+252.54*1.02+6.5963</f>
        <v>263.16844435999997</v>
      </c>
      <c r="AL186" s="10" t="str">
        <f t="shared" si="50"/>
        <v>FALSE</v>
      </c>
      <c r="AM186" s="10" t="str">
        <f t="shared" si="50"/>
        <v>y=-59.51*1.02^2+334.39*1.02-4.4</v>
      </c>
      <c r="AN186" s="10" t="str">
        <f t="shared" si="50"/>
        <v>y=-17.314*1.02^2+288.71*1.02+0.4726</v>
      </c>
      <c r="AO186" s="10" t="str">
        <f t="shared" si="51"/>
        <v>FALSE</v>
      </c>
      <c r="AP186" s="10" t="str">
        <f t="shared" si="51"/>
        <v>y=-0.9791*1.02^2+252.54*1.02+6.5963</v>
      </c>
      <c r="AQ186" s="10" t="b">
        <f>IF(AND(I186="TP",S186&lt;=150),VLOOKUP(AF186,TPCalibEq150!$AZ$2:$BB$166,3,),IF(AND(I186="TDP",S186&lt;=150),VLOOKUP(AF186,TPCalibEq150!$AZ$2:$BB$166,3,)))</f>
        <v>0</v>
      </c>
      <c r="AR186" s="10" t="str">
        <f>IF(AND(I186="TP",S186&lt;=300),VLOOKUP(AF186,TPCalibEq300!$AZ$2:$BB$166,3,),IF(AND(I186="TDP",S186&lt;=300),VLOOKUP(AF186,TPCalibEq300!$AZ$2:$BB$166,3,)))</f>
        <v>y=-59.51x2+334.39x-4.4</v>
      </c>
      <c r="AS186" s="10" t="str">
        <f>IF(AND(I186="TP",S186&lt;=500),VLOOKUP(AF186,TPCalibEq500!$AZ$2:$BB$165,3,),IF(AND(I186="TDP",S186&lt;=500),VLOOKUP(AF186,TPCalibEq500!$AZ$2:$BB$165,3,)))</f>
        <v>y=-17.314x2+288.71x+0.4726</v>
      </c>
      <c r="AT186" s="10" t="b">
        <f>IF(AND(I186="TN",S186&lt;=2800),VLOOKUP(AF186,TNCalibEq2500!$AZ$2:$BB$165,3,),IF(AND(I186="TDN",S186&lt;=2800),VLOOKUP(AF186,TNCalibEq2500!$AZ$2:$BB$165,3,)))</f>
        <v>0</v>
      </c>
      <c r="AU186" s="10" t="str">
        <f>IF(I186="TP",VLOOKUP(AF186,TPCalibEqFull!$AZ$2:$BB$165,3),IF(I186="TDP",VLOOKUP(AF186,TPCalibEqFull!$AZ$2:$BB$165,3),IF(I186="TDN",VLOOKUP(AF186,TNCalibEqFull!$AZ$2:$BB$164,3),IF(I186="TN",VLOOKUP(AF186,TNCalibEqFull!$AZ$2:$BB$164,3),FALSE))))</f>
        <v>y=-0.9791x2+252.54x+6.5963</v>
      </c>
      <c r="AV186" s="10" t="str">
        <f t="shared" si="52"/>
        <v>20240810 00:00:00-1000-26-Dp-1-SW-UKN</v>
      </c>
    </row>
    <row r="187" spans="1:48" s="10" customFormat="1" x14ac:dyDescent="0.3">
      <c r="A187" s="32">
        <v>45514</v>
      </c>
      <c r="B187" s="33">
        <v>0</v>
      </c>
      <c r="C187" s="10">
        <v>1000</v>
      </c>
      <c r="D187" s="10">
        <v>26</v>
      </c>
      <c r="E187" s="10" t="s">
        <v>953</v>
      </c>
      <c r="F187" s="10">
        <v>1</v>
      </c>
      <c r="G187" s="10" t="s">
        <v>229</v>
      </c>
      <c r="H187" s="10" t="s">
        <v>231</v>
      </c>
      <c r="I187" s="10" t="s">
        <v>81</v>
      </c>
      <c r="J187" s="10">
        <v>34</v>
      </c>
      <c r="K187" s="12">
        <v>45686</v>
      </c>
      <c r="L187" s="33">
        <v>0.66144675925925933</v>
      </c>
      <c r="M187" s="10">
        <v>1</v>
      </c>
      <c r="N187" s="10" t="s">
        <v>82</v>
      </c>
      <c r="O187" s="10">
        <v>1.02</v>
      </c>
      <c r="P187" s="10">
        <v>0.112</v>
      </c>
      <c r="Q187" s="10">
        <v>261</v>
      </c>
      <c r="R187" s="10" t="s">
        <v>83</v>
      </c>
      <c r="S187" s="34">
        <f t="shared" si="46"/>
        <v>276.94331439999996</v>
      </c>
      <c r="T187" s="10" t="s">
        <v>962</v>
      </c>
      <c r="U187" s="34">
        <f t="shared" si="49"/>
        <v>0</v>
      </c>
      <c r="V187" s="31" t="str">
        <f>IF(H187="CHK",VLOOKUP(I187,QCCHK,3,),IF(H187="GUP",VLOOKUP(E187,QCGUP,2,),IF(AND(H187="ATP",OR(I187="TN",I187="TDN",I187="TNO2-3",I187="NO2-3")),VLOOKUP(E187,QCREC_N,2,),IF(AND(H187="NIC",OR(I187="TN",I187="TDN",I187="TNO2-3",I187="NO2-3")),VLOOKUP(E187,QCNIC_N,2,),IF(AND(H187="UREA",OR(I187="TN",I187="TDN",I187="TNO2-3",I187="NO2-3")),VLOOKUP(E187,QCUREA_N,2,),IF(H187="PER",VLOOKUP(I187,QCPER,MATCH(E187,QCACTUAL!$J$25:$AA$25,0),),IF(H187="SPK",VLOOKUP(I187,QCSPK,3,),IF(AND(H187="ATP",OR(I187="TP",I187="TDP")),VLOOKUP(E187,QCATP_P,2,),""))))))))</f>
        <v/>
      </c>
      <c r="W187" s="31" t="str">
        <f t="shared" si="47"/>
        <v>TRUE</v>
      </c>
      <c r="X187" s="31" t="str">
        <f t="shared" si="48"/>
        <v>((ABS(rep1-rep2))/((rep1+rep2)/2)*100</v>
      </c>
      <c r="Y187" s="10" t="s">
        <v>961</v>
      </c>
      <c r="AF187" s="12">
        <v>45686</v>
      </c>
      <c r="AH187" s="10">
        <f>-59.51*1.02^2+334.39*1.02-4.4</f>
        <v>274.76359600000001</v>
      </c>
      <c r="AI187" s="10">
        <f>-17.314*1.02^2+288.71*1.02+0.4726</f>
        <v>276.94331439999996</v>
      </c>
      <c r="AK187" s="10">
        <f>-0.9791*1.02^2+252.54*1.02+6.5963</f>
        <v>263.16844435999997</v>
      </c>
      <c r="AL187" s="10" t="str">
        <f t="shared" si="50"/>
        <v>FALSE</v>
      </c>
      <c r="AM187" s="10" t="str">
        <f t="shared" si="50"/>
        <v>y=-59.51*1.02^2+334.39*1.02-4.4</v>
      </c>
      <c r="AN187" s="10" t="str">
        <f t="shared" si="50"/>
        <v>y=-17.314*1.02^2+288.71*1.02+0.4726</v>
      </c>
      <c r="AO187" s="10" t="str">
        <f t="shared" si="51"/>
        <v>FALSE</v>
      </c>
      <c r="AP187" s="10" t="str">
        <f t="shared" si="51"/>
        <v>y=-0.9791*1.02^2+252.54*1.02+6.5963</v>
      </c>
      <c r="AQ187" s="10" t="b">
        <f>IF(AND(I187="TP",S187&lt;=150),VLOOKUP(AF187,TPCalibEq150!$AZ$2:$BB$166,3,),IF(AND(I187="TDP",S187&lt;=150),VLOOKUP(AF187,TPCalibEq150!$AZ$2:$BB$166,3,)))</f>
        <v>0</v>
      </c>
      <c r="AR187" s="10" t="str">
        <f>IF(AND(I187="TP",S187&lt;=300),VLOOKUP(AF187,TPCalibEq300!$AZ$2:$BB$166,3,),IF(AND(I187="TDP",S187&lt;=300),VLOOKUP(AF187,TPCalibEq300!$AZ$2:$BB$166,3,)))</f>
        <v>y=-59.51x2+334.39x-4.4</v>
      </c>
      <c r="AS187" s="10" t="str">
        <f>IF(AND(I187="TP",S187&lt;=500),VLOOKUP(AF187,TPCalibEq500!$AZ$2:$BB$165,3,),IF(AND(I187="TDP",S187&lt;=500),VLOOKUP(AF187,TPCalibEq500!$AZ$2:$BB$165,3,)))</f>
        <v>y=-17.314x2+288.71x+0.4726</v>
      </c>
      <c r="AT187" s="10" t="b">
        <f>IF(AND(I187="TN",S187&lt;=2800),VLOOKUP(AF187,TNCalibEq2500!$AZ$2:$BB$165,3,),IF(AND(I187="TDN",S187&lt;=2800),VLOOKUP(AF187,TNCalibEq2500!$AZ$2:$BB$165,3,)))</f>
        <v>0</v>
      </c>
      <c r="AU187" s="10" t="str">
        <f>IF(I187="TP",VLOOKUP(AF187,TPCalibEqFull!$AZ$2:$BB$165,3),IF(I187="TDP",VLOOKUP(AF187,TPCalibEqFull!$AZ$2:$BB$165,3),IF(I187="TDN",VLOOKUP(AF187,TNCalibEqFull!$AZ$2:$BB$164,3),IF(I187="TN",VLOOKUP(AF187,TNCalibEqFull!$AZ$2:$BB$164,3),FALSE))))</f>
        <v>y=-0.9791x2+252.54x+6.5963</v>
      </c>
      <c r="AV187" s="10" t="str">
        <f t="shared" si="52"/>
        <v>20240810 00:00:00-1000-26-Sh-1-SW-DUP</v>
      </c>
    </row>
    <row r="188" spans="1:48" s="10" customFormat="1" x14ac:dyDescent="0.3">
      <c r="A188" s="32">
        <v>45500</v>
      </c>
      <c r="B188" s="33">
        <v>0</v>
      </c>
      <c r="C188" s="10">
        <v>1000</v>
      </c>
      <c r="D188" s="10" t="s">
        <v>992</v>
      </c>
      <c r="E188" s="10" t="s">
        <v>953</v>
      </c>
      <c r="F188" s="10">
        <v>1</v>
      </c>
      <c r="G188" s="10" t="s">
        <v>72</v>
      </c>
      <c r="H188" s="10" t="s">
        <v>239</v>
      </c>
      <c r="I188" s="10" t="s">
        <v>322</v>
      </c>
      <c r="J188" s="10">
        <v>1</v>
      </c>
      <c r="K188" s="12">
        <v>45688</v>
      </c>
      <c r="L188" s="33">
        <v>0.44859953703703703</v>
      </c>
      <c r="M188" s="10">
        <v>1</v>
      </c>
      <c r="N188" s="10" t="s">
        <v>256</v>
      </c>
      <c r="O188" s="10">
        <v>3.8699999999999998E-2</v>
      </c>
      <c r="P188" s="10">
        <v>1.7099999999999999E-3</v>
      </c>
      <c r="Q188" s="10">
        <v>3.97</v>
      </c>
      <c r="R188" s="10" t="s">
        <v>168</v>
      </c>
      <c r="S188" s="34">
        <f t="shared" si="46"/>
        <v>3.97</v>
      </c>
      <c r="T188" s="10" t="s">
        <v>968</v>
      </c>
      <c r="U188" s="34" t="str">
        <f>IF(OR(H188="CHK",H188="ATP",H188="GUP",H188="PER", H188="NIC", H188="UREA"),(S188/V188*100),IF(H188="DUP",((ABS(S188-#REF!))/((#REF!+S188)/2))*100,IF(H188="SPK",((S188-#REF!)/V188*100),IF(OR(H188="LAB",H188="FLD",H188="ESF"),S188,""))))</f>
        <v/>
      </c>
      <c r="V188" s="31" t="str">
        <f>IF(H188="CHK",VLOOKUP(I188,QCCHK,3,),IF(H188="GUP",VLOOKUP(E188,QCGUP,2,),IF(AND(H188="ATP",OR(I188="TN",I188="TDN",I188="TNO2-3",I188="NO2-3")),VLOOKUP(E188,QCREC_N,2,),IF(AND(H188="NIC",OR(I188="TN",I188="TDN",I188="TNO2-3",I188="NO2-3")),VLOOKUP(E188,QCNIC_N,2,),IF(AND(H188="UREA",OR(I188="TN",I188="TDN",I188="TNO2-3",I188="NO2-3")),VLOOKUP(E188,QCUREA_N,2,),IF(H188="PER",VLOOKUP(I188,QCPER,MATCH(E188,QCACTUAL!$J$25:$AA$25,0),),IF(H188="SPK",VLOOKUP(I188,QCSPK,3,),IF(AND(H188="ATP",OR(I188="TP",I188="TDP")),VLOOKUP(E188,QCATP_P,2,),""))))))))</f>
        <v/>
      </c>
      <c r="W188" s="31" t="str">
        <f t="shared" si="47"/>
        <v>TRUE</v>
      </c>
      <c r="X188" s="31" t="str">
        <f t="shared" si="48"/>
        <v/>
      </c>
      <c r="Y188" s="10" t="s">
        <v>967</v>
      </c>
      <c r="AL188" s="10" t="str">
        <f t="shared" ref="AL188:AN223" si="53">IF($O188="", "", IF(AQ188&lt;&gt;"", SUBSTITUTE(SUBSTITUTE(AQ188, "x", "*"&amp;$O188&amp;"^", 1), "x", "*"&amp;$O188, 1), ""))</f>
        <v>FALSE</v>
      </c>
      <c r="AM188" s="10" t="str">
        <f t="shared" si="53"/>
        <v>FALSE</v>
      </c>
      <c r="AN188" s="10" t="str">
        <f t="shared" si="53"/>
        <v>FALSE</v>
      </c>
      <c r="AO188" s="10" t="str">
        <f t="shared" ref="AO188:AP223" si="54">IF($O188="", "FALSE", IF(AT188&lt;&gt;"FALSE", SUBSTITUTE(SUBSTITUTE(AT188, "x", "*"&amp;$O188&amp;"^", 1), "x", "*"&amp;$O188, 1), ""))</f>
        <v>FALSE</v>
      </c>
      <c r="AP188" s="10" t="str">
        <f t="shared" si="54"/>
        <v>FALSE</v>
      </c>
      <c r="AQ188" s="10" t="b">
        <f>IF(AND(I188="TP",S188&lt;=150),VLOOKUP(AF188,TPCalibEq150!$AZ$2:$BB$166,3,),IF(AND(I188="TDP",S188&lt;=150),VLOOKUP(AF188,TPCalibEq150!$AZ$2:$BB$166,3,)))</f>
        <v>0</v>
      </c>
      <c r="AR188" s="10" t="b">
        <f>IF(AND(I188="TP",S188&lt;=300),VLOOKUP(AF188,TPCalibEq300!$AZ$2:$BB$166,3,),IF(AND(I188="TDP",S188&lt;=300),VLOOKUP(AF188,TPCalibEq300!$AZ$2:$BB$166,3,)))</f>
        <v>0</v>
      </c>
      <c r="AS188" s="10" t="b">
        <f>IF(AND(I188="TP",S188&lt;=500),VLOOKUP(AF188,TPCalibEq500!$AZ$2:$BB$165,3,),IF(AND(I188="TDP",S188&lt;=500),VLOOKUP(AF188,TPCalibEq500!$AZ$2:$BB$165,3,)))</f>
        <v>0</v>
      </c>
      <c r="AT188" s="10" t="b">
        <f>IF(AND(I188="TN",S188&lt;=2800),VLOOKUP(AF188,TNCalibEq2500!$AZ$2:$BB$165,3,),IF(AND(I188="TDN",S188&lt;=2800),VLOOKUP(AF188,TNCalibEq2500!$AZ$2:$BB$165,3,)))</f>
        <v>0</v>
      </c>
      <c r="AU188" s="10" t="b">
        <f>IF(I188="TP",VLOOKUP(AF188,TPCalibEqFull!$AZ$2:$BB$165,3),IF(I188="TDP",VLOOKUP(AF188,TPCalibEqFull!$AZ$2:$BB$165,3),IF(I188="TDN",VLOOKUP(AF188,TNCalibEqFull!$AZ$2:$BB$164,3),IF(I188="TN",VLOOKUP(AF188,TNCalibEqFull!$AZ$2:$BB$164,3),FALSE))))</f>
        <v>0</v>
      </c>
      <c r="AV188" s="10" t="str">
        <f t="shared" si="52"/>
        <v>20240727 00:00:00-1000-1-Sh-1-DI-BLK</v>
      </c>
    </row>
    <row r="189" spans="1:48" s="10" customFormat="1" x14ac:dyDescent="0.3">
      <c r="A189" s="32">
        <v>45500</v>
      </c>
      <c r="B189" s="33">
        <v>0</v>
      </c>
      <c r="C189" s="10">
        <v>1000</v>
      </c>
      <c r="D189" s="10" t="s">
        <v>992</v>
      </c>
      <c r="E189" s="10" t="s">
        <v>953</v>
      </c>
      <c r="F189" s="10">
        <v>1</v>
      </c>
      <c r="G189" s="10" t="s">
        <v>229</v>
      </c>
      <c r="H189" s="10" t="s">
        <v>320</v>
      </c>
      <c r="I189" s="10" t="s">
        <v>322</v>
      </c>
      <c r="J189" s="10">
        <v>2</v>
      </c>
      <c r="K189" s="12">
        <v>45688</v>
      </c>
      <c r="L189" s="33">
        <v>0.44951388888888894</v>
      </c>
      <c r="M189" s="10">
        <v>1</v>
      </c>
      <c r="N189" s="10" t="s">
        <v>256</v>
      </c>
      <c r="O189" s="10">
        <v>3.8800000000000001E-2</v>
      </c>
      <c r="P189" s="10">
        <v>1.75E-3</v>
      </c>
      <c r="Q189" s="10">
        <v>3.98</v>
      </c>
      <c r="R189" s="10" t="s">
        <v>168</v>
      </c>
      <c r="S189" s="34">
        <f t="shared" si="46"/>
        <v>3.98</v>
      </c>
      <c r="T189" s="10" t="s">
        <v>968</v>
      </c>
      <c r="U189" s="34" t="str">
        <f t="shared" si="49"/>
        <v/>
      </c>
      <c r="V189" s="31" t="str">
        <f>IF(H189="CHK",VLOOKUP(I189,QCCHK,3,),IF(H189="GUP",VLOOKUP(E189,QCGUP,2,),IF(AND(H189="ATP",OR(I189="TN",I189="TDN",I189="TNO2-3",I189="NO2-3")),VLOOKUP(E189,QCREC_N,2,),IF(AND(H189="NIC",OR(I189="TN",I189="TDN",I189="TNO2-3",I189="NO2-3")),VLOOKUP(E189,QCNIC_N,2,),IF(AND(H189="UREA",OR(I189="TN",I189="TDN",I189="TNO2-3",I189="NO2-3")),VLOOKUP(E189,QCUREA_N,2,),IF(H189="PER",VLOOKUP(I189,QCPER,MATCH(E189,QCACTUAL!$J$25:$AA$25,0),),IF(H189="SPK",VLOOKUP(I189,QCSPK,3,),IF(AND(H189="ATP",OR(I189="TP",I189="TDP")),VLOOKUP(E189,QCATP_P,2,),""))))))))</f>
        <v/>
      </c>
      <c r="W189" s="31" t="str">
        <f t="shared" si="47"/>
        <v>TRUE</v>
      </c>
      <c r="X189" s="31" t="str">
        <f t="shared" si="48"/>
        <v/>
      </c>
      <c r="Y189" s="10" t="s">
        <v>967</v>
      </c>
      <c r="AL189" s="10" t="str">
        <f t="shared" si="53"/>
        <v>FALSE</v>
      </c>
      <c r="AM189" s="10" t="str">
        <f t="shared" si="53"/>
        <v>FALSE</v>
      </c>
      <c r="AN189" s="10" t="str">
        <f t="shared" si="53"/>
        <v>FALSE</v>
      </c>
      <c r="AO189" s="10" t="str">
        <f t="shared" si="54"/>
        <v>FALSE</v>
      </c>
      <c r="AP189" s="10" t="str">
        <f t="shared" si="54"/>
        <v>FALSE</v>
      </c>
      <c r="AQ189" s="10" t="b">
        <f>IF(AND(I189="TP",S189&lt;=150),VLOOKUP(AF189,TPCalibEq150!$AZ$2:$BB$166,3,),IF(AND(I189="TDP",S189&lt;=150),VLOOKUP(AF189,TPCalibEq150!$AZ$2:$BB$166,3,)))</f>
        <v>0</v>
      </c>
      <c r="AR189" s="10" t="b">
        <f>IF(AND(I189="TP",S189&lt;=300),VLOOKUP(AF189,TPCalibEq300!$AZ$2:$BB$166,3,),IF(AND(I189="TDP",S189&lt;=300),VLOOKUP(AF189,TPCalibEq300!$AZ$2:$BB$166,3,)))</f>
        <v>0</v>
      </c>
      <c r="AS189" s="10" t="b">
        <f>IF(AND(I189="TP",S189&lt;=500),VLOOKUP(AF189,TPCalibEq500!$AZ$2:$BB$165,3,),IF(AND(I189="TDP",S189&lt;=500),VLOOKUP(AF189,TPCalibEq500!$AZ$2:$BB$165,3,)))</f>
        <v>0</v>
      </c>
      <c r="AT189" s="10" t="b">
        <f>IF(AND(I189="TN",S189&lt;=2800),VLOOKUP(AF189,TNCalibEq2500!$AZ$2:$BB$165,3,),IF(AND(I189="TDN",S189&lt;=2800),VLOOKUP(AF189,TNCalibEq2500!$AZ$2:$BB$165,3,)))</f>
        <v>0</v>
      </c>
      <c r="AU189" s="10" t="b">
        <f>IF(I189="TP",VLOOKUP(AF189,TPCalibEqFull!$AZ$2:$BB$165,3),IF(I189="TDP",VLOOKUP(AF189,TPCalibEqFull!$AZ$2:$BB$165,3),IF(I189="TDN",VLOOKUP(AF189,TNCalibEqFull!$AZ$2:$BB$164,3),IF(I189="TN",VLOOKUP(AF189,TNCalibEqFull!$AZ$2:$BB$164,3),FALSE))))</f>
        <v>0</v>
      </c>
      <c r="AV189" s="10" t="str">
        <f t="shared" si="52"/>
        <v>20240727 00:00:00-1000-1-Sh-1-SW-UKN</v>
      </c>
    </row>
    <row r="190" spans="1:48" s="10" customFormat="1" x14ac:dyDescent="0.3">
      <c r="A190" s="32">
        <v>45507</v>
      </c>
      <c r="B190" s="33">
        <v>0</v>
      </c>
      <c r="C190" s="10">
        <v>1000</v>
      </c>
      <c r="D190" s="10" t="s">
        <v>992</v>
      </c>
      <c r="E190" s="10" t="s">
        <v>954</v>
      </c>
      <c r="F190" s="10">
        <v>1</v>
      </c>
      <c r="G190" s="10" t="s">
        <v>229</v>
      </c>
      <c r="H190" s="10" t="s">
        <v>320</v>
      </c>
      <c r="I190" s="10" t="s">
        <v>322</v>
      </c>
      <c r="J190" s="10">
        <v>3</v>
      </c>
      <c r="K190" s="12">
        <v>45688</v>
      </c>
      <c r="L190" s="33">
        <v>0.45041666666666669</v>
      </c>
      <c r="M190" s="10">
        <v>1</v>
      </c>
      <c r="N190" s="10" t="s">
        <v>256</v>
      </c>
      <c r="O190" s="10">
        <v>2.76E-2</v>
      </c>
      <c r="P190" s="10">
        <v>1.2800000000000001E-3</v>
      </c>
      <c r="Q190" s="10">
        <v>2.83</v>
      </c>
      <c r="R190" s="10" t="s">
        <v>168</v>
      </c>
      <c r="S190" s="34">
        <f t="shared" si="46"/>
        <v>2.83</v>
      </c>
      <c r="T190" s="10" t="s">
        <v>968</v>
      </c>
      <c r="U190" s="34" t="str">
        <f t="shared" si="49"/>
        <v/>
      </c>
      <c r="V190" s="31" t="str">
        <f>IF(H190="CHK",VLOOKUP(I190,QCCHK,3,),IF(H190="GUP",VLOOKUP(E190,QCGUP,2,),IF(AND(H190="ATP",OR(I190="TN",I190="TDN",I190="TNO2-3",I190="NO2-3")),VLOOKUP(E190,QCREC_N,2,),IF(AND(H190="NIC",OR(I190="TN",I190="TDN",I190="TNO2-3",I190="NO2-3")),VLOOKUP(E190,QCNIC_N,2,),IF(AND(H190="UREA",OR(I190="TN",I190="TDN",I190="TNO2-3",I190="NO2-3")),VLOOKUP(E190,QCUREA_N,2,),IF(H190="PER",VLOOKUP(I190,QCPER,MATCH(E190,QCACTUAL!$J$25:$AA$25,0),),IF(H190="SPK",VLOOKUP(I190,QCSPK,3,),IF(AND(H190="ATP",OR(I190="TP",I190="TDP")),VLOOKUP(E190,QCATP_P,2,),""))))))))</f>
        <v/>
      </c>
      <c r="W190" s="31" t="str">
        <f t="shared" si="47"/>
        <v>TRUE</v>
      </c>
      <c r="X190" s="31" t="str">
        <f t="shared" si="48"/>
        <v/>
      </c>
      <c r="Y190" s="10" t="s">
        <v>967</v>
      </c>
      <c r="AL190" s="10" t="str">
        <f t="shared" si="53"/>
        <v>FALSE</v>
      </c>
      <c r="AM190" s="10" t="str">
        <f t="shared" si="53"/>
        <v>FALSE</v>
      </c>
      <c r="AN190" s="10" t="str">
        <f t="shared" si="53"/>
        <v>FALSE</v>
      </c>
      <c r="AO190" s="10" t="str">
        <f t="shared" si="54"/>
        <v>FALSE</v>
      </c>
      <c r="AP190" s="10" t="str">
        <f t="shared" si="54"/>
        <v>FALSE</v>
      </c>
      <c r="AQ190" s="10" t="b">
        <f>IF(AND(I190="TP",S190&lt;=150),VLOOKUP(AF190,TPCalibEq150!$AZ$2:$BB$166,3,),IF(AND(I190="TDP",S190&lt;=150),VLOOKUP(AF190,TPCalibEq150!$AZ$2:$BB$166,3,)))</f>
        <v>0</v>
      </c>
      <c r="AR190" s="10" t="b">
        <f>IF(AND(I190="TP",S190&lt;=300),VLOOKUP(AF190,TPCalibEq300!$AZ$2:$BB$166,3,),IF(AND(I190="TDP",S190&lt;=300),VLOOKUP(AF190,TPCalibEq300!$AZ$2:$BB$166,3,)))</f>
        <v>0</v>
      </c>
      <c r="AS190" s="10" t="b">
        <f>IF(AND(I190="TP",S190&lt;=500),VLOOKUP(AF190,TPCalibEq500!$AZ$2:$BB$165,3,),IF(AND(I190="TDP",S190&lt;=500),VLOOKUP(AF190,TPCalibEq500!$AZ$2:$BB$165,3,)))</f>
        <v>0</v>
      </c>
      <c r="AT190" s="10" t="b">
        <f>IF(AND(I190="TN",S190&lt;=2800),VLOOKUP(AF190,TNCalibEq2500!$AZ$2:$BB$165,3,),IF(AND(I190="TDN",S190&lt;=2800),VLOOKUP(AF190,TNCalibEq2500!$AZ$2:$BB$165,3,)))</f>
        <v>0</v>
      </c>
      <c r="AU190" s="10" t="b">
        <f>IF(I190="TP",VLOOKUP(AF190,TPCalibEqFull!$AZ$2:$BB$165,3),IF(I190="TDP",VLOOKUP(AF190,TPCalibEqFull!$AZ$2:$BB$165,3),IF(I190="TDN",VLOOKUP(AF190,TNCalibEqFull!$AZ$2:$BB$164,3),IF(I190="TN",VLOOKUP(AF190,TNCalibEqFull!$AZ$2:$BB$164,3),FALSE))))</f>
        <v>0</v>
      </c>
      <c r="AV190" s="10" t="str">
        <f t="shared" si="52"/>
        <v>20240803 00:00:00-1000-1-Dp-1-SW-UKN</v>
      </c>
    </row>
    <row r="191" spans="1:48" s="10" customFormat="1" x14ac:dyDescent="0.3">
      <c r="A191" s="32">
        <v>45507</v>
      </c>
      <c r="B191" s="33">
        <v>0</v>
      </c>
      <c r="C191" s="10">
        <v>1000</v>
      </c>
      <c r="D191" s="10" t="s">
        <v>993</v>
      </c>
      <c r="E191" s="10" t="s">
        <v>953</v>
      </c>
      <c r="F191" s="10">
        <v>1</v>
      </c>
      <c r="G191" s="10" t="s">
        <v>72</v>
      </c>
      <c r="H191" s="10" t="s">
        <v>239</v>
      </c>
      <c r="I191" s="10" t="s">
        <v>322</v>
      </c>
      <c r="J191" s="10">
        <v>4</v>
      </c>
      <c r="K191" s="12">
        <v>45688</v>
      </c>
      <c r="L191" s="33">
        <v>0.45133101851851848</v>
      </c>
      <c r="M191" s="10">
        <v>1</v>
      </c>
      <c r="N191" s="10" t="s">
        <v>256</v>
      </c>
      <c r="O191" s="10">
        <v>1.26E-2</v>
      </c>
      <c r="P191" s="10">
        <v>8.3600000000000005E-4</v>
      </c>
      <c r="Q191" s="10">
        <v>1.29</v>
      </c>
      <c r="R191" s="10" t="s">
        <v>168</v>
      </c>
      <c r="S191" s="34">
        <f t="shared" si="46"/>
        <v>1.29</v>
      </c>
      <c r="T191" s="10" t="s">
        <v>968</v>
      </c>
      <c r="U191" s="34" t="str">
        <f t="shared" si="49"/>
        <v/>
      </c>
      <c r="V191" s="31" t="str">
        <f>IF(H191="CHK",VLOOKUP(I191,QCCHK,3,),IF(H191="GUP",VLOOKUP(E191,QCGUP,2,),IF(AND(H191="ATP",OR(I191="TN",I191="TDN",I191="TNO2-3",I191="NO2-3")),VLOOKUP(E191,QCREC_N,2,),IF(AND(H191="NIC",OR(I191="TN",I191="TDN",I191="TNO2-3",I191="NO2-3")),VLOOKUP(E191,QCNIC_N,2,),IF(AND(H191="UREA",OR(I191="TN",I191="TDN",I191="TNO2-3",I191="NO2-3")),VLOOKUP(E191,QCUREA_N,2,),IF(H191="PER",VLOOKUP(I191,QCPER,MATCH(E191,QCACTUAL!$J$25:$AA$25,0),),IF(H191="SPK",VLOOKUP(I191,QCSPK,3,),IF(AND(H191="ATP",OR(I191="TP",I191="TDP")),VLOOKUP(E191,QCATP_P,2,),""))))))))</f>
        <v/>
      </c>
      <c r="W191" s="31" t="str">
        <f t="shared" si="47"/>
        <v>TRUE</v>
      </c>
      <c r="X191" s="31" t="str">
        <f t="shared" si="48"/>
        <v/>
      </c>
      <c r="Y191" s="10" t="s">
        <v>967</v>
      </c>
      <c r="AL191" s="10" t="str">
        <f t="shared" si="53"/>
        <v>FALSE</v>
      </c>
      <c r="AM191" s="10" t="str">
        <f t="shared" si="53"/>
        <v>FALSE</v>
      </c>
      <c r="AN191" s="10" t="str">
        <f t="shared" si="53"/>
        <v>FALSE</v>
      </c>
      <c r="AO191" s="10" t="str">
        <f t="shared" si="54"/>
        <v>FALSE</v>
      </c>
      <c r="AP191" s="10" t="str">
        <f t="shared" si="54"/>
        <v>FALSE</v>
      </c>
      <c r="AQ191" s="10" t="b">
        <f>IF(AND(I191="TP",S191&lt;=150),VLOOKUP(AF191,TPCalibEq150!$AZ$2:$BB$166,3,),IF(AND(I191="TDP",S191&lt;=150),VLOOKUP(AF191,TPCalibEq150!$AZ$2:$BB$166,3,)))</f>
        <v>0</v>
      </c>
      <c r="AR191" s="10" t="b">
        <f>IF(AND(I191="TP",S191&lt;=300),VLOOKUP(AF191,TPCalibEq300!$AZ$2:$BB$166,3,),IF(AND(I191="TDP",S191&lt;=300),VLOOKUP(AF191,TPCalibEq300!$AZ$2:$BB$166,3,)))</f>
        <v>0</v>
      </c>
      <c r="AS191" s="10" t="b">
        <f>IF(AND(I191="TP",S191&lt;=500),VLOOKUP(AF191,TPCalibEq500!$AZ$2:$BB$165,3,),IF(AND(I191="TDP",S191&lt;=500),VLOOKUP(AF191,TPCalibEq500!$AZ$2:$BB$165,3,)))</f>
        <v>0</v>
      </c>
      <c r="AT191" s="10" t="b">
        <f>IF(AND(I191="TN",S191&lt;=2800),VLOOKUP(AF191,TNCalibEq2500!$AZ$2:$BB$165,3,),IF(AND(I191="TDN",S191&lt;=2800),VLOOKUP(AF191,TNCalibEq2500!$AZ$2:$BB$165,3,)))</f>
        <v>0</v>
      </c>
      <c r="AU191" s="10" t="b">
        <f>IF(I191="TP",VLOOKUP(AF191,TPCalibEqFull!$AZ$2:$BB$165,3),IF(I191="TDP",VLOOKUP(AF191,TPCalibEqFull!$AZ$2:$BB$165,3),IF(I191="TDN",VLOOKUP(AF191,TNCalibEqFull!$AZ$2:$BB$164,3),IF(I191="TN",VLOOKUP(AF191,TNCalibEqFull!$AZ$2:$BB$164,3),FALSE))))</f>
        <v>0</v>
      </c>
      <c r="AV191" s="10" t="str">
        <f t="shared" si="52"/>
        <v>20240803 00:00:00-1000-2-Sh-1-DI-BLK</v>
      </c>
    </row>
    <row r="192" spans="1:48" s="10" customFormat="1" x14ac:dyDescent="0.3">
      <c r="A192" s="32">
        <v>45507</v>
      </c>
      <c r="B192" s="33">
        <v>0</v>
      </c>
      <c r="C192" s="10">
        <v>1000</v>
      </c>
      <c r="D192" s="10" t="s">
        <v>993</v>
      </c>
      <c r="E192" s="10" t="s">
        <v>953</v>
      </c>
      <c r="F192" s="10">
        <v>1</v>
      </c>
      <c r="G192" s="10" t="s">
        <v>229</v>
      </c>
      <c r="H192" s="10" t="s">
        <v>320</v>
      </c>
      <c r="I192" s="10" t="s">
        <v>322</v>
      </c>
      <c r="J192" s="10">
        <v>5</v>
      </c>
      <c r="K192" s="12">
        <v>45688</v>
      </c>
      <c r="L192" s="33">
        <v>0.45223379629629629</v>
      </c>
      <c r="M192" s="10">
        <v>1</v>
      </c>
      <c r="N192" s="10" t="s">
        <v>256</v>
      </c>
      <c r="O192" s="10">
        <v>3.6900000000000002E-2</v>
      </c>
      <c r="P192" s="10">
        <v>1.8500000000000001E-3</v>
      </c>
      <c r="Q192" s="10">
        <v>3.78</v>
      </c>
      <c r="R192" s="10" t="s">
        <v>168</v>
      </c>
      <c r="S192" s="34">
        <f t="shared" si="46"/>
        <v>3.78</v>
      </c>
      <c r="T192" s="10" t="s">
        <v>968</v>
      </c>
      <c r="U192" s="34" t="str">
        <f t="shared" si="49"/>
        <v/>
      </c>
      <c r="V192" s="31" t="str">
        <f>IF(H192="CHK",VLOOKUP(I192,QCCHK,3,),IF(H192="GUP",VLOOKUP(E192,QCGUP,2,),IF(AND(H192="ATP",OR(I192="TN",I192="TDN",I192="TNO2-3",I192="NO2-3")),VLOOKUP(E192,QCREC_N,2,),IF(AND(H192="NIC",OR(I192="TN",I192="TDN",I192="TNO2-3",I192="NO2-3")),VLOOKUP(E192,QCNIC_N,2,),IF(AND(H192="UREA",OR(I192="TN",I192="TDN",I192="TNO2-3",I192="NO2-3")),VLOOKUP(E192,QCUREA_N,2,),IF(H192="PER",VLOOKUP(I192,QCPER,MATCH(E192,QCACTUAL!$J$25:$AA$25,0),),IF(H192="SPK",VLOOKUP(I192,QCSPK,3,),IF(AND(H192="ATP",OR(I192="TP",I192="TDP")),VLOOKUP(E192,QCATP_P,2,),""))))))))</f>
        <v/>
      </c>
      <c r="W192" s="31" t="str">
        <f t="shared" si="47"/>
        <v>TRUE</v>
      </c>
      <c r="X192" s="31" t="str">
        <f t="shared" si="48"/>
        <v/>
      </c>
      <c r="Y192" s="10" t="s">
        <v>967</v>
      </c>
      <c r="AL192" s="10" t="str">
        <f t="shared" si="53"/>
        <v>FALSE</v>
      </c>
      <c r="AM192" s="10" t="str">
        <f t="shared" si="53"/>
        <v>FALSE</v>
      </c>
      <c r="AN192" s="10" t="str">
        <f t="shared" si="53"/>
        <v>FALSE</v>
      </c>
      <c r="AO192" s="10" t="str">
        <f t="shared" si="54"/>
        <v>FALSE</v>
      </c>
      <c r="AP192" s="10" t="str">
        <f t="shared" si="54"/>
        <v>FALSE</v>
      </c>
      <c r="AQ192" s="10" t="b">
        <f>IF(AND(I192="TP",S192&lt;=150),VLOOKUP(AF192,TPCalibEq150!$AZ$2:$BB$166,3,),IF(AND(I192="TDP",S192&lt;=150),VLOOKUP(AF192,TPCalibEq150!$AZ$2:$BB$166,3,)))</f>
        <v>0</v>
      </c>
      <c r="AR192" s="10" t="b">
        <f>IF(AND(I192="TP",S192&lt;=300),VLOOKUP(AF192,TPCalibEq300!$AZ$2:$BB$166,3,),IF(AND(I192="TDP",S192&lt;=300),VLOOKUP(AF192,TPCalibEq300!$AZ$2:$BB$166,3,)))</f>
        <v>0</v>
      </c>
      <c r="AS192" s="10" t="b">
        <f>IF(AND(I192="TP",S192&lt;=500),VLOOKUP(AF192,TPCalibEq500!$AZ$2:$BB$165,3,),IF(AND(I192="TDP",S192&lt;=500),VLOOKUP(AF192,TPCalibEq500!$AZ$2:$BB$165,3,)))</f>
        <v>0</v>
      </c>
      <c r="AT192" s="10" t="b">
        <f>IF(AND(I192="TN",S192&lt;=2800),VLOOKUP(AF192,TNCalibEq2500!$AZ$2:$BB$165,3,),IF(AND(I192="TDN",S192&lt;=2800),VLOOKUP(AF192,TNCalibEq2500!$AZ$2:$BB$165,3,)))</f>
        <v>0</v>
      </c>
      <c r="AU192" s="10" t="b">
        <f>IF(I192="TP",VLOOKUP(AF192,TPCalibEqFull!$AZ$2:$BB$165,3),IF(I192="TDP",VLOOKUP(AF192,TPCalibEqFull!$AZ$2:$BB$165,3),IF(I192="TDN",VLOOKUP(AF192,TNCalibEqFull!$AZ$2:$BB$164,3),IF(I192="TN",VLOOKUP(AF192,TNCalibEqFull!$AZ$2:$BB$164,3),FALSE))))</f>
        <v>0</v>
      </c>
      <c r="AV192" s="10" t="str">
        <f t="shared" si="52"/>
        <v>20240803 00:00:00-1000-2-Sh-1-SW-UKN</v>
      </c>
    </row>
    <row r="193" spans="1:48" s="10" customFormat="1" x14ac:dyDescent="0.3">
      <c r="A193" s="32">
        <v>45507</v>
      </c>
      <c r="B193" s="33">
        <v>0</v>
      </c>
      <c r="C193" s="10">
        <v>1000</v>
      </c>
      <c r="D193" s="10" t="s">
        <v>993</v>
      </c>
      <c r="E193" s="10" t="s">
        <v>953</v>
      </c>
      <c r="F193" s="10">
        <v>2</v>
      </c>
      <c r="G193" s="10" t="s">
        <v>229</v>
      </c>
      <c r="H193" s="10" t="s">
        <v>320</v>
      </c>
      <c r="I193" s="10" t="s">
        <v>322</v>
      </c>
      <c r="J193" s="10">
        <v>6</v>
      </c>
      <c r="K193" s="12">
        <v>45688</v>
      </c>
      <c r="L193" s="33">
        <v>0.45313657407407404</v>
      </c>
      <c r="M193" s="10">
        <v>1</v>
      </c>
      <c r="N193" s="10" t="s">
        <v>256</v>
      </c>
      <c r="O193" s="10">
        <v>3.6999999999999998E-2</v>
      </c>
      <c r="P193" s="10">
        <v>1.74E-3</v>
      </c>
      <c r="Q193" s="10">
        <v>3.79</v>
      </c>
      <c r="R193" s="10" t="s">
        <v>168</v>
      </c>
      <c r="S193" s="34">
        <f t="shared" si="46"/>
        <v>3.79</v>
      </c>
      <c r="T193" s="10" t="s">
        <v>968</v>
      </c>
      <c r="U193" s="34" t="str">
        <f t="shared" si="49"/>
        <v/>
      </c>
      <c r="V193" s="31" t="str">
        <f>IF(H193="CHK",VLOOKUP(I193,QCCHK,3,),IF(H193="GUP",VLOOKUP(E193,QCGUP,2,),IF(AND(H193="ATP",OR(I193="TN",I193="TDN",I193="TNO2-3",I193="NO2-3")),VLOOKUP(E193,QCREC_N,2,),IF(AND(H193="NIC",OR(I193="TN",I193="TDN",I193="TNO2-3",I193="NO2-3")),VLOOKUP(E193,QCNIC_N,2,),IF(AND(H193="UREA",OR(I193="TN",I193="TDN",I193="TNO2-3",I193="NO2-3")),VLOOKUP(E193,QCUREA_N,2,),IF(H193="PER",VLOOKUP(I193,QCPER,MATCH(E193,QCACTUAL!$J$25:$AA$25,0),),IF(H193="SPK",VLOOKUP(I193,QCSPK,3,),IF(AND(H193="ATP",OR(I193="TP",I193="TDP")),VLOOKUP(E193,QCATP_P,2,),""))))))))</f>
        <v/>
      </c>
      <c r="W193" s="31" t="str">
        <f t="shared" si="47"/>
        <v>TRUE</v>
      </c>
      <c r="X193" s="31" t="str">
        <f t="shared" si="48"/>
        <v/>
      </c>
      <c r="Y193" s="10" t="s">
        <v>967</v>
      </c>
      <c r="AL193" s="10" t="str">
        <f t="shared" si="53"/>
        <v>FALSE</v>
      </c>
      <c r="AM193" s="10" t="str">
        <f t="shared" si="53"/>
        <v>FALSE</v>
      </c>
      <c r="AN193" s="10" t="str">
        <f t="shared" si="53"/>
        <v>FALSE</v>
      </c>
      <c r="AO193" s="10" t="str">
        <f t="shared" si="54"/>
        <v>FALSE</v>
      </c>
      <c r="AP193" s="10" t="str">
        <f t="shared" si="54"/>
        <v>FALSE</v>
      </c>
      <c r="AQ193" s="10" t="b">
        <f>IF(AND(I193="TP",S193&lt;=150),VLOOKUP(AF193,TPCalibEq150!$AZ$2:$BB$166,3,),IF(AND(I193="TDP",S193&lt;=150),VLOOKUP(AF193,TPCalibEq150!$AZ$2:$BB$166,3,)))</f>
        <v>0</v>
      </c>
      <c r="AR193" s="10" t="b">
        <f>IF(AND(I193="TP",S193&lt;=300),VLOOKUP(AF193,TPCalibEq300!$AZ$2:$BB$166,3,),IF(AND(I193="TDP",S193&lt;=300),VLOOKUP(AF193,TPCalibEq300!$AZ$2:$BB$166,3,)))</f>
        <v>0</v>
      </c>
      <c r="AS193" s="10" t="b">
        <f>IF(AND(I193="TP",S193&lt;=500),VLOOKUP(AF193,TPCalibEq500!$AZ$2:$BB$165,3,),IF(AND(I193="TDP",S193&lt;=500),VLOOKUP(AF193,TPCalibEq500!$AZ$2:$BB$165,3,)))</f>
        <v>0</v>
      </c>
      <c r="AT193" s="10" t="b">
        <f>IF(AND(I193="TN",S193&lt;=2800),VLOOKUP(AF193,TNCalibEq2500!$AZ$2:$BB$165,3,),IF(AND(I193="TDN",S193&lt;=2800),VLOOKUP(AF193,TNCalibEq2500!$AZ$2:$BB$165,3,)))</f>
        <v>0</v>
      </c>
      <c r="AU193" s="10" t="b">
        <f>IF(I193="TP",VLOOKUP(AF193,TPCalibEqFull!$AZ$2:$BB$165,3),IF(I193="TDP",VLOOKUP(AF193,TPCalibEqFull!$AZ$2:$BB$165,3),IF(I193="TDN",VLOOKUP(AF193,TNCalibEqFull!$AZ$2:$BB$164,3),IF(I193="TN",VLOOKUP(AF193,TNCalibEqFull!$AZ$2:$BB$164,3),FALSE))))</f>
        <v>0</v>
      </c>
      <c r="AV193" s="10" t="str">
        <f t="shared" si="52"/>
        <v>20240803 00:00:00-1000-2-Sh-2-SW-UKN</v>
      </c>
    </row>
    <row r="194" spans="1:48" s="10" customFormat="1" x14ac:dyDescent="0.3">
      <c r="A194" s="32">
        <v>45500</v>
      </c>
      <c r="B194" s="33">
        <v>0</v>
      </c>
      <c r="C194" s="10">
        <v>1000</v>
      </c>
      <c r="D194" s="10" t="s">
        <v>993</v>
      </c>
      <c r="E194" s="10" t="s">
        <v>954</v>
      </c>
      <c r="F194" s="10">
        <v>1</v>
      </c>
      <c r="G194" s="10" t="s">
        <v>229</v>
      </c>
      <c r="H194" s="10" t="s">
        <v>320</v>
      </c>
      <c r="I194" s="10" t="s">
        <v>322</v>
      </c>
      <c r="J194" s="10">
        <v>7</v>
      </c>
      <c r="K194" s="12">
        <v>45688</v>
      </c>
      <c r="L194" s="33">
        <v>0.45402777777777775</v>
      </c>
      <c r="M194" s="10">
        <v>1</v>
      </c>
      <c r="N194" s="10" t="s">
        <v>256</v>
      </c>
      <c r="O194" s="10">
        <v>0.05</v>
      </c>
      <c r="P194" s="10">
        <v>2.0600000000000002E-3</v>
      </c>
      <c r="Q194" s="10">
        <v>5.13</v>
      </c>
      <c r="R194" s="10" t="s">
        <v>168</v>
      </c>
      <c r="S194" s="34">
        <f t="shared" si="46"/>
        <v>5.13</v>
      </c>
      <c r="T194" s="10" t="s">
        <v>968</v>
      </c>
      <c r="U194" s="34" t="str">
        <f t="shared" si="49"/>
        <v/>
      </c>
      <c r="V194" s="31" t="str">
        <f>IF(H194="CHK",VLOOKUP(I194,QCCHK,3,),IF(H194="GUP",VLOOKUP(E194,QCGUP,2,),IF(AND(H194="ATP",OR(I194="TN",I194="TDN",I194="TNO2-3",I194="NO2-3")),VLOOKUP(E194,QCREC_N,2,),IF(AND(H194="NIC",OR(I194="TN",I194="TDN",I194="TNO2-3",I194="NO2-3")),VLOOKUP(E194,QCNIC_N,2,),IF(AND(H194="UREA",OR(I194="TN",I194="TDN",I194="TNO2-3",I194="NO2-3")),VLOOKUP(E194,QCUREA_N,2,),IF(H194="PER",VLOOKUP(I194,QCPER,MATCH(E194,QCACTUAL!$J$25:$AA$25,0),),IF(H194="SPK",VLOOKUP(I194,QCSPK,3,),IF(AND(H194="ATP",OR(I194="TP",I194="TDP")),VLOOKUP(E194,QCATP_P,2,),""))))))))</f>
        <v/>
      </c>
      <c r="W194" s="31" t="str">
        <f t="shared" si="47"/>
        <v>TRUE</v>
      </c>
      <c r="X194" s="31" t="str">
        <f t="shared" si="48"/>
        <v/>
      </c>
      <c r="Y194" s="10" t="s">
        <v>967</v>
      </c>
      <c r="AL194" s="10" t="str">
        <f t="shared" si="53"/>
        <v>FALSE</v>
      </c>
      <c r="AM194" s="10" t="str">
        <f t="shared" si="53"/>
        <v>FALSE</v>
      </c>
      <c r="AN194" s="10" t="str">
        <f t="shared" si="53"/>
        <v>FALSE</v>
      </c>
      <c r="AO194" s="10" t="str">
        <f t="shared" si="54"/>
        <v>FALSE</v>
      </c>
      <c r="AP194" s="10" t="str">
        <f t="shared" si="54"/>
        <v>FALSE</v>
      </c>
      <c r="AQ194" s="10" t="b">
        <f>IF(AND(I194="TP",S194&lt;=150),VLOOKUP(AF194,TPCalibEq150!$AZ$2:$BB$166,3,),IF(AND(I194="TDP",S194&lt;=150),VLOOKUP(AF194,TPCalibEq150!$AZ$2:$BB$166,3,)))</f>
        <v>0</v>
      </c>
      <c r="AR194" s="10" t="b">
        <f>IF(AND(I194="TP",S194&lt;=300),VLOOKUP(AF194,TPCalibEq300!$AZ$2:$BB$166,3,),IF(AND(I194="TDP",S194&lt;=300),VLOOKUP(AF194,TPCalibEq300!$AZ$2:$BB$166,3,)))</f>
        <v>0</v>
      </c>
      <c r="AS194" s="10" t="b">
        <f>IF(AND(I194="TP",S194&lt;=500),VLOOKUP(AF194,TPCalibEq500!$AZ$2:$BB$165,3,),IF(AND(I194="TDP",S194&lt;=500),VLOOKUP(AF194,TPCalibEq500!$AZ$2:$BB$165,3,)))</f>
        <v>0</v>
      </c>
      <c r="AT194" s="10" t="b">
        <f>IF(AND(I194="TN",S194&lt;=2800),VLOOKUP(AF194,TNCalibEq2500!$AZ$2:$BB$165,3,),IF(AND(I194="TDN",S194&lt;=2800),VLOOKUP(AF194,TNCalibEq2500!$AZ$2:$BB$165,3,)))</f>
        <v>0</v>
      </c>
      <c r="AU194" s="10" t="b">
        <f>IF(I194="TP",VLOOKUP(AF194,TPCalibEqFull!$AZ$2:$BB$165,3),IF(I194="TDP",VLOOKUP(AF194,TPCalibEqFull!$AZ$2:$BB$165,3),IF(I194="TDN",VLOOKUP(AF194,TNCalibEqFull!$AZ$2:$BB$164,3),IF(I194="TN",VLOOKUP(AF194,TNCalibEqFull!$AZ$2:$BB$164,3),FALSE))))</f>
        <v>0</v>
      </c>
      <c r="AV194" s="10" t="str">
        <f t="shared" si="52"/>
        <v>20240727 00:00:00-1000-2-Dp-1-SW-UKN</v>
      </c>
    </row>
    <row r="195" spans="1:48" s="10" customFormat="1" x14ac:dyDescent="0.3">
      <c r="A195" s="32">
        <v>45500</v>
      </c>
      <c r="B195" s="33">
        <v>0</v>
      </c>
      <c r="C195" s="10">
        <v>1000</v>
      </c>
      <c r="D195" s="10" t="s">
        <v>994</v>
      </c>
      <c r="E195" s="10" t="s">
        <v>953</v>
      </c>
      <c r="F195" s="10">
        <v>1</v>
      </c>
      <c r="G195" s="10" t="s">
        <v>229</v>
      </c>
      <c r="H195" s="10" t="s">
        <v>320</v>
      </c>
      <c r="I195" s="10" t="s">
        <v>322</v>
      </c>
      <c r="J195" s="10">
        <v>8</v>
      </c>
      <c r="K195" s="12">
        <v>45688</v>
      </c>
      <c r="L195" s="33">
        <v>0.45494212962962965</v>
      </c>
      <c r="M195" s="10">
        <v>1</v>
      </c>
      <c r="N195" s="10" t="s">
        <v>256</v>
      </c>
      <c r="O195" s="10">
        <v>1.03E-2</v>
      </c>
      <c r="P195" s="10">
        <v>1.16E-3</v>
      </c>
      <c r="Q195" s="10">
        <v>1.05</v>
      </c>
      <c r="R195" s="10" t="s">
        <v>168</v>
      </c>
      <c r="S195" s="34">
        <f t="shared" si="46"/>
        <v>1.05</v>
      </c>
      <c r="T195" s="10" t="s">
        <v>968</v>
      </c>
      <c r="U195" s="34" t="str">
        <f t="shared" si="49"/>
        <v/>
      </c>
      <c r="V195" s="31" t="str">
        <f>IF(H195="CHK",VLOOKUP(I195,QCCHK,3,),IF(H195="GUP",VLOOKUP(E195,QCGUP,2,),IF(AND(H195="ATP",OR(I195="TN",I195="TDN",I195="TNO2-3",I195="NO2-3")),VLOOKUP(E195,QCREC_N,2,),IF(AND(H195="NIC",OR(I195="TN",I195="TDN",I195="TNO2-3",I195="NO2-3")),VLOOKUP(E195,QCNIC_N,2,),IF(AND(H195="UREA",OR(I195="TN",I195="TDN",I195="TNO2-3",I195="NO2-3")),VLOOKUP(E195,QCUREA_N,2,),IF(H195="PER",VLOOKUP(I195,QCPER,MATCH(E195,QCACTUAL!$J$25:$AA$25,0),),IF(H195="SPK",VLOOKUP(I195,QCSPK,3,),IF(AND(H195="ATP",OR(I195="TP",I195="TDP")),VLOOKUP(E195,QCATP_P,2,),""))))))))</f>
        <v/>
      </c>
      <c r="W195" s="31" t="str">
        <f t="shared" si="47"/>
        <v>TRUE</v>
      </c>
      <c r="X195" s="31" t="str">
        <f t="shared" si="48"/>
        <v/>
      </c>
      <c r="Y195" s="10" t="s">
        <v>967</v>
      </c>
      <c r="AL195" s="10" t="str">
        <f t="shared" si="53"/>
        <v>FALSE</v>
      </c>
      <c r="AM195" s="10" t="str">
        <f t="shared" si="53"/>
        <v>FALSE</v>
      </c>
      <c r="AN195" s="10" t="str">
        <f t="shared" si="53"/>
        <v>FALSE</v>
      </c>
      <c r="AO195" s="10" t="str">
        <f t="shared" si="54"/>
        <v>FALSE</v>
      </c>
      <c r="AP195" s="10" t="str">
        <f t="shared" si="54"/>
        <v>FALSE</v>
      </c>
      <c r="AQ195" s="10" t="b">
        <f>IF(AND(I195="TP",S195&lt;=150),VLOOKUP(AF195,TPCalibEq150!$AZ$2:$BB$166,3,),IF(AND(I195="TDP",S195&lt;=150),VLOOKUP(AF195,TPCalibEq150!$AZ$2:$BB$166,3,)))</f>
        <v>0</v>
      </c>
      <c r="AR195" s="10" t="b">
        <f>IF(AND(I195="TP",S195&lt;=300),VLOOKUP(AF195,TPCalibEq300!$AZ$2:$BB$166,3,),IF(AND(I195="TDP",S195&lt;=300),VLOOKUP(AF195,TPCalibEq300!$AZ$2:$BB$166,3,)))</f>
        <v>0</v>
      </c>
      <c r="AS195" s="10" t="b">
        <f>IF(AND(I195="TP",S195&lt;=500),VLOOKUP(AF195,TPCalibEq500!$AZ$2:$BB$165,3,),IF(AND(I195="TDP",S195&lt;=500),VLOOKUP(AF195,TPCalibEq500!$AZ$2:$BB$165,3,)))</f>
        <v>0</v>
      </c>
      <c r="AT195" s="10" t="b">
        <f>IF(AND(I195="TN",S195&lt;=2800),VLOOKUP(AF195,TNCalibEq2500!$AZ$2:$BB$165,3,),IF(AND(I195="TDN",S195&lt;=2800),VLOOKUP(AF195,TNCalibEq2500!$AZ$2:$BB$165,3,)))</f>
        <v>0</v>
      </c>
      <c r="AU195" s="10" t="b">
        <f>IF(I195="TP",VLOOKUP(AF195,TPCalibEqFull!$AZ$2:$BB$165,3),IF(I195="TDP",VLOOKUP(AF195,TPCalibEqFull!$AZ$2:$BB$165,3),IF(I195="TDN",VLOOKUP(AF195,TNCalibEqFull!$AZ$2:$BB$164,3),IF(I195="TN",VLOOKUP(AF195,TNCalibEqFull!$AZ$2:$BB$164,3),FALSE))))</f>
        <v>0</v>
      </c>
      <c r="AV195" s="10" t="str">
        <f t="shared" si="52"/>
        <v>20240727 00:00:00-1000-3-Sh-1-SW-UKN</v>
      </c>
    </row>
    <row r="196" spans="1:48" s="10" customFormat="1" x14ac:dyDescent="0.3">
      <c r="A196" s="32">
        <v>45500</v>
      </c>
      <c r="B196" s="33">
        <v>0</v>
      </c>
      <c r="C196" s="10">
        <v>1000</v>
      </c>
      <c r="D196" s="10" t="s">
        <v>994</v>
      </c>
      <c r="E196" s="10" t="s">
        <v>953</v>
      </c>
      <c r="F196" s="10">
        <v>1</v>
      </c>
      <c r="G196" s="10" t="s">
        <v>229</v>
      </c>
      <c r="H196" s="10" t="s">
        <v>320</v>
      </c>
      <c r="I196" s="10" t="s">
        <v>322</v>
      </c>
      <c r="J196" s="10">
        <v>9</v>
      </c>
      <c r="K196" s="12">
        <v>45688</v>
      </c>
      <c r="L196" s="33">
        <v>0.45583333333333331</v>
      </c>
      <c r="M196" s="10">
        <v>1</v>
      </c>
      <c r="N196" s="10" t="s">
        <v>256</v>
      </c>
      <c r="O196" s="10">
        <v>3.2099999999999997E-2</v>
      </c>
      <c r="P196" s="10">
        <v>1.72E-3</v>
      </c>
      <c r="Q196" s="10">
        <v>3.29</v>
      </c>
      <c r="R196" s="10" t="s">
        <v>168</v>
      </c>
      <c r="S196" s="34">
        <f t="shared" si="46"/>
        <v>3.29</v>
      </c>
      <c r="T196" s="10" t="s">
        <v>968</v>
      </c>
      <c r="U196" s="34" t="str">
        <f t="shared" si="49"/>
        <v/>
      </c>
      <c r="V196" s="31" t="str">
        <f>IF(H196="CHK",VLOOKUP(I196,QCCHK,3,),IF(H196="GUP",VLOOKUP(E196,QCGUP,2,),IF(AND(H196="ATP",OR(I196="TN",I196="TDN",I196="TNO2-3",I196="NO2-3")),VLOOKUP(E196,QCREC_N,2,),IF(AND(H196="NIC",OR(I196="TN",I196="TDN",I196="TNO2-3",I196="NO2-3")),VLOOKUP(E196,QCNIC_N,2,),IF(AND(H196="UREA",OR(I196="TN",I196="TDN",I196="TNO2-3",I196="NO2-3")),VLOOKUP(E196,QCUREA_N,2,),IF(H196="PER",VLOOKUP(I196,QCPER,MATCH(E196,QCACTUAL!$J$25:$AA$25,0),),IF(H196="SPK",VLOOKUP(I196,QCSPK,3,),IF(AND(H196="ATP",OR(I196="TP",I196="TDP")),VLOOKUP(E196,QCATP_P,2,),""))))))))</f>
        <v/>
      </c>
      <c r="W196" s="31" t="str">
        <f t="shared" si="47"/>
        <v>TRUE</v>
      </c>
      <c r="X196" s="31" t="str">
        <f t="shared" si="48"/>
        <v/>
      </c>
      <c r="Y196" s="10" t="s">
        <v>967</v>
      </c>
      <c r="AL196" s="10" t="str">
        <f t="shared" si="53"/>
        <v>FALSE</v>
      </c>
      <c r="AM196" s="10" t="str">
        <f t="shared" si="53"/>
        <v>FALSE</v>
      </c>
      <c r="AN196" s="10" t="str">
        <f t="shared" si="53"/>
        <v>FALSE</v>
      </c>
      <c r="AO196" s="10" t="str">
        <f t="shared" si="54"/>
        <v>FALSE</v>
      </c>
      <c r="AP196" s="10" t="str">
        <f t="shared" si="54"/>
        <v>FALSE</v>
      </c>
      <c r="AQ196" s="10" t="b">
        <f>IF(AND(I196="TP",S196&lt;=150),VLOOKUP(AF196,TPCalibEq150!$AZ$2:$BB$166,3,),IF(AND(I196="TDP",S196&lt;=150),VLOOKUP(AF196,TPCalibEq150!$AZ$2:$BB$166,3,)))</f>
        <v>0</v>
      </c>
      <c r="AR196" s="10" t="b">
        <f>IF(AND(I196="TP",S196&lt;=300),VLOOKUP(AF196,TPCalibEq300!$AZ$2:$BB$166,3,),IF(AND(I196="TDP",S196&lt;=300),VLOOKUP(AF196,TPCalibEq300!$AZ$2:$BB$166,3,)))</f>
        <v>0</v>
      </c>
      <c r="AS196" s="10" t="b">
        <f>IF(AND(I196="TP",S196&lt;=500),VLOOKUP(AF196,TPCalibEq500!$AZ$2:$BB$165,3,),IF(AND(I196="TDP",S196&lt;=500),VLOOKUP(AF196,TPCalibEq500!$AZ$2:$BB$165,3,)))</f>
        <v>0</v>
      </c>
      <c r="AT196" s="10" t="b">
        <f>IF(AND(I196="TN",S196&lt;=2800),VLOOKUP(AF196,TNCalibEq2500!$AZ$2:$BB$165,3,),IF(AND(I196="TDN",S196&lt;=2800),VLOOKUP(AF196,TNCalibEq2500!$AZ$2:$BB$165,3,)))</f>
        <v>0</v>
      </c>
      <c r="AU196" s="10" t="b">
        <f>IF(I196="TP",VLOOKUP(AF196,TPCalibEqFull!$AZ$2:$BB$165,3),IF(I196="TDP",VLOOKUP(AF196,TPCalibEqFull!$AZ$2:$BB$165,3),IF(I196="TDN",VLOOKUP(AF196,TNCalibEqFull!$AZ$2:$BB$164,3),IF(I196="TN",VLOOKUP(AF196,TNCalibEqFull!$AZ$2:$BB$164,3),FALSE))))</f>
        <v>0</v>
      </c>
      <c r="AV196" s="10" t="str">
        <f t="shared" si="52"/>
        <v>20240727 00:00:00-1000-3-Sh-1-SW-UKN</v>
      </c>
    </row>
    <row r="197" spans="1:48" s="10" customFormat="1" x14ac:dyDescent="0.3">
      <c r="A197" s="32">
        <v>45500</v>
      </c>
      <c r="B197" s="33">
        <v>0</v>
      </c>
      <c r="C197" s="10">
        <v>1000</v>
      </c>
      <c r="D197" s="10" t="s">
        <v>994</v>
      </c>
      <c r="E197" s="10" t="s">
        <v>953</v>
      </c>
      <c r="F197" s="10">
        <v>2</v>
      </c>
      <c r="G197" s="10" t="s">
        <v>229</v>
      </c>
      <c r="H197" s="10" t="s">
        <v>320</v>
      </c>
      <c r="I197" s="10" t="s">
        <v>322</v>
      </c>
      <c r="J197" s="10">
        <v>10</v>
      </c>
      <c r="K197" s="12">
        <v>45688</v>
      </c>
      <c r="L197" s="33">
        <v>0.45673611111111106</v>
      </c>
      <c r="M197" s="10">
        <v>1</v>
      </c>
      <c r="N197" s="10" t="s">
        <v>256</v>
      </c>
      <c r="O197" s="10">
        <v>2.46E-2</v>
      </c>
      <c r="P197" s="10">
        <v>1.7799999999999999E-3</v>
      </c>
      <c r="Q197" s="10">
        <v>2.52</v>
      </c>
      <c r="R197" s="10" t="s">
        <v>168</v>
      </c>
      <c r="S197" s="34">
        <f t="shared" si="46"/>
        <v>2.52</v>
      </c>
      <c r="T197" s="10" t="s">
        <v>968</v>
      </c>
      <c r="U197" s="34" t="str">
        <f t="shared" si="49"/>
        <v/>
      </c>
      <c r="V197" s="31" t="str">
        <f>IF(H197="CHK",VLOOKUP(I197,QCCHK,3,),IF(H197="GUP",VLOOKUP(E197,QCGUP,2,),IF(AND(H197="ATP",OR(I197="TN",I197="TDN",I197="TNO2-3",I197="NO2-3")),VLOOKUP(E197,QCREC_N,2,),IF(AND(H197="NIC",OR(I197="TN",I197="TDN",I197="TNO2-3",I197="NO2-3")),VLOOKUP(E197,QCNIC_N,2,),IF(AND(H197="UREA",OR(I197="TN",I197="TDN",I197="TNO2-3",I197="NO2-3")),VLOOKUP(E197,QCUREA_N,2,),IF(H197="PER",VLOOKUP(I197,QCPER,MATCH(E197,QCACTUAL!$J$25:$AA$25,0),),IF(H197="SPK",VLOOKUP(I197,QCSPK,3,),IF(AND(H197="ATP",OR(I197="TP",I197="TDP")),VLOOKUP(E197,QCATP_P,2,),""))))))))</f>
        <v/>
      </c>
      <c r="W197" s="31" t="str">
        <f t="shared" si="47"/>
        <v>TRUE</v>
      </c>
      <c r="X197" s="31" t="str">
        <f t="shared" si="48"/>
        <v/>
      </c>
      <c r="Y197" s="10" t="s">
        <v>967</v>
      </c>
      <c r="AL197" s="10" t="str">
        <f t="shared" si="53"/>
        <v>FALSE</v>
      </c>
      <c r="AM197" s="10" t="str">
        <f t="shared" si="53"/>
        <v>FALSE</v>
      </c>
      <c r="AN197" s="10" t="str">
        <f t="shared" si="53"/>
        <v>FALSE</v>
      </c>
      <c r="AO197" s="10" t="str">
        <f t="shared" si="54"/>
        <v>FALSE</v>
      </c>
      <c r="AP197" s="10" t="str">
        <f t="shared" si="54"/>
        <v>FALSE</v>
      </c>
      <c r="AQ197" s="10" t="b">
        <f>IF(AND(I197="TP",S197&lt;=150),VLOOKUP(AF197,TPCalibEq150!$AZ$2:$BB$166,3,),IF(AND(I197="TDP",S197&lt;=150),VLOOKUP(AF197,TPCalibEq150!$AZ$2:$BB$166,3,)))</f>
        <v>0</v>
      </c>
      <c r="AR197" s="10" t="b">
        <f>IF(AND(I197="TP",S197&lt;=300),VLOOKUP(AF197,TPCalibEq300!$AZ$2:$BB$166,3,),IF(AND(I197="TDP",S197&lt;=300),VLOOKUP(AF197,TPCalibEq300!$AZ$2:$BB$166,3,)))</f>
        <v>0</v>
      </c>
      <c r="AS197" s="10" t="b">
        <f>IF(AND(I197="TP",S197&lt;=500),VLOOKUP(AF197,TPCalibEq500!$AZ$2:$BB$165,3,),IF(AND(I197="TDP",S197&lt;=500),VLOOKUP(AF197,TPCalibEq500!$AZ$2:$BB$165,3,)))</f>
        <v>0</v>
      </c>
      <c r="AT197" s="10" t="b">
        <f>IF(AND(I197="TN",S197&lt;=2800),VLOOKUP(AF197,TNCalibEq2500!$AZ$2:$BB$165,3,),IF(AND(I197="TDN",S197&lt;=2800),VLOOKUP(AF197,TNCalibEq2500!$AZ$2:$BB$165,3,)))</f>
        <v>0</v>
      </c>
      <c r="AU197" s="10" t="b">
        <f>IF(I197="TP",VLOOKUP(AF197,TPCalibEqFull!$AZ$2:$BB$165,3),IF(I197="TDP",VLOOKUP(AF197,TPCalibEqFull!$AZ$2:$BB$165,3),IF(I197="TDN",VLOOKUP(AF197,TNCalibEqFull!$AZ$2:$BB$164,3),IF(I197="TN",VLOOKUP(AF197,TNCalibEqFull!$AZ$2:$BB$164,3),FALSE))))</f>
        <v>0</v>
      </c>
      <c r="AV197" s="10" t="str">
        <f t="shared" si="52"/>
        <v>20240727 00:00:00-1000-3-Sh-2-SW-UKN</v>
      </c>
    </row>
    <row r="198" spans="1:48" s="10" customFormat="1" x14ac:dyDescent="0.3">
      <c r="A198" s="32">
        <v>45500</v>
      </c>
      <c r="B198" s="33">
        <v>0</v>
      </c>
      <c r="C198" s="10">
        <v>1000</v>
      </c>
      <c r="D198" s="10" t="s">
        <v>994</v>
      </c>
      <c r="E198" s="10" t="s">
        <v>954</v>
      </c>
      <c r="F198" s="10">
        <v>1</v>
      </c>
      <c r="G198" s="10" t="s">
        <v>229</v>
      </c>
      <c r="H198" s="10" t="s">
        <v>320</v>
      </c>
      <c r="I198" s="10" t="s">
        <v>322</v>
      </c>
      <c r="J198" s="10">
        <v>11</v>
      </c>
      <c r="K198" s="12">
        <v>45688</v>
      </c>
      <c r="L198" s="33">
        <v>0.45762731481481483</v>
      </c>
      <c r="M198" s="10">
        <v>1</v>
      </c>
      <c r="N198" s="10" t="s">
        <v>256</v>
      </c>
      <c r="O198" s="10">
        <v>1.4500000000000001E-2</v>
      </c>
      <c r="P198" s="10">
        <v>1.15E-3</v>
      </c>
      <c r="Q198" s="10">
        <v>1.49</v>
      </c>
      <c r="R198" s="10" t="s">
        <v>168</v>
      </c>
      <c r="S198" s="34">
        <f t="shared" si="46"/>
        <v>1.49</v>
      </c>
      <c r="T198" s="10" t="s">
        <v>968</v>
      </c>
      <c r="U198" s="34" t="str">
        <f t="shared" si="49"/>
        <v/>
      </c>
      <c r="V198" s="31" t="str">
        <f>IF(H198="CHK",VLOOKUP(I198,QCCHK,3,),IF(H198="GUP",VLOOKUP(E198,QCGUP,2,),IF(AND(H198="ATP",OR(I198="TN",I198="TDN",I198="TNO2-3",I198="NO2-3")),VLOOKUP(E198,QCREC_N,2,),IF(AND(H198="NIC",OR(I198="TN",I198="TDN",I198="TNO2-3",I198="NO2-3")),VLOOKUP(E198,QCNIC_N,2,),IF(AND(H198="UREA",OR(I198="TN",I198="TDN",I198="TNO2-3",I198="NO2-3")),VLOOKUP(E198,QCUREA_N,2,),IF(H198="PER",VLOOKUP(I198,QCPER,MATCH(E198,QCACTUAL!$J$25:$AA$25,0),),IF(H198="SPK",VLOOKUP(I198,QCSPK,3,),IF(AND(H198="ATP",OR(I198="TP",I198="TDP")),VLOOKUP(E198,QCATP_P,2,),""))))))))</f>
        <v/>
      </c>
      <c r="W198" s="31" t="str">
        <f t="shared" si="47"/>
        <v>TRUE</v>
      </c>
      <c r="X198" s="31" t="str">
        <f t="shared" si="48"/>
        <v/>
      </c>
      <c r="Y198" s="10" t="s">
        <v>967</v>
      </c>
      <c r="AL198" s="10" t="str">
        <f t="shared" si="53"/>
        <v>FALSE</v>
      </c>
      <c r="AM198" s="10" t="str">
        <f t="shared" si="53"/>
        <v>FALSE</v>
      </c>
      <c r="AN198" s="10" t="str">
        <f t="shared" si="53"/>
        <v>FALSE</v>
      </c>
      <c r="AO198" s="10" t="str">
        <f t="shared" si="54"/>
        <v>FALSE</v>
      </c>
      <c r="AP198" s="10" t="str">
        <f t="shared" si="54"/>
        <v>FALSE</v>
      </c>
      <c r="AQ198" s="10" t="b">
        <f>IF(AND(I198="TP",S198&lt;=150),VLOOKUP(AF198,TPCalibEq150!$AZ$2:$BB$166,3,),IF(AND(I198="TDP",S198&lt;=150),VLOOKUP(AF198,TPCalibEq150!$AZ$2:$BB$166,3,)))</f>
        <v>0</v>
      </c>
      <c r="AR198" s="10" t="b">
        <f>IF(AND(I198="TP",S198&lt;=300),VLOOKUP(AF198,TPCalibEq300!$AZ$2:$BB$166,3,),IF(AND(I198="TDP",S198&lt;=300),VLOOKUP(AF198,TPCalibEq300!$AZ$2:$BB$166,3,)))</f>
        <v>0</v>
      </c>
      <c r="AS198" s="10" t="b">
        <f>IF(AND(I198="TP",S198&lt;=500),VLOOKUP(AF198,TPCalibEq500!$AZ$2:$BB$165,3,),IF(AND(I198="TDP",S198&lt;=500),VLOOKUP(AF198,TPCalibEq500!$AZ$2:$BB$165,3,)))</f>
        <v>0</v>
      </c>
      <c r="AT198" s="10" t="b">
        <f>IF(AND(I198="TN",S198&lt;=2800),VLOOKUP(AF198,TNCalibEq2500!$AZ$2:$BB$165,3,),IF(AND(I198="TDN",S198&lt;=2800),VLOOKUP(AF198,TNCalibEq2500!$AZ$2:$BB$165,3,)))</f>
        <v>0</v>
      </c>
      <c r="AU198" s="10" t="b">
        <f>IF(I198="TP",VLOOKUP(AF198,TPCalibEqFull!$AZ$2:$BB$165,3),IF(I198="TDP",VLOOKUP(AF198,TPCalibEqFull!$AZ$2:$BB$165,3),IF(I198="TDN",VLOOKUP(AF198,TNCalibEqFull!$AZ$2:$BB$164,3),IF(I198="TN",VLOOKUP(AF198,TNCalibEqFull!$AZ$2:$BB$164,3),FALSE))))</f>
        <v>0</v>
      </c>
      <c r="AV198" s="10" t="str">
        <f t="shared" si="52"/>
        <v>20240727 00:00:00-1000-3-Dp-1-SW-UKN</v>
      </c>
    </row>
    <row r="199" spans="1:48" s="10" customFormat="1" x14ac:dyDescent="0.3">
      <c r="A199" s="32">
        <v>45500</v>
      </c>
      <c r="B199" s="33">
        <v>0</v>
      </c>
      <c r="C199" s="10">
        <v>1000</v>
      </c>
      <c r="D199" s="10" t="s">
        <v>994</v>
      </c>
      <c r="E199" s="10" t="s">
        <v>954</v>
      </c>
      <c r="F199" s="10">
        <v>1</v>
      </c>
      <c r="G199" s="10" t="s">
        <v>229</v>
      </c>
      <c r="H199" s="10" t="s">
        <v>231</v>
      </c>
      <c r="I199" s="10" t="s">
        <v>322</v>
      </c>
      <c r="J199" s="10">
        <v>11</v>
      </c>
      <c r="K199" s="12">
        <v>45688</v>
      </c>
      <c r="L199" s="33">
        <v>0.45851851851851855</v>
      </c>
      <c r="M199" s="10">
        <v>1</v>
      </c>
      <c r="N199" s="10" t="s">
        <v>256</v>
      </c>
      <c r="O199" s="10">
        <v>3.1199999999999999E-2</v>
      </c>
      <c r="P199" s="10">
        <v>1.48E-3</v>
      </c>
      <c r="Q199" s="10">
        <v>3.2</v>
      </c>
      <c r="R199" s="10" t="s">
        <v>168</v>
      </c>
      <c r="S199" s="34">
        <f t="shared" si="46"/>
        <v>3.2</v>
      </c>
      <c r="T199" s="10" t="s">
        <v>968</v>
      </c>
      <c r="U199" s="34">
        <f t="shared" si="49"/>
        <v>72.921108742004265</v>
      </c>
      <c r="V199" s="31" t="str">
        <f>IF(H199="CHK",VLOOKUP(I199,QCCHK,3,),IF(H199="GUP",VLOOKUP(E199,QCGUP,2,),IF(AND(H199="ATP",OR(I199="TN",I199="TDN",I199="TNO2-3",I199="NO2-3")),VLOOKUP(E199,QCREC_N,2,),IF(AND(H199="NIC",OR(I199="TN",I199="TDN",I199="TNO2-3",I199="NO2-3")),VLOOKUP(E199,QCNIC_N,2,),IF(AND(H199="UREA",OR(I199="TN",I199="TDN",I199="TNO2-3",I199="NO2-3")),VLOOKUP(E199,QCUREA_N,2,),IF(H199="PER",VLOOKUP(I199,QCPER,MATCH(E199,QCACTUAL!$J$25:$AA$25,0),),IF(H199="SPK",VLOOKUP(I199,QCSPK,3,),IF(AND(H199="ATP",OR(I199="TP",I199="TDP")),VLOOKUP(E199,QCATP_P,2,),""))))))))</f>
        <v/>
      </c>
      <c r="W199" s="31" t="b">
        <v>1</v>
      </c>
      <c r="X199" s="31" t="str">
        <f t="shared" ref="X199:X223" si="55">IF(ISNA(VLOOKUP(H199,QCEQUATIONS,2,)),"",(VLOOKUP(H199,QCEQUATIONS,2,)))</f>
        <v>((ABS(rep1-rep2))/((rep1+rep2)/2)*100</v>
      </c>
      <c r="Y199" s="10" t="s">
        <v>967</v>
      </c>
      <c r="Z199" s="10" t="s">
        <v>931</v>
      </c>
      <c r="AL199" s="10" t="str">
        <f t="shared" si="53"/>
        <v>FALSE</v>
      </c>
      <c r="AM199" s="10" t="str">
        <f t="shared" si="53"/>
        <v>FALSE</v>
      </c>
      <c r="AN199" s="10" t="str">
        <f t="shared" si="53"/>
        <v>FALSE</v>
      </c>
      <c r="AO199" s="10" t="str">
        <f t="shared" si="54"/>
        <v>FALSE</v>
      </c>
      <c r="AP199" s="10" t="str">
        <f t="shared" si="54"/>
        <v>FALSE</v>
      </c>
      <c r="AQ199" s="10" t="b">
        <f>IF(AND(I199="TP",S199&lt;=150),VLOOKUP(AF199,TPCalibEq150!$AZ$2:$BB$166,3,),IF(AND(I199="TDP",S199&lt;=150),VLOOKUP(AF199,TPCalibEq150!$AZ$2:$BB$166,3,)))</f>
        <v>0</v>
      </c>
      <c r="AR199" s="10" t="b">
        <f>IF(AND(I199="TP",S199&lt;=300),VLOOKUP(AF199,TPCalibEq300!$AZ$2:$BB$166,3,),IF(AND(I199="TDP",S199&lt;=300),VLOOKUP(AF199,TPCalibEq300!$AZ$2:$BB$166,3,)))</f>
        <v>0</v>
      </c>
      <c r="AS199" s="10" t="b">
        <f>IF(AND(I199="TP",S199&lt;=500),VLOOKUP(AF199,TPCalibEq500!$AZ$2:$BB$165,3,),IF(AND(I199="TDP",S199&lt;=500),VLOOKUP(AF199,TPCalibEq500!$AZ$2:$BB$165,3,)))</f>
        <v>0</v>
      </c>
      <c r="AT199" s="10" t="b">
        <f>IF(AND(I199="TN",S199&lt;=2800),VLOOKUP(AF199,TNCalibEq2500!$AZ$2:$BB$165,3,),IF(AND(I199="TDN",S199&lt;=2800),VLOOKUP(AF199,TNCalibEq2500!$AZ$2:$BB$165,3,)))</f>
        <v>0</v>
      </c>
      <c r="AU199" s="10" t="b">
        <f>IF(I199="TP",VLOOKUP(AF199,TPCalibEqFull!$AZ$2:$BB$165,3),IF(I199="TDP",VLOOKUP(AF199,TPCalibEqFull!$AZ$2:$BB$165,3),IF(I199="TDN",VLOOKUP(AF199,TNCalibEqFull!$AZ$2:$BB$164,3),IF(I199="TN",VLOOKUP(AF199,TNCalibEqFull!$AZ$2:$BB$164,3),FALSE))))</f>
        <v>0</v>
      </c>
      <c r="AV199" s="10" t="str">
        <f t="shared" si="52"/>
        <v>20240727 00:00:00-1000-3-Dp-1-SW-DUP</v>
      </c>
    </row>
    <row r="200" spans="1:48" s="10" customFormat="1" x14ac:dyDescent="0.3">
      <c r="A200" s="32">
        <v>45500</v>
      </c>
      <c r="B200" s="33">
        <v>0</v>
      </c>
      <c r="C200" s="10">
        <v>1000</v>
      </c>
      <c r="D200" s="10" t="s">
        <v>995</v>
      </c>
      <c r="E200" s="10" t="s">
        <v>953</v>
      </c>
      <c r="F200" s="10">
        <v>1</v>
      </c>
      <c r="G200" s="10" t="s">
        <v>72</v>
      </c>
      <c r="H200" s="10" t="s">
        <v>239</v>
      </c>
      <c r="I200" s="10" t="s">
        <v>322</v>
      </c>
      <c r="J200" s="10">
        <v>12</v>
      </c>
      <c r="K200" s="12">
        <v>45688</v>
      </c>
      <c r="L200" s="33">
        <v>0.46121527777777777</v>
      </c>
      <c r="M200" s="10">
        <v>1</v>
      </c>
      <c r="N200" s="10" t="s">
        <v>256</v>
      </c>
      <c r="O200" s="10">
        <v>2.46E-2</v>
      </c>
      <c r="P200" s="10">
        <v>1.15E-3</v>
      </c>
      <c r="Q200" s="10">
        <v>2.5299999999999998</v>
      </c>
      <c r="R200" s="10" t="s">
        <v>168</v>
      </c>
      <c r="S200" s="34">
        <f t="shared" ref="S200:S223" si="56">IF(OR(AND(I200&lt;&gt;"TP", I200&lt;&gt;"TDP",I200&lt;&gt;"TN", I200&lt;&gt;"TDN"),H200="CAL"), Q200*M200, IF(OR(AND(I200="TN", Q200&gt;2500), AND(I200="TDN", Q200&gt;2500)),MAX(Q200, AK200)*M200, IF(OR(AND(I200="TN", Q200&lt;=2500), AND(I200="TDN", Q200&lt;=2500)),MAX(Q200, AJ200,AK200)*M200, IF(OR(AND(I200="TP",Q200&gt;500), AND(I200="TDP", Q200&gt;500)),MAX(Q200,AK200)*M200,IF(OR(AND(I200="TP",Q200&lt;=150), AND(I200="TDP", Q200&lt;=150)),MAX(Q200,AG200:AI200,AK200)*M200,IF(OR(AND(I200="TP",Q200&lt;=300), AND(I200="TDP", Q200&lt;=300)),MAX(Q200,AH200,AI200,AK200)*M200,IF(OR(AND(I200="TP",Q200&lt;=500), AND(I200="TDP", Q200&lt;=500)),MAX(Q200,AI200,AK200)*M200,"")))))))</f>
        <v>2.5299999999999998</v>
      </c>
      <c r="T200" s="10" t="s">
        <v>968</v>
      </c>
      <c r="U200" s="34" t="str">
        <f>IF(OR(H200="CHK",H200="ATP",H200="GUP",H200="PER", H200="NIC", H200="UREA"),(S200/V200*100),IF(H200="DUP",((ABS(S200-#REF!))/((#REF!+S200)/2))*100,IF(H200="SPK",((S200-#REF!)/V200*100),IF(OR(H200="LAB",H200="FLD",H200="ESF"),S200,""))))</f>
        <v/>
      </c>
      <c r="V200" s="31" t="str">
        <f>IF(H200="CHK",VLOOKUP(I200,QCCHK,3,),IF(H200="GUP",VLOOKUP(E200,QCGUP,2,),IF(AND(H200="ATP",OR(I200="TN",I200="TDN",I200="TNO2-3",I200="NO2-3")),VLOOKUP(E200,QCREC_N,2,),IF(AND(H200="NIC",OR(I200="TN",I200="TDN",I200="TNO2-3",I200="NO2-3")),VLOOKUP(E200,QCNIC_N,2,),IF(AND(H200="UREA",OR(I200="TN",I200="TDN",I200="TNO2-3",I200="NO2-3")),VLOOKUP(E200,QCUREA_N,2,),IF(H200="PER",VLOOKUP(I200,QCPER,MATCH(E200,QCACTUAL!$J$25:$AA$25,0),),IF(H200="SPK",VLOOKUP(I200,QCSPK,3,),IF(AND(H200="ATP",OR(I200="TP",I200="TDP")),VLOOKUP(E200,QCATP_P,2,),""))))))))</f>
        <v/>
      </c>
      <c r="W200" s="31" t="str">
        <f t="shared" ref="W200:W223" si="57">IF(AND(OR(H200="PER",H200="ATP",H200="GUP",H200="CHK",H200="SPK", H200="NIC"),OR(U200&gt;125,U200&lt;75)),"FALSE",IF(AND(H200="DUP",OR(U200&gt;25, U200&lt;-25)),"FALSE",IF(AND(OR(H200="LAB",H200="FLD",H200="ESF"),U200&gt;15),"FALSE","TRUE")))</f>
        <v>TRUE</v>
      </c>
      <c r="X200" s="31" t="str">
        <f t="shared" si="55"/>
        <v/>
      </c>
      <c r="Y200" s="10" t="s">
        <v>967</v>
      </c>
      <c r="AL200" s="10" t="str">
        <f t="shared" si="53"/>
        <v>FALSE</v>
      </c>
      <c r="AM200" s="10" t="str">
        <f t="shared" si="53"/>
        <v>FALSE</v>
      </c>
      <c r="AN200" s="10" t="str">
        <f t="shared" si="53"/>
        <v>FALSE</v>
      </c>
      <c r="AO200" s="10" t="str">
        <f t="shared" si="54"/>
        <v>FALSE</v>
      </c>
      <c r="AP200" s="10" t="str">
        <f t="shared" si="54"/>
        <v>FALSE</v>
      </c>
      <c r="AQ200" s="10" t="b">
        <f>IF(AND(I200="TP",S200&lt;=150),VLOOKUP(AF200,TPCalibEq150!$AZ$2:$BB$166,3,),IF(AND(I200="TDP",S200&lt;=150),VLOOKUP(AF200,TPCalibEq150!$AZ$2:$BB$166,3,)))</f>
        <v>0</v>
      </c>
      <c r="AR200" s="10" t="b">
        <f>IF(AND(I200="TP",S200&lt;=300),VLOOKUP(AF200,TPCalibEq300!$AZ$2:$BB$166,3,),IF(AND(I200="TDP",S200&lt;=300),VLOOKUP(AF200,TPCalibEq300!$AZ$2:$BB$166,3,)))</f>
        <v>0</v>
      </c>
      <c r="AS200" s="10" t="b">
        <f>IF(AND(I200="TP",S200&lt;=500),VLOOKUP(AF200,TPCalibEq500!$AZ$2:$BB$165,3,),IF(AND(I200="TDP",S200&lt;=500),VLOOKUP(AF200,TPCalibEq500!$AZ$2:$BB$165,3,)))</f>
        <v>0</v>
      </c>
      <c r="AT200" s="10" t="b">
        <f>IF(AND(I200="TN",S200&lt;=2800),VLOOKUP(AF200,TNCalibEq2500!$AZ$2:$BB$165,3,),IF(AND(I200="TDN",S200&lt;=2800),VLOOKUP(AF200,TNCalibEq2500!$AZ$2:$BB$165,3,)))</f>
        <v>0</v>
      </c>
      <c r="AU200" s="10" t="b">
        <f>IF(I200="TP",VLOOKUP(AF200,TPCalibEqFull!$AZ$2:$BB$165,3),IF(I200="TDP",VLOOKUP(AF200,TPCalibEqFull!$AZ$2:$BB$165,3),IF(I200="TDN",VLOOKUP(AF200,TNCalibEqFull!$AZ$2:$BB$164,3),IF(I200="TN",VLOOKUP(AF200,TNCalibEqFull!$AZ$2:$BB$164,3),FALSE))))</f>
        <v>0</v>
      </c>
      <c r="AV200" s="10" t="str">
        <f t="shared" si="52"/>
        <v>20240727 00:00:00-1000-4-Sh-1-DI-BLK</v>
      </c>
    </row>
    <row r="201" spans="1:48" s="10" customFormat="1" x14ac:dyDescent="0.3">
      <c r="A201" s="32">
        <v>45500</v>
      </c>
      <c r="B201" s="33">
        <v>0</v>
      </c>
      <c r="C201" s="10">
        <v>1000</v>
      </c>
      <c r="D201" s="10" t="s">
        <v>995</v>
      </c>
      <c r="E201" s="10" t="s">
        <v>953</v>
      </c>
      <c r="F201" s="10">
        <v>1</v>
      </c>
      <c r="G201" s="10" t="s">
        <v>229</v>
      </c>
      <c r="H201" s="10" t="s">
        <v>320</v>
      </c>
      <c r="I201" s="10" t="s">
        <v>322</v>
      </c>
      <c r="J201" s="10">
        <v>13</v>
      </c>
      <c r="K201" s="12">
        <v>45688</v>
      </c>
      <c r="L201" s="33">
        <v>0.46211805555555557</v>
      </c>
      <c r="M201" s="10">
        <v>1</v>
      </c>
      <c r="N201" s="10" t="s">
        <v>256</v>
      </c>
      <c r="O201" s="10">
        <v>2.4299999999999999E-2</v>
      </c>
      <c r="P201" s="10">
        <v>1.1900000000000001E-3</v>
      </c>
      <c r="Q201" s="10">
        <v>2.5</v>
      </c>
      <c r="R201" s="10" t="s">
        <v>168</v>
      </c>
      <c r="S201" s="34">
        <f t="shared" si="56"/>
        <v>2.5</v>
      </c>
      <c r="T201" s="10" t="s">
        <v>968</v>
      </c>
      <c r="U201" s="34" t="str">
        <f t="shared" ref="U201:U223" si="58">IF(OR(H201="CHK",H201="ATP",H201="GUP",H201="PER", H201="NIC", H201="UREA"),(S201/V201*100),IF(H201="DUP",((ABS(S201-S200))/((S200+S201)/2))*100,IF(H201="SPK",((S201-S200)/V201*100),IF(OR(H201="LAB",H201="FLD",H201="ESF"),S201,""))))</f>
        <v/>
      </c>
      <c r="V201" s="31" t="str">
        <f>IF(H201="CHK",VLOOKUP(I201,QCCHK,3,),IF(H201="GUP",VLOOKUP(E201,QCGUP,2,),IF(AND(H201="ATP",OR(I201="TN",I201="TDN",I201="TNO2-3",I201="NO2-3")),VLOOKUP(E201,QCREC_N,2,),IF(AND(H201="NIC",OR(I201="TN",I201="TDN",I201="TNO2-3",I201="NO2-3")),VLOOKUP(E201,QCNIC_N,2,),IF(AND(H201="UREA",OR(I201="TN",I201="TDN",I201="TNO2-3",I201="NO2-3")),VLOOKUP(E201,QCUREA_N,2,),IF(H201="PER",VLOOKUP(I201,QCPER,MATCH(E201,QCACTUAL!$J$25:$AA$25,0),),IF(H201="SPK",VLOOKUP(I201,QCSPK,3,),IF(AND(H201="ATP",OR(I201="TP",I201="TDP")),VLOOKUP(E201,QCATP_P,2,),""))))))))</f>
        <v/>
      </c>
      <c r="W201" s="31" t="str">
        <f t="shared" si="57"/>
        <v>TRUE</v>
      </c>
      <c r="X201" s="31" t="str">
        <f t="shared" si="55"/>
        <v/>
      </c>
      <c r="Y201" s="10" t="s">
        <v>967</v>
      </c>
      <c r="AL201" s="10" t="str">
        <f t="shared" si="53"/>
        <v>FALSE</v>
      </c>
      <c r="AM201" s="10" t="str">
        <f t="shared" si="53"/>
        <v>FALSE</v>
      </c>
      <c r="AN201" s="10" t="str">
        <f t="shared" si="53"/>
        <v>FALSE</v>
      </c>
      <c r="AO201" s="10" t="str">
        <f t="shared" si="54"/>
        <v>FALSE</v>
      </c>
      <c r="AP201" s="10" t="str">
        <f t="shared" si="54"/>
        <v>FALSE</v>
      </c>
      <c r="AQ201" s="10" t="b">
        <f>IF(AND(I201="TP",S201&lt;=150),VLOOKUP(AF201,TPCalibEq150!$AZ$2:$BB$166,3,),IF(AND(I201="TDP",S201&lt;=150),VLOOKUP(AF201,TPCalibEq150!$AZ$2:$BB$166,3,)))</f>
        <v>0</v>
      </c>
      <c r="AR201" s="10" t="b">
        <f>IF(AND(I201="TP",S201&lt;=300),VLOOKUP(AF201,TPCalibEq300!$AZ$2:$BB$166,3,),IF(AND(I201="TDP",S201&lt;=300),VLOOKUP(AF201,TPCalibEq300!$AZ$2:$BB$166,3,)))</f>
        <v>0</v>
      </c>
      <c r="AS201" s="10" t="b">
        <f>IF(AND(I201="TP",S201&lt;=500),VLOOKUP(AF201,TPCalibEq500!$AZ$2:$BB$165,3,),IF(AND(I201="TDP",S201&lt;=500),VLOOKUP(AF201,TPCalibEq500!$AZ$2:$BB$165,3,)))</f>
        <v>0</v>
      </c>
      <c r="AT201" s="10" t="b">
        <f>IF(AND(I201="TN",S201&lt;=2800),VLOOKUP(AF201,TNCalibEq2500!$AZ$2:$BB$165,3,),IF(AND(I201="TDN",S201&lt;=2800),VLOOKUP(AF201,TNCalibEq2500!$AZ$2:$BB$165,3,)))</f>
        <v>0</v>
      </c>
      <c r="AU201" s="10" t="b">
        <f>IF(I201="TP",VLOOKUP(AF201,TPCalibEqFull!$AZ$2:$BB$165,3),IF(I201="TDP",VLOOKUP(AF201,TPCalibEqFull!$AZ$2:$BB$165,3),IF(I201="TDN",VLOOKUP(AF201,TNCalibEqFull!$AZ$2:$BB$164,3),IF(I201="TN",VLOOKUP(AF201,TNCalibEqFull!$AZ$2:$BB$164,3),FALSE))))</f>
        <v>0</v>
      </c>
      <c r="AV201" s="10" t="str">
        <f t="shared" si="52"/>
        <v>20240727 00:00:00-1000-4-Sh-1-SW-UKN</v>
      </c>
    </row>
    <row r="202" spans="1:48" s="10" customFormat="1" x14ac:dyDescent="0.3">
      <c r="A202" s="32">
        <v>45500</v>
      </c>
      <c r="B202" s="33">
        <v>0</v>
      </c>
      <c r="C202" s="10">
        <v>1000</v>
      </c>
      <c r="D202" s="10" t="s">
        <v>995</v>
      </c>
      <c r="E202" s="10" t="s">
        <v>953</v>
      </c>
      <c r="F202" s="10">
        <v>2</v>
      </c>
      <c r="G202" s="10" t="s">
        <v>229</v>
      </c>
      <c r="H202" s="10" t="s">
        <v>320</v>
      </c>
      <c r="I202" s="10" t="s">
        <v>322</v>
      </c>
      <c r="J202" s="10">
        <v>14</v>
      </c>
      <c r="K202" s="12">
        <v>45688</v>
      </c>
      <c r="L202" s="33">
        <v>0.46300925925925923</v>
      </c>
      <c r="M202" s="10">
        <v>1</v>
      </c>
      <c r="N202" s="10" t="s">
        <v>256</v>
      </c>
      <c r="O202" s="10">
        <v>3.8800000000000001E-2</v>
      </c>
      <c r="P202" s="10">
        <v>1.4499999999999999E-3</v>
      </c>
      <c r="Q202" s="10">
        <v>3.98</v>
      </c>
      <c r="R202" s="10" t="s">
        <v>168</v>
      </c>
      <c r="S202" s="34">
        <f t="shared" si="56"/>
        <v>3.98</v>
      </c>
      <c r="T202" s="10" t="s">
        <v>968</v>
      </c>
      <c r="U202" s="34" t="str">
        <f t="shared" si="58"/>
        <v/>
      </c>
      <c r="V202" s="31" t="str">
        <f>IF(H202="CHK",VLOOKUP(I202,QCCHK,3,),IF(H202="GUP",VLOOKUP(E202,QCGUP,2,),IF(AND(H202="ATP",OR(I202="TN",I202="TDN",I202="TNO2-3",I202="NO2-3")),VLOOKUP(E202,QCREC_N,2,),IF(AND(H202="NIC",OR(I202="TN",I202="TDN",I202="TNO2-3",I202="NO2-3")),VLOOKUP(E202,QCNIC_N,2,),IF(AND(H202="UREA",OR(I202="TN",I202="TDN",I202="TNO2-3",I202="NO2-3")),VLOOKUP(E202,QCUREA_N,2,),IF(H202="PER",VLOOKUP(I202,QCPER,MATCH(E202,QCACTUAL!$J$25:$AA$25,0),),IF(H202="SPK",VLOOKUP(I202,QCSPK,3,),IF(AND(H202="ATP",OR(I202="TP",I202="TDP")),VLOOKUP(E202,QCATP_P,2,),""))))))))</f>
        <v/>
      </c>
      <c r="W202" s="31" t="str">
        <f t="shared" si="57"/>
        <v>TRUE</v>
      </c>
      <c r="X202" s="31" t="str">
        <f t="shared" si="55"/>
        <v/>
      </c>
      <c r="Y202" s="10" t="s">
        <v>967</v>
      </c>
      <c r="AL202" s="10" t="str">
        <f t="shared" si="53"/>
        <v>FALSE</v>
      </c>
      <c r="AM202" s="10" t="str">
        <f t="shared" si="53"/>
        <v>FALSE</v>
      </c>
      <c r="AN202" s="10" t="str">
        <f t="shared" si="53"/>
        <v>FALSE</v>
      </c>
      <c r="AO202" s="10" t="str">
        <f t="shared" si="54"/>
        <v>FALSE</v>
      </c>
      <c r="AP202" s="10" t="str">
        <f t="shared" si="54"/>
        <v>FALSE</v>
      </c>
      <c r="AQ202" s="10" t="b">
        <f>IF(AND(I202="TP",S202&lt;=150),VLOOKUP(AF202,TPCalibEq150!$AZ$2:$BB$166,3,),IF(AND(I202="TDP",S202&lt;=150),VLOOKUP(AF202,TPCalibEq150!$AZ$2:$BB$166,3,)))</f>
        <v>0</v>
      </c>
      <c r="AR202" s="10" t="b">
        <f>IF(AND(I202="TP",S202&lt;=300),VLOOKUP(AF202,TPCalibEq300!$AZ$2:$BB$166,3,),IF(AND(I202="TDP",S202&lt;=300),VLOOKUP(AF202,TPCalibEq300!$AZ$2:$BB$166,3,)))</f>
        <v>0</v>
      </c>
      <c r="AS202" s="10" t="b">
        <f>IF(AND(I202="TP",S202&lt;=500),VLOOKUP(AF202,TPCalibEq500!$AZ$2:$BB$165,3,),IF(AND(I202="TDP",S202&lt;=500),VLOOKUP(AF202,TPCalibEq500!$AZ$2:$BB$165,3,)))</f>
        <v>0</v>
      </c>
      <c r="AT202" s="10" t="b">
        <f>IF(AND(I202="TN",S202&lt;=2800),VLOOKUP(AF202,TNCalibEq2500!$AZ$2:$BB$165,3,),IF(AND(I202="TDN",S202&lt;=2800),VLOOKUP(AF202,TNCalibEq2500!$AZ$2:$BB$165,3,)))</f>
        <v>0</v>
      </c>
      <c r="AU202" s="10" t="b">
        <f>IF(I202="TP",VLOOKUP(AF202,TPCalibEqFull!$AZ$2:$BB$165,3),IF(I202="TDP",VLOOKUP(AF202,TPCalibEqFull!$AZ$2:$BB$165,3),IF(I202="TDN",VLOOKUP(AF202,TNCalibEqFull!$AZ$2:$BB$164,3),IF(I202="TN",VLOOKUP(AF202,TNCalibEqFull!$AZ$2:$BB$164,3),FALSE))))</f>
        <v>0</v>
      </c>
      <c r="AV202" s="10" t="str">
        <f t="shared" si="52"/>
        <v>20240727 00:00:00-1000-4-Sh-2-SW-UKN</v>
      </c>
    </row>
    <row r="203" spans="1:48" s="10" customFormat="1" x14ac:dyDescent="0.3">
      <c r="A203" s="32">
        <v>45500</v>
      </c>
      <c r="B203" s="33">
        <v>0</v>
      </c>
      <c r="C203" s="10">
        <v>1000</v>
      </c>
      <c r="D203" s="10" t="s">
        <v>995</v>
      </c>
      <c r="E203" s="10" t="s">
        <v>954</v>
      </c>
      <c r="F203" s="10">
        <v>1</v>
      </c>
      <c r="G203" s="10" t="s">
        <v>229</v>
      </c>
      <c r="H203" s="10" t="s">
        <v>320</v>
      </c>
      <c r="I203" s="10" t="s">
        <v>322</v>
      </c>
      <c r="J203" s="10">
        <v>15</v>
      </c>
      <c r="K203" s="12">
        <v>45688</v>
      </c>
      <c r="L203" s="33">
        <v>0.463900462962963</v>
      </c>
      <c r="M203" s="10">
        <v>1</v>
      </c>
      <c r="N203" s="10" t="s">
        <v>256</v>
      </c>
      <c r="O203" s="10">
        <v>2.1100000000000001E-2</v>
      </c>
      <c r="P203" s="10">
        <v>1E-3</v>
      </c>
      <c r="Q203" s="10">
        <v>2.16</v>
      </c>
      <c r="R203" s="10" t="s">
        <v>168</v>
      </c>
      <c r="S203" s="34">
        <f t="shared" si="56"/>
        <v>2.16</v>
      </c>
      <c r="T203" s="10" t="s">
        <v>968</v>
      </c>
      <c r="U203" s="34" t="str">
        <f t="shared" si="58"/>
        <v/>
      </c>
      <c r="V203" s="31" t="str">
        <f>IF(H203="CHK",VLOOKUP(I203,QCCHK,3,),IF(H203="GUP",VLOOKUP(E203,QCGUP,2,),IF(AND(H203="ATP",OR(I203="TN",I203="TDN",I203="TNO2-3",I203="NO2-3")),VLOOKUP(E203,QCREC_N,2,),IF(AND(H203="NIC",OR(I203="TN",I203="TDN",I203="TNO2-3",I203="NO2-3")),VLOOKUP(E203,QCNIC_N,2,),IF(AND(H203="UREA",OR(I203="TN",I203="TDN",I203="TNO2-3",I203="NO2-3")),VLOOKUP(E203,QCUREA_N,2,),IF(H203="PER",VLOOKUP(I203,QCPER,MATCH(E203,QCACTUAL!$J$25:$AA$25,0),),IF(H203="SPK",VLOOKUP(I203,QCSPK,3,),IF(AND(H203="ATP",OR(I203="TP",I203="TDP")),VLOOKUP(E203,QCATP_P,2,),""))))))))</f>
        <v/>
      </c>
      <c r="W203" s="31" t="str">
        <f t="shared" si="57"/>
        <v>TRUE</v>
      </c>
      <c r="X203" s="31" t="str">
        <f t="shared" si="55"/>
        <v/>
      </c>
      <c r="Y203" s="10" t="s">
        <v>967</v>
      </c>
      <c r="AL203" s="10" t="str">
        <f t="shared" si="53"/>
        <v>FALSE</v>
      </c>
      <c r="AM203" s="10" t="str">
        <f t="shared" si="53"/>
        <v>FALSE</v>
      </c>
      <c r="AN203" s="10" t="str">
        <f t="shared" si="53"/>
        <v>FALSE</v>
      </c>
      <c r="AO203" s="10" t="str">
        <f t="shared" si="54"/>
        <v>FALSE</v>
      </c>
      <c r="AP203" s="10" t="str">
        <f t="shared" si="54"/>
        <v>FALSE</v>
      </c>
      <c r="AQ203" s="10" t="b">
        <f>IF(AND(I203="TP",S203&lt;=150),VLOOKUP(AF203,TPCalibEq150!$AZ$2:$BB$166,3,),IF(AND(I203="TDP",S203&lt;=150),VLOOKUP(AF203,TPCalibEq150!$AZ$2:$BB$166,3,)))</f>
        <v>0</v>
      </c>
      <c r="AR203" s="10" t="b">
        <f>IF(AND(I203="TP",S203&lt;=300),VLOOKUP(AF203,TPCalibEq300!$AZ$2:$BB$166,3,),IF(AND(I203="TDP",S203&lt;=300),VLOOKUP(AF203,TPCalibEq300!$AZ$2:$BB$166,3,)))</f>
        <v>0</v>
      </c>
      <c r="AS203" s="10" t="b">
        <f>IF(AND(I203="TP",S203&lt;=500),VLOOKUP(AF203,TPCalibEq500!$AZ$2:$BB$165,3,),IF(AND(I203="TDP",S203&lt;=500),VLOOKUP(AF203,TPCalibEq500!$AZ$2:$BB$165,3,)))</f>
        <v>0</v>
      </c>
      <c r="AT203" s="10" t="b">
        <f>IF(AND(I203="TN",S203&lt;=2800),VLOOKUP(AF203,TNCalibEq2500!$AZ$2:$BB$165,3,),IF(AND(I203="TDN",S203&lt;=2800),VLOOKUP(AF203,TNCalibEq2500!$AZ$2:$BB$165,3,)))</f>
        <v>0</v>
      </c>
      <c r="AU203" s="10" t="b">
        <f>IF(I203="TP",VLOOKUP(AF203,TPCalibEqFull!$AZ$2:$BB$165,3),IF(I203="TDP",VLOOKUP(AF203,TPCalibEqFull!$AZ$2:$BB$165,3),IF(I203="TDN",VLOOKUP(AF203,TNCalibEqFull!$AZ$2:$BB$164,3),IF(I203="TN",VLOOKUP(AF203,TNCalibEqFull!$AZ$2:$BB$164,3),FALSE))))</f>
        <v>0</v>
      </c>
      <c r="AV203" s="10" t="str">
        <f t="shared" si="52"/>
        <v>20240727 00:00:00-1000-4-Dp-1-SW-UKN</v>
      </c>
    </row>
    <row r="204" spans="1:48" s="10" customFormat="1" x14ac:dyDescent="0.3">
      <c r="A204" s="32">
        <v>45507</v>
      </c>
      <c r="B204" s="33">
        <v>0</v>
      </c>
      <c r="C204" s="10">
        <v>1000</v>
      </c>
      <c r="D204" s="10" t="s">
        <v>996</v>
      </c>
      <c r="E204" s="10" t="s">
        <v>953</v>
      </c>
      <c r="F204" s="10">
        <v>1</v>
      </c>
      <c r="G204" s="10" t="s">
        <v>72</v>
      </c>
      <c r="H204" s="10" t="s">
        <v>239</v>
      </c>
      <c r="I204" s="10" t="s">
        <v>322</v>
      </c>
      <c r="J204" s="10">
        <v>16</v>
      </c>
      <c r="K204" s="12">
        <v>45688</v>
      </c>
      <c r="L204" s="33">
        <v>0.46481481481481479</v>
      </c>
      <c r="M204" s="10">
        <v>1</v>
      </c>
      <c r="N204" s="10" t="s">
        <v>256</v>
      </c>
      <c r="O204" s="10">
        <v>4.7200000000000002E-3</v>
      </c>
      <c r="P204" s="10">
        <v>5.7700000000000004E-4</v>
      </c>
      <c r="Q204" s="10">
        <v>0.48399999999999999</v>
      </c>
      <c r="R204" s="10" t="s">
        <v>168</v>
      </c>
      <c r="S204" s="34">
        <f t="shared" si="56"/>
        <v>0.48399999999999999</v>
      </c>
      <c r="T204" s="10" t="s">
        <v>968</v>
      </c>
      <c r="U204" s="34" t="str">
        <f t="shared" si="58"/>
        <v/>
      </c>
      <c r="V204" s="31" t="str">
        <f>IF(H204="CHK",VLOOKUP(I204,QCCHK,3,),IF(H204="GUP",VLOOKUP(E204,QCGUP,2,),IF(AND(H204="ATP",OR(I204="TN",I204="TDN",I204="TNO2-3",I204="NO2-3")),VLOOKUP(E204,QCREC_N,2,),IF(AND(H204="NIC",OR(I204="TN",I204="TDN",I204="TNO2-3",I204="NO2-3")),VLOOKUP(E204,QCNIC_N,2,),IF(AND(H204="UREA",OR(I204="TN",I204="TDN",I204="TNO2-3",I204="NO2-3")),VLOOKUP(E204,QCUREA_N,2,),IF(H204="PER",VLOOKUP(I204,QCPER,MATCH(E204,QCACTUAL!$J$25:$AA$25,0),),IF(H204="SPK",VLOOKUP(I204,QCSPK,3,),IF(AND(H204="ATP",OR(I204="TP",I204="TDP")),VLOOKUP(E204,QCATP_P,2,),""))))))))</f>
        <v/>
      </c>
      <c r="W204" s="31" t="str">
        <f t="shared" si="57"/>
        <v>TRUE</v>
      </c>
      <c r="X204" s="31" t="str">
        <f t="shared" si="55"/>
        <v/>
      </c>
      <c r="Y204" s="10" t="s">
        <v>967</v>
      </c>
      <c r="AL204" s="10" t="str">
        <f t="shared" si="53"/>
        <v>FALSE</v>
      </c>
      <c r="AM204" s="10" t="str">
        <f t="shared" si="53"/>
        <v>FALSE</v>
      </c>
      <c r="AN204" s="10" t="str">
        <f t="shared" si="53"/>
        <v>FALSE</v>
      </c>
      <c r="AO204" s="10" t="str">
        <f t="shared" si="54"/>
        <v>FALSE</v>
      </c>
      <c r="AP204" s="10" t="str">
        <f t="shared" si="54"/>
        <v>FALSE</v>
      </c>
      <c r="AQ204" s="10" t="b">
        <f>IF(AND(I204="TP",S204&lt;=150),VLOOKUP(AF204,TPCalibEq150!$AZ$2:$BB$166,3,),IF(AND(I204="TDP",S204&lt;=150),VLOOKUP(AF204,TPCalibEq150!$AZ$2:$BB$166,3,)))</f>
        <v>0</v>
      </c>
      <c r="AR204" s="10" t="b">
        <f>IF(AND(I204="TP",S204&lt;=300),VLOOKUP(AF204,TPCalibEq300!$AZ$2:$BB$166,3,),IF(AND(I204="TDP",S204&lt;=300),VLOOKUP(AF204,TPCalibEq300!$AZ$2:$BB$166,3,)))</f>
        <v>0</v>
      </c>
      <c r="AS204" s="10" t="b">
        <f>IF(AND(I204="TP",S204&lt;=500),VLOOKUP(AF204,TPCalibEq500!$AZ$2:$BB$165,3,),IF(AND(I204="TDP",S204&lt;=500),VLOOKUP(AF204,TPCalibEq500!$AZ$2:$BB$165,3,)))</f>
        <v>0</v>
      </c>
      <c r="AT204" s="10" t="b">
        <f>IF(AND(I204="TN",S204&lt;=2800),VLOOKUP(AF204,TNCalibEq2500!$AZ$2:$BB$165,3,),IF(AND(I204="TDN",S204&lt;=2800),VLOOKUP(AF204,TNCalibEq2500!$AZ$2:$BB$165,3,)))</f>
        <v>0</v>
      </c>
      <c r="AU204" s="10" t="b">
        <f>IF(I204="TP",VLOOKUP(AF204,TPCalibEqFull!$AZ$2:$BB$165,3),IF(I204="TDP",VLOOKUP(AF204,TPCalibEqFull!$AZ$2:$BB$165,3),IF(I204="TDN",VLOOKUP(AF204,TNCalibEqFull!$AZ$2:$BB$164,3),IF(I204="TN",VLOOKUP(AF204,TNCalibEqFull!$AZ$2:$BB$164,3),FALSE))))</f>
        <v>0</v>
      </c>
      <c r="AV204" s="10" t="str">
        <f t="shared" si="52"/>
        <v>20240803 00:00:00-1000-9-Sh-1-DI-BLK</v>
      </c>
    </row>
    <row r="205" spans="1:48" s="10" customFormat="1" x14ac:dyDescent="0.3">
      <c r="A205" s="32">
        <v>45507</v>
      </c>
      <c r="B205" s="33">
        <v>0</v>
      </c>
      <c r="C205" s="10">
        <v>1000</v>
      </c>
      <c r="D205" s="10" t="s">
        <v>996</v>
      </c>
      <c r="E205" s="10" t="s">
        <v>953</v>
      </c>
      <c r="F205" s="10">
        <v>1</v>
      </c>
      <c r="G205" s="10" t="s">
        <v>229</v>
      </c>
      <c r="H205" s="10" t="s">
        <v>320</v>
      </c>
      <c r="I205" s="10" t="s">
        <v>322</v>
      </c>
      <c r="J205" s="10">
        <v>17</v>
      </c>
      <c r="K205" s="12">
        <v>45688</v>
      </c>
      <c r="L205" s="33">
        <v>0.46571759259259254</v>
      </c>
      <c r="M205" s="10">
        <v>1</v>
      </c>
      <c r="N205" s="10" t="s">
        <v>256</v>
      </c>
      <c r="O205" s="10">
        <v>3.5700000000000003E-2</v>
      </c>
      <c r="P205" s="10">
        <v>1.7700000000000001E-3</v>
      </c>
      <c r="Q205" s="10">
        <v>3.66</v>
      </c>
      <c r="R205" s="10" t="s">
        <v>168</v>
      </c>
      <c r="S205" s="34">
        <f t="shared" si="56"/>
        <v>3.66</v>
      </c>
      <c r="T205" s="10" t="s">
        <v>968</v>
      </c>
      <c r="U205" s="34" t="str">
        <f t="shared" si="58"/>
        <v/>
      </c>
      <c r="V205" s="31" t="str">
        <f>IF(H205="CHK",VLOOKUP(I205,QCCHK,3,),IF(H205="GUP",VLOOKUP(E205,QCGUP,2,),IF(AND(H205="ATP",OR(I205="TN",I205="TDN",I205="TNO2-3",I205="NO2-3")),VLOOKUP(E205,QCREC_N,2,),IF(AND(H205="NIC",OR(I205="TN",I205="TDN",I205="TNO2-3",I205="NO2-3")),VLOOKUP(E205,QCNIC_N,2,),IF(AND(H205="UREA",OR(I205="TN",I205="TDN",I205="TNO2-3",I205="NO2-3")),VLOOKUP(E205,QCUREA_N,2,),IF(H205="PER",VLOOKUP(I205,QCPER,MATCH(E205,QCACTUAL!$J$25:$AA$25,0),),IF(H205="SPK",VLOOKUP(I205,QCSPK,3,),IF(AND(H205="ATP",OR(I205="TP",I205="TDP")),VLOOKUP(E205,QCATP_P,2,),""))))))))</f>
        <v/>
      </c>
      <c r="W205" s="31" t="str">
        <f t="shared" si="57"/>
        <v>TRUE</v>
      </c>
      <c r="X205" s="31" t="str">
        <f t="shared" si="55"/>
        <v/>
      </c>
      <c r="Y205" s="10" t="s">
        <v>967</v>
      </c>
      <c r="AL205" s="10" t="str">
        <f t="shared" si="53"/>
        <v>FALSE</v>
      </c>
      <c r="AM205" s="10" t="str">
        <f t="shared" si="53"/>
        <v>FALSE</v>
      </c>
      <c r="AN205" s="10" t="str">
        <f t="shared" si="53"/>
        <v>FALSE</v>
      </c>
      <c r="AO205" s="10" t="str">
        <f t="shared" si="54"/>
        <v>FALSE</v>
      </c>
      <c r="AP205" s="10" t="str">
        <f t="shared" si="54"/>
        <v>FALSE</v>
      </c>
      <c r="AQ205" s="10" t="b">
        <f>IF(AND(I205="TP",S205&lt;=150),VLOOKUP(AF205,TPCalibEq150!$AZ$2:$BB$166,3,),IF(AND(I205="TDP",S205&lt;=150),VLOOKUP(AF205,TPCalibEq150!$AZ$2:$BB$166,3,)))</f>
        <v>0</v>
      </c>
      <c r="AR205" s="10" t="b">
        <f>IF(AND(I205="TP",S205&lt;=300),VLOOKUP(AF205,TPCalibEq300!$AZ$2:$BB$166,3,),IF(AND(I205="TDP",S205&lt;=300),VLOOKUP(AF205,TPCalibEq300!$AZ$2:$BB$166,3,)))</f>
        <v>0</v>
      </c>
      <c r="AS205" s="10" t="b">
        <f>IF(AND(I205="TP",S205&lt;=500),VLOOKUP(AF205,TPCalibEq500!$AZ$2:$BB$165,3,),IF(AND(I205="TDP",S205&lt;=500),VLOOKUP(AF205,TPCalibEq500!$AZ$2:$BB$165,3,)))</f>
        <v>0</v>
      </c>
      <c r="AT205" s="10" t="b">
        <f>IF(AND(I205="TN",S205&lt;=2800),VLOOKUP(AF205,TNCalibEq2500!$AZ$2:$BB$165,3,),IF(AND(I205="TDN",S205&lt;=2800),VLOOKUP(AF205,TNCalibEq2500!$AZ$2:$BB$165,3,)))</f>
        <v>0</v>
      </c>
      <c r="AU205" s="10" t="b">
        <f>IF(I205="TP",VLOOKUP(AF205,TPCalibEqFull!$AZ$2:$BB$165,3),IF(I205="TDP",VLOOKUP(AF205,TPCalibEqFull!$AZ$2:$BB$165,3),IF(I205="TDN",VLOOKUP(AF205,TNCalibEqFull!$AZ$2:$BB$164,3),IF(I205="TN",VLOOKUP(AF205,TNCalibEqFull!$AZ$2:$BB$164,3),FALSE))))</f>
        <v>0</v>
      </c>
      <c r="AV205" s="10" t="str">
        <f t="shared" si="52"/>
        <v>20240803 00:00:00-1000-9-Sh-1-SW-UKN</v>
      </c>
    </row>
    <row r="206" spans="1:48" s="10" customFormat="1" x14ac:dyDescent="0.3">
      <c r="A206" s="32">
        <v>45507</v>
      </c>
      <c r="B206" s="33">
        <v>0</v>
      </c>
      <c r="C206" s="10">
        <v>1000</v>
      </c>
      <c r="D206" s="10" t="s">
        <v>996</v>
      </c>
      <c r="E206" s="10" t="s">
        <v>954</v>
      </c>
      <c r="F206" s="10">
        <v>1</v>
      </c>
      <c r="G206" s="10" t="s">
        <v>229</v>
      </c>
      <c r="H206" s="10" t="s">
        <v>320</v>
      </c>
      <c r="I206" s="10" t="s">
        <v>322</v>
      </c>
      <c r="J206" s="10">
        <v>18</v>
      </c>
      <c r="K206" s="12">
        <v>45688</v>
      </c>
      <c r="L206" s="33">
        <v>0.46663194444444445</v>
      </c>
      <c r="M206" s="10">
        <v>1</v>
      </c>
      <c r="N206" s="10" t="s">
        <v>256</v>
      </c>
      <c r="O206" s="10">
        <v>1.0200000000000001E-2</v>
      </c>
      <c r="P206" s="10">
        <v>8.7900000000000001E-4</v>
      </c>
      <c r="Q206" s="10">
        <v>1.05</v>
      </c>
      <c r="R206" s="10" t="s">
        <v>168</v>
      </c>
      <c r="S206" s="34">
        <f t="shared" si="56"/>
        <v>1.05</v>
      </c>
      <c r="T206" s="10" t="s">
        <v>968</v>
      </c>
      <c r="U206" s="34" t="str">
        <f t="shared" si="58"/>
        <v/>
      </c>
      <c r="V206" s="31" t="str">
        <f>IF(H206="CHK",VLOOKUP(I206,QCCHK,3,),IF(H206="GUP",VLOOKUP(E206,QCGUP,2,),IF(AND(H206="ATP",OR(I206="TN",I206="TDN",I206="TNO2-3",I206="NO2-3")),VLOOKUP(E206,QCREC_N,2,),IF(AND(H206="NIC",OR(I206="TN",I206="TDN",I206="TNO2-3",I206="NO2-3")),VLOOKUP(E206,QCNIC_N,2,),IF(AND(H206="UREA",OR(I206="TN",I206="TDN",I206="TNO2-3",I206="NO2-3")),VLOOKUP(E206,QCUREA_N,2,),IF(H206="PER",VLOOKUP(I206,QCPER,MATCH(E206,QCACTUAL!$J$25:$AA$25,0),),IF(H206="SPK",VLOOKUP(I206,QCSPK,3,),IF(AND(H206="ATP",OR(I206="TP",I206="TDP")),VLOOKUP(E206,QCATP_P,2,),""))))))))</f>
        <v/>
      </c>
      <c r="W206" s="31" t="str">
        <f t="shared" si="57"/>
        <v>TRUE</v>
      </c>
      <c r="X206" s="31" t="str">
        <f t="shared" si="55"/>
        <v/>
      </c>
      <c r="Y206" s="10" t="s">
        <v>967</v>
      </c>
      <c r="AL206" s="10" t="str">
        <f t="shared" si="53"/>
        <v>FALSE</v>
      </c>
      <c r="AM206" s="10" t="str">
        <f t="shared" si="53"/>
        <v>FALSE</v>
      </c>
      <c r="AN206" s="10" t="str">
        <f t="shared" si="53"/>
        <v>FALSE</v>
      </c>
      <c r="AO206" s="10" t="str">
        <f t="shared" si="54"/>
        <v>FALSE</v>
      </c>
      <c r="AP206" s="10" t="str">
        <f t="shared" si="54"/>
        <v>FALSE</v>
      </c>
      <c r="AQ206" s="10" t="b">
        <f>IF(AND(I206="TP",S206&lt;=150),VLOOKUP(AF206,TPCalibEq150!$AZ$2:$BB$166,3,),IF(AND(I206="TDP",S206&lt;=150),VLOOKUP(AF206,TPCalibEq150!$AZ$2:$BB$166,3,)))</f>
        <v>0</v>
      </c>
      <c r="AR206" s="10" t="b">
        <f>IF(AND(I206="TP",S206&lt;=300),VLOOKUP(AF206,TPCalibEq300!$AZ$2:$BB$166,3,),IF(AND(I206="TDP",S206&lt;=300),VLOOKUP(AF206,TPCalibEq300!$AZ$2:$BB$166,3,)))</f>
        <v>0</v>
      </c>
      <c r="AS206" s="10" t="b">
        <f>IF(AND(I206="TP",S206&lt;=500),VLOOKUP(AF206,TPCalibEq500!$AZ$2:$BB$165,3,),IF(AND(I206="TDP",S206&lt;=500),VLOOKUP(AF206,TPCalibEq500!$AZ$2:$BB$165,3,)))</f>
        <v>0</v>
      </c>
      <c r="AT206" s="10" t="b">
        <f>IF(AND(I206="TN",S206&lt;=2800),VLOOKUP(AF206,TNCalibEq2500!$AZ$2:$BB$165,3,),IF(AND(I206="TDN",S206&lt;=2800),VLOOKUP(AF206,TNCalibEq2500!$AZ$2:$BB$165,3,)))</f>
        <v>0</v>
      </c>
      <c r="AU206" s="10" t="b">
        <f>IF(I206="TP",VLOOKUP(AF206,TPCalibEqFull!$AZ$2:$BB$165,3),IF(I206="TDP",VLOOKUP(AF206,TPCalibEqFull!$AZ$2:$BB$165,3),IF(I206="TDN",VLOOKUP(AF206,TNCalibEqFull!$AZ$2:$BB$164,3),IF(I206="TN",VLOOKUP(AF206,TNCalibEqFull!$AZ$2:$BB$164,3),FALSE))))</f>
        <v>0</v>
      </c>
      <c r="AV206" s="10" t="str">
        <f t="shared" ref="AV206:AV223" si="59">TEXT(A206, "YYYYMMDD")&amp;" "&amp;TEXT(B206, "HH:MM:SS")&amp;"-"&amp;C206&amp;"-"&amp;D206&amp;"-"&amp;E206&amp;"-"&amp;F206&amp;"-"&amp;G206&amp;"-"&amp;H206</f>
        <v>20240803 00:00:00-1000-9-Dp-1-SW-UKN</v>
      </c>
    </row>
    <row r="207" spans="1:48" s="10" customFormat="1" x14ac:dyDescent="0.3">
      <c r="A207" s="32">
        <v>45507</v>
      </c>
      <c r="B207" s="33">
        <v>0</v>
      </c>
      <c r="C207" s="10">
        <v>1000</v>
      </c>
      <c r="D207" s="10" t="s">
        <v>997</v>
      </c>
      <c r="E207" s="10" t="s">
        <v>954</v>
      </c>
      <c r="F207" s="10">
        <v>1</v>
      </c>
      <c r="G207" s="10" t="s">
        <v>72</v>
      </c>
      <c r="H207" s="10" t="s">
        <v>320</v>
      </c>
      <c r="I207" s="10" t="s">
        <v>322</v>
      </c>
      <c r="J207" s="10">
        <v>19</v>
      </c>
      <c r="K207" s="12">
        <v>45688</v>
      </c>
      <c r="L207" s="33">
        <v>0.4675347222222222</v>
      </c>
      <c r="M207" s="10">
        <v>1</v>
      </c>
      <c r="N207" s="10" t="s">
        <v>256</v>
      </c>
      <c r="O207" s="10">
        <v>2.8899999999999999E-2</v>
      </c>
      <c r="P207" s="10">
        <v>1.14E-3</v>
      </c>
      <c r="Q207" s="10">
        <v>2.96</v>
      </c>
      <c r="R207" s="10" t="s">
        <v>168</v>
      </c>
      <c r="S207" s="34">
        <f t="shared" si="56"/>
        <v>2.96</v>
      </c>
      <c r="T207" s="10" t="s">
        <v>968</v>
      </c>
      <c r="U207" s="34" t="str">
        <f t="shared" si="58"/>
        <v/>
      </c>
      <c r="V207" s="31" t="str">
        <f>IF(H207="CHK",VLOOKUP(I207,QCCHK,3,),IF(H207="GUP",VLOOKUP(E207,QCGUP,2,),IF(AND(H207="ATP",OR(I207="TN",I207="TDN",I207="TNO2-3",I207="NO2-3")),VLOOKUP(E207,QCREC_N,2,),IF(AND(H207="NIC",OR(I207="TN",I207="TDN",I207="TNO2-3",I207="NO2-3")),VLOOKUP(E207,QCNIC_N,2,),IF(AND(H207="UREA",OR(I207="TN",I207="TDN",I207="TNO2-3",I207="NO2-3")),VLOOKUP(E207,QCUREA_N,2,),IF(H207="PER",VLOOKUP(I207,QCPER,MATCH(E207,QCACTUAL!$J$25:$AA$25,0),),IF(H207="SPK",VLOOKUP(I207,QCSPK,3,),IF(AND(H207="ATP",OR(I207="TP",I207="TDP")),VLOOKUP(E207,QCATP_P,2,),""))))))))</f>
        <v/>
      </c>
      <c r="W207" s="31" t="str">
        <f t="shared" si="57"/>
        <v>TRUE</v>
      </c>
      <c r="X207" s="31" t="str">
        <f t="shared" si="55"/>
        <v/>
      </c>
      <c r="Y207" s="10" t="s">
        <v>967</v>
      </c>
      <c r="AL207" s="10" t="str">
        <f t="shared" si="53"/>
        <v>FALSE</v>
      </c>
      <c r="AM207" s="10" t="str">
        <f t="shared" si="53"/>
        <v>FALSE</v>
      </c>
      <c r="AN207" s="10" t="str">
        <f t="shared" si="53"/>
        <v>FALSE</v>
      </c>
      <c r="AO207" s="10" t="str">
        <f t="shared" si="54"/>
        <v>FALSE</v>
      </c>
      <c r="AP207" s="10" t="str">
        <f t="shared" si="54"/>
        <v>FALSE</v>
      </c>
      <c r="AQ207" s="10" t="b">
        <f>IF(AND(I207="TP",S207&lt;=150),VLOOKUP(AF207,TPCalibEq150!$AZ$2:$BB$166,3,),IF(AND(I207="TDP",S207&lt;=150),VLOOKUP(AF207,TPCalibEq150!$AZ$2:$BB$166,3,)))</f>
        <v>0</v>
      </c>
      <c r="AR207" s="10" t="b">
        <f>IF(AND(I207="TP",S207&lt;=300),VLOOKUP(AF207,TPCalibEq300!$AZ$2:$BB$166,3,),IF(AND(I207="TDP",S207&lt;=300),VLOOKUP(AF207,TPCalibEq300!$AZ$2:$BB$166,3,)))</f>
        <v>0</v>
      </c>
      <c r="AS207" s="10" t="b">
        <f>IF(AND(I207="TP",S207&lt;=500),VLOOKUP(AF207,TPCalibEq500!$AZ$2:$BB$165,3,),IF(AND(I207="TDP",S207&lt;=500),VLOOKUP(AF207,TPCalibEq500!$AZ$2:$BB$165,3,)))</f>
        <v>0</v>
      </c>
      <c r="AT207" s="10" t="b">
        <f>IF(AND(I207="TN",S207&lt;=2800),VLOOKUP(AF207,TNCalibEq2500!$AZ$2:$BB$165,3,),IF(AND(I207="TDN",S207&lt;=2800),VLOOKUP(AF207,TNCalibEq2500!$AZ$2:$BB$165,3,)))</f>
        <v>0</v>
      </c>
      <c r="AU207" s="10" t="b">
        <f>IF(I207="TP",VLOOKUP(AF207,TPCalibEqFull!$AZ$2:$BB$165,3),IF(I207="TDP",VLOOKUP(AF207,TPCalibEqFull!$AZ$2:$BB$165,3),IF(I207="TDN",VLOOKUP(AF207,TNCalibEqFull!$AZ$2:$BB$164,3),IF(I207="TN",VLOOKUP(AF207,TNCalibEqFull!$AZ$2:$BB$164,3),FALSE))))</f>
        <v>0</v>
      </c>
      <c r="AV207" s="10" t="str">
        <f t="shared" si="59"/>
        <v>20240803 00:00:00-1000-16-Dp-1-DI-UKN</v>
      </c>
    </row>
    <row r="208" spans="1:48" s="10" customFormat="1" x14ac:dyDescent="0.3">
      <c r="A208" s="32">
        <v>45507</v>
      </c>
      <c r="B208" s="33">
        <v>0</v>
      </c>
      <c r="C208" s="10">
        <v>1000</v>
      </c>
      <c r="D208" s="10" t="s">
        <v>997</v>
      </c>
      <c r="E208" s="10" t="s">
        <v>953</v>
      </c>
      <c r="F208" s="10">
        <v>1</v>
      </c>
      <c r="G208" s="10" t="s">
        <v>229</v>
      </c>
      <c r="H208" s="10" t="s">
        <v>239</v>
      </c>
      <c r="I208" s="10" t="s">
        <v>322</v>
      </c>
      <c r="J208" s="10">
        <v>20</v>
      </c>
      <c r="K208" s="12">
        <v>45688</v>
      </c>
      <c r="L208" s="33">
        <v>0.46843750000000001</v>
      </c>
      <c r="M208" s="10">
        <v>1</v>
      </c>
      <c r="N208" s="10" t="s">
        <v>256</v>
      </c>
      <c r="O208" s="10">
        <v>2.1999999999999999E-2</v>
      </c>
      <c r="P208" s="10">
        <v>1.1100000000000001E-3</v>
      </c>
      <c r="Q208" s="10">
        <v>2.2599999999999998</v>
      </c>
      <c r="R208" s="10" t="s">
        <v>168</v>
      </c>
      <c r="S208" s="34">
        <f t="shared" si="56"/>
        <v>2.2599999999999998</v>
      </c>
      <c r="T208" s="10" t="s">
        <v>968</v>
      </c>
      <c r="U208" s="34" t="str">
        <f t="shared" si="58"/>
        <v/>
      </c>
      <c r="V208" s="31" t="str">
        <f>IF(H208="CHK",VLOOKUP(I208,QCCHK,3,),IF(H208="GUP",VLOOKUP(E208,QCGUP,2,),IF(AND(H208="ATP",OR(I208="TN",I208="TDN",I208="TNO2-3",I208="NO2-3")),VLOOKUP(E208,QCREC_N,2,),IF(AND(H208="NIC",OR(I208="TN",I208="TDN",I208="TNO2-3",I208="NO2-3")),VLOOKUP(E208,QCNIC_N,2,),IF(AND(H208="UREA",OR(I208="TN",I208="TDN",I208="TNO2-3",I208="NO2-3")),VLOOKUP(E208,QCUREA_N,2,),IF(H208="PER",VLOOKUP(I208,QCPER,MATCH(E208,QCACTUAL!$J$25:$AA$25,0),),IF(H208="SPK",VLOOKUP(I208,QCSPK,3,),IF(AND(H208="ATP",OR(I208="TP",I208="TDP")),VLOOKUP(E208,QCATP_P,2,),""))))))))</f>
        <v/>
      </c>
      <c r="W208" s="31" t="str">
        <f t="shared" si="57"/>
        <v>TRUE</v>
      </c>
      <c r="X208" s="31" t="str">
        <f t="shared" si="55"/>
        <v/>
      </c>
      <c r="Y208" s="10" t="s">
        <v>967</v>
      </c>
      <c r="AL208" s="10" t="str">
        <f t="shared" si="53"/>
        <v>FALSE</v>
      </c>
      <c r="AM208" s="10" t="str">
        <f t="shared" si="53"/>
        <v>FALSE</v>
      </c>
      <c r="AN208" s="10" t="str">
        <f t="shared" si="53"/>
        <v>FALSE</v>
      </c>
      <c r="AO208" s="10" t="str">
        <f t="shared" si="54"/>
        <v>FALSE</v>
      </c>
      <c r="AP208" s="10" t="str">
        <f t="shared" si="54"/>
        <v>FALSE</v>
      </c>
      <c r="AQ208" s="10" t="b">
        <f>IF(AND(I208="TP",S208&lt;=150),VLOOKUP(AF208,TPCalibEq150!$AZ$2:$BB$166,3,),IF(AND(I208="TDP",S208&lt;=150),VLOOKUP(AF208,TPCalibEq150!$AZ$2:$BB$166,3,)))</f>
        <v>0</v>
      </c>
      <c r="AR208" s="10" t="b">
        <f>IF(AND(I208="TP",S208&lt;=300),VLOOKUP(AF208,TPCalibEq300!$AZ$2:$BB$166,3,),IF(AND(I208="TDP",S208&lt;=300),VLOOKUP(AF208,TPCalibEq300!$AZ$2:$BB$166,3,)))</f>
        <v>0</v>
      </c>
      <c r="AS208" s="10" t="b">
        <f>IF(AND(I208="TP",S208&lt;=500),VLOOKUP(AF208,TPCalibEq500!$AZ$2:$BB$165,3,),IF(AND(I208="TDP",S208&lt;=500),VLOOKUP(AF208,TPCalibEq500!$AZ$2:$BB$165,3,)))</f>
        <v>0</v>
      </c>
      <c r="AT208" s="10" t="b">
        <f>IF(AND(I208="TN",S208&lt;=2800),VLOOKUP(AF208,TNCalibEq2500!$AZ$2:$BB$165,3,),IF(AND(I208="TDN",S208&lt;=2800),VLOOKUP(AF208,TNCalibEq2500!$AZ$2:$BB$165,3,)))</f>
        <v>0</v>
      </c>
      <c r="AU208" s="10" t="b">
        <f>IF(I208="TP",VLOOKUP(AF208,TPCalibEqFull!$AZ$2:$BB$165,3),IF(I208="TDP",VLOOKUP(AF208,TPCalibEqFull!$AZ$2:$BB$165,3),IF(I208="TDN",VLOOKUP(AF208,TNCalibEqFull!$AZ$2:$BB$164,3),IF(I208="TN",VLOOKUP(AF208,TNCalibEqFull!$AZ$2:$BB$164,3),FALSE))))</f>
        <v>0</v>
      </c>
      <c r="AV208" s="10" t="str">
        <f t="shared" si="59"/>
        <v>20240803 00:00:00-1000-16-Sh-1-SW-BLK</v>
      </c>
    </row>
    <row r="209" spans="1:48" s="10" customFormat="1" x14ac:dyDescent="0.3">
      <c r="A209" s="32">
        <v>45507</v>
      </c>
      <c r="B209" s="33">
        <v>0</v>
      </c>
      <c r="C209" s="10">
        <v>1000</v>
      </c>
      <c r="D209" s="10" t="s">
        <v>997</v>
      </c>
      <c r="E209" s="10" t="s">
        <v>953</v>
      </c>
      <c r="F209" s="10">
        <v>1</v>
      </c>
      <c r="G209" s="10" t="s">
        <v>229</v>
      </c>
      <c r="H209" s="10" t="s">
        <v>320</v>
      </c>
      <c r="I209" s="10" t="s">
        <v>322</v>
      </c>
      <c r="J209" s="10">
        <v>21</v>
      </c>
      <c r="K209" s="12">
        <v>45688</v>
      </c>
      <c r="L209" s="33">
        <v>0.46934027777777776</v>
      </c>
      <c r="M209" s="10">
        <v>1</v>
      </c>
      <c r="N209" s="10" t="s">
        <v>256</v>
      </c>
      <c r="O209" s="10">
        <v>4.82E-2</v>
      </c>
      <c r="P209" s="10">
        <v>2.0500000000000002E-3</v>
      </c>
      <c r="Q209" s="10">
        <v>4.9400000000000004</v>
      </c>
      <c r="R209" s="10" t="s">
        <v>168</v>
      </c>
      <c r="S209" s="34">
        <f t="shared" si="56"/>
        <v>4.9400000000000004</v>
      </c>
      <c r="T209" s="10" t="s">
        <v>968</v>
      </c>
      <c r="U209" s="34" t="str">
        <f t="shared" si="58"/>
        <v/>
      </c>
      <c r="V209" s="31" t="str">
        <f>IF(H209="CHK",VLOOKUP(I209,QCCHK,3,),IF(H209="GUP",VLOOKUP(E209,QCGUP,2,),IF(AND(H209="ATP",OR(I209="TN",I209="TDN",I209="TNO2-3",I209="NO2-3")),VLOOKUP(E209,QCREC_N,2,),IF(AND(H209="NIC",OR(I209="TN",I209="TDN",I209="TNO2-3",I209="NO2-3")),VLOOKUP(E209,QCNIC_N,2,),IF(AND(H209="UREA",OR(I209="TN",I209="TDN",I209="TNO2-3",I209="NO2-3")),VLOOKUP(E209,QCUREA_N,2,),IF(H209="PER",VLOOKUP(I209,QCPER,MATCH(E209,QCACTUAL!$J$25:$AA$25,0),),IF(H209="SPK",VLOOKUP(I209,QCSPK,3,),IF(AND(H209="ATP",OR(I209="TP",I209="TDP")),VLOOKUP(E209,QCATP_P,2,),""))))))))</f>
        <v/>
      </c>
      <c r="W209" s="31" t="str">
        <f t="shared" si="57"/>
        <v>TRUE</v>
      </c>
      <c r="X209" s="31" t="str">
        <f t="shared" si="55"/>
        <v/>
      </c>
      <c r="Y209" s="10" t="s">
        <v>967</v>
      </c>
      <c r="AL209" s="10" t="str">
        <f t="shared" si="53"/>
        <v>FALSE</v>
      </c>
      <c r="AM209" s="10" t="str">
        <f t="shared" si="53"/>
        <v>FALSE</v>
      </c>
      <c r="AN209" s="10" t="str">
        <f t="shared" si="53"/>
        <v>FALSE</v>
      </c>
      <c r="AO209" s="10" t="str">
        <f t="shared" si="54"/>
        <v>FALSE</v>
      </c>
      <c r="AP209" s="10" t="str">
        <f t="shared" si="54"/>
        <v>FALSE</v>
      </c>
      <c r="AQ209" s="10" t="b">
        <f>IF(AND(I209="TP",S209&lt;=150),VLOOKUP(AF209,TPCalibEq150!$AZ$2:$BB$166,3,),IF(AND(I209="TDP",S209&lt;=150),VLOOKUP(AF209,TPCalibEq150!$AZ$2:$BB$166,3,)))</f>
        <v>0</v>
      </c>
      <c r="AR209" s="10" t="b">
        <f>IF(AND(I209="TP",S209&lt;=300),VLOOKUP(AF209,TPCalibEq300!$AZ$2:$BB$166,3,),IF(AND(I209="TDP",S209&lt;=300),VLOOKUP(AF209,TPCalibEq300!$AZ$2:$BB$166,3,)))</f>
        <v>0</v>
      </c>
      <c r="AS209" s="10" t="b">
        <f>IF(AND(I209="TP",S209&lt;=500),VLOOKUP(AF209,TPCalibEq500!$AZ$2:$BB$165,3,),IF(AND(I209="TDP",S209&lt;=500),VLOOKUP(AF209,TPCalibEq500!$AZ$2:$BB$165,3,)))</f>
        <v>0</v>
      </c>
      <c r="AT209" s="10" t="b">
        <f>IF(AND(I209="TN",S209&lt;=2800),VLOOKUP(AF209,TNCalibEq2500!$AZ$2:$BB$165,3,),IF(AND(I209="TDN",S209&lt;=2800),VLOOKUP(AF209,TNCalibEq2500!$AZ$2:$BB$165,3,)))</f>
        <v>0</v>
      </c>
      <c r="AU209" s="10" t="b">
        <f>IF(I209="TP",VLOOKUP(AF209,TPCalibEqFull!$AZ$2:$BB$165,3),IF(I209="TDP",VLOOKUP(AF209,TPCalibEqFull!$AZ$2:$BB$165,3),IF(I209="TDN",VLOOKUP(AF209,TNCalibEqFull!$AZ$2:$BB$164,3),IF(I209="TN",VLOOKUP(AF209,TNCalibEqFull!$AZ$2:$BB$164,3),FALSE))))</f>
        <v>0</v>
      </c>
      <c r="AV209" s="10" t="str">
        <f t="shared" si="59"/>
        <v>20240803 00:00:00-1000-16-Sh-1-SW-UKN</v>
      </c>
    </row>
    <row r="210" spans="1:48" s="10" customFormat="1" x14ac:dyDescent="0.3">
      <c r="A210" s="32">
        <v>45507</v>
      </c>
      <c r="B210" s="33">
        <v>0</v>
      </c>
      <c r="C210" s="10">
        <v>1000</v>
      </c>
      <c r="D210" s="10" t="s">
        <v>997</v>
      </c>
      <c r="E210" s="10" t="s">
        <v>953</v>
      </c>
      <c r="F210" s="10">
        <v>2</v>
      </c>
      <c r="G210" s="10" t="s">
        <v>229</v>
      </c>
      <c r="H210" s="10" t="s">
        <v>320</v>
      </c>
      <c r="I210" s="10" t="s">
        <v>322</v>
      </c>
      <c r="J210" s="10">
        <v>22</v>
      </c>
      <c r="K210" s="12">
        <v>45688</v>
      </c>
      <c r="L210" s="33">
        <v>0.47024305555555551</v>
      </c>
      <c r="M210" s="10">
        <v>1</v>
      </c>
      <c r="N210" s="10" t="s">
        <v>256</v>
      </c>
      <c r="O210" s="10">
        <v>1.0500000000000001E-2</v>
      </c>
      <c r="P210" s="10">
        <v>7.5100000000000004E-4</v>
      </c>
      <c r="Q210" s="10">
        <v>1.08</v>
      </c>
      <c r="R210" s="10" t="s">
        <v>168</v>
      </c>
      <c r="S210" s="34">
        <f t="shared" si="56"/>
        <v>1.08</v>
      </c>
      <c r="T210" s="10" t="s">
        <v>968</v>
      </c>
      <c r="U210" s="34" t="str">
        <f t="shared" si="58"/>
        <v/>
      </c>
      <c r="V210" s="31" t="str">
        <f>IF(H210="CHK",VLOOKUP(I210,QCCHK,3,),IF(H210="GUP",VLOOKUP(E210,QCGUP,2,),IF(AND(H210="ATP",OR(I210="TN",I210="TDN",I210="TNO2-3",I210="NO2-3")),VLOOKUP(E210,QCREC_N,2,),IF(AND(H210="NIC",OR(I210="TN",I210="TDN",I210="TNO2-3",I210="NO2-3")),VLOOKUP(E210,QCNIC_N,2,),IF(AND(H210="UREA",OR(I210="TN",I210="TDN",I210="TNO2-3",I210="NO2-3")),VLOOKUP(E210,QCUREA_N,2,),IF(H210="PER",VLOOKUP(I210,QCPER,MATCH(E210,QCACTUAL!$J$25:$AA$25,0),),IF(H210="SPK",VLOOKUP(I210,QCSPK,3,),IF(AND(H210="ATP",OR(I210="TP",I210="TDP")),VLOOKUP(E210,QCATP_P,2,),""))))))))</f>
        <v/>
      </c>
      <c r="W210" s="31" t="str">
        <f t="shared" si="57"/>
        <v>TRUE</v>
      </c>
      <c r="X210" s="31" t="str">
        <f t="shared" si="55"/>
        <v/>
      </c>
      <c r="Y210" s="10" t="s">
        <v>967</v>
      </c>
      <c r="AL210" s="10" t="str">
        <f t="shared" si="53"/>
        <v>FALSE</v>
      </c>
      <c r="AM210" s="10" t="str">
        <f t="shared" si="53"/>
        <v>FALSE</v>
      </c>
      <c r="AN210" s="10" t="str">
        <f t="shared" si="53"/>
        <v>FALSE</v>
      </c>
      <c r="AO210" s="10" t="str">
        <f t="shared" si="54"/>
        <v>FALSE</v>
      </c>
      <c r="AP210" s="10" t="str">
        <f t="shared" si="54"/>
        <v>FALSE</v>
      </c>
      <c r="AQ210" s="10" t="b">
        <f>IF(AND(I210="TP",S210&lt;=150),VLOOKUP(AF210,TPCalibEq150!$AZ$2:$BB$166,3,),IF(AND(I210="TDP",S210&lt;=150),VLOOKUP(AF210,TPCalibEq150!$AZ$2:$BB$166,3,)))</f>
        <v>0</v>
      </c>
      <c r="AR210" s="10" t="b">
        <f>IF(AND(I210="TP",S210&lt;=300),VLOOKUP(AF210,TPCalibEq300!$AZ$2:$BB$166,3,),IF(AND(I210="TDP",S210&lt;=300),VLOOKUP(AF210,TPCalibEq300!$AZ$2:$BB$166,3,)))</f>
        <v>0</v>
      </c>
      <c r="AS210" s="10" t="b">
        <f>IF(AND(I210="TP",S210&lt;=500),VLOOKUP(AF210,TPCalibEq500!$AZ$2:$BB$165,3,),IF(AND(I210="TDP",S210&lt;=500),VLOOKUP(AF210,TPCalibEq500!$AZ$2:$BB$165,3,)))</f>
        <v>0</v>
      </c>
      <c r="AT210" s="10" t="b">
        <f>IF(AND(I210="TN",S210&lt;=2800),VLOOKUP(AF210,TNCalibEq2500!$AZ$2:$BB$165,3,),IF(AND(I210="TDN",S210&lt;=2800),VLOOKUP(AF210,TNCalibEq2500!$AZ$2:$BB$165,3,)))</f>
        <v>0</v>
      </c>
      <c r="AU210" s="10" t="b">
        <f>IF(I210="TP",VLOOKUP(AF210,TPCalibEqFull!$AZ$2:$BB$165,3),IF(I210="TDP",VLOOKUP(AF210,TPCalibEqFull!$AZ$2:$BB$165,3),IF(I210="TDN",VLOOKUP(AF210,TNCalibEqFull!$AZ$2:$BB$164,3),IF(I210="TN",VLOOKUP(AF210,TNCalibEqFull!$AZ$2:$BB$164,3),FALSE))))</f>
        <v>0</v>
      </c>
      <c r="AV210" s="10" t="str">
        <f t="shared" si="59"/>
        <v>20240803 00:00:00-1000-16-Sh-2-SW-UKN</v>
      </c>
    </row>
    <row r="211" spans="1:48" s="10" customFormat="1" x14ac:dyDescent="0.3">
      <c r="A211" s="32">
        <v>45507</v>
      </c>
      <c r="B211" s="33">
        <v>0</v>
      </c>
      <c r="C211" s="10">
        <v>1000</v>
      </c>
      <c r="D211" s="10" t="s">
        <v>997</v>
      </c>
      <c r="E211" s="10" t="s">
        <v>953</v>
      </c>
      <c r="F211" s="10">
        <v>2</v>
      </c>
      <c r="G211" s="10" t="s">
        <v>229</v>
      </c>
      <c r="H211" s="10" t="s">
        <v>231</v>
      </c>
      <c r="I211" s="10" t="s">
        <v>322</v>
      </c>
      <c r="J211" s="10">
        <v>22</v>
      </c>
      <c r="K211" s="12">
        <v>45688</v>
      </c>
      <c r="L211" s="33">
        <v>0.47114583333333332</v>
      </c>
      <c r="M211" s="10">
        <v>1</v>
      </c>
      <c r="N211" s="10" t="s">
        <v>256</v>
      </c>
      <c r="O211" s="10">
        <v>2.2200000000000001E-2</v>
      </c>
      <c r="P211" s="10">
        <v>1.09E-3</v>
      </c>
      <c r="Q211" s="10">
        <v>2.2799999999999998</v>
      </c>
      <c r="R211" s="10" t="s">
        <v>168</v>
      </c>
      <c r="S211" s="34">
        <f t="shared" si="56"/>
        <v>2.2799999999999998</v>
      </c>
      <c r="T211" s="10" t="s">
        <v>968</v>
      </c>
      <c r="U211" s="34">
        <f t="shared" si="58"/>
        <v>71.428571428571416</v>
      </c>
      <c r="V211" s="31" t="str">
        <f>IF(H211="CHK",VLOOKUP(I211,QCCHK,3,),IF(H211="GUP",VLOOKUP(E211,QCGUP,2,),IF(AND(H211="ATP",OR(I211="TN",I211="TDN",I211="TNO2-3",I211="NO2-3")),VLOOKUP(E211,QCREC_N,2,),IF(AND(H211="NIC",OR(I211="TN",I211="TDN",I211="TNO2-3",I211="NO2-3")),VLOOKUP(E211,QCNIC_N,2,),IF(AND(H211="UREA",OR(I211="TN",I211="TDN",I211="TNO2-3",I211="NO2-3")),VLOOKUP(E211,QCUREA_N,2,),IF(H211="PER",VLOOKUP(I211,QCPER,MATCH(E211,QCACTUAL!$J$25:$AA$25,0),),IF(H211="SPK",VLOOKUP(I211,QCSPK,3,),IF(AND(H211="ATP",OR(I211="TP",I211="TDP")),VLOOKUP(E211,QCATP_P,2,),""))))))))</f>
        <v/>
      </c>
      <c r="W211" s="31" t="b">
        <v>1</v>
      </c>
      <c r="X211" s="31" t="str">
        <f t="shared" si="55"/>
        <v>((ABS(rep1-rep2))/((rep1+rep2)/2)*100</v>
      </c>
      <c r="Y211" s="10" t="s">
        <v>967</v>
      </c>
      <c r="Z211" s="10" t="s">
        <v>931</v>
      </c>
      <c r="AL211" s="10" t="str">
        <f t="shared" si="53"/>
        <v>FALSE</v>
      </c>
      <c r="AM211" s="10" t="str">
        <f t="shared" si="53"/>
        <v>FALSE</v>
      </c>
      <c r="AN211" s="10" t="str">
        <f t="shared" si="53"/>
        <v>FALSE</v>
      </c>
      <c r="AO211" s="10" t="str">
        <f t="shared" si="54"/>
        <v>FALSE</v>
      </c>
      <c r="AP211" s="10" t="str">
        <f t="shared" si="54"/>
        <v>FALSE</v>
      </c>
      <c r="AQ211" s="10" t="b">
        <f>IF(AND(I211="TP",S211&lt;=150),VLOOKUP(AF211,TPCalibEq150!$AZ$2:$BB$166,3,),IF(AND(I211="TDP",S211&lt;=150),VLOOKUP(AF211,TPCalibEq150!$AZ$2:$BB$166,3,)))</f>
        <v>0</v>
      </c>
      <c r="AR211" s="10" t="b">
        <f>IF(AND(I211="TP",S211&lt;=300),VLOOKUP(AF211,TPCalibEq300!$AZ$2:$BB$166,3,),IF(AND(I211="TDP",S211&lt;=300),VLOOKUP(AF211,TPCalibEq300!$AZ$2:$BB$166,3,)))</f>
        <v>0</v>
      </c>
      <c r="AS211" s="10" t="b">
        <f>IF(AND(I211="TP",S211&lt;=500),VLOOKUP(AF211,TPCalibEq500!$AZ$2:$BB$165,3,),IF(AND(I211="TDP",S211&lt;=500),VLOOKUP(AF211,TPCalibEq500!$AZ$2:$BB$165,3,)))</f>
        <v>0</v>
      </c>
      <c r="AT211" s="10" t="b">
        <f>IF(AND(I211="TN",S211&lt;=2800),VLOOKUP(AF211,TNCalibEq2500!$AZ$2:$BB$165,3,),IF(AND(I211="TDN",S211&lt;=2800),VLOOKUP(AF211,TNCalibEq2500!$AZ$2:$BB$165,3,)))</f>
        <v>0</v>
      </c>
      <c r="AU211" s="10" t="b">
        <f>IF(I211="TP",VLOOKUP(AF211,TPCalibEqFull!$AZ$2:$BB$165,3),IF(I211="TDP",VLOOKUP(AF211,TPCalibEqFull!$AZ$2:$BB$165,3),IF(I211="TDN",VLOOKUP(AF211,TNCalibEqFull!$AZ$2:$BB$164,3),IF(I211="TN",VLOOKUP(AF211,TNCalibEqFull!$AZ$2:$BB$164,3),FALSE))))</f>
        <v>0</v>
      </c>
      <c r="AV211" s="10" t="str">
        <f t="shared" si="59"/>
        <v>20240803 00:00:00-1000-16-Sh-2-SW-DUP</v>
      </c>
    </row>
    <row r="212" spans="1:48" s="10" customFormat="1" x14ac:dyDescent="0.3">
      <c r="A212" s="32">
        <v>45514</v>
      </c>
      <c r="B212" s="33">
        <v>0</v>
      </c>
      <c r="C212" s="10">
        <v>1000</v>
      </c>
      <c r="D212" s="10" t="s">
        <v>998</v>
      </c>
      <c r="E212" s="10" t="s">
        <v>953</v>
      </c>
      <c r="F212" s="10">
        <v>1</v>
      </c>
      <c r="G212" s="10" t="s">
        <v>72</v>
      </c>
      <c r="H212" s="10" t="s">
        <v>239</v>
      </c>
      <c r="I212" s="10" t="s">
        <v>322</v>
      </c>
      <c r="J212" s="10">
        <v>23</v>
      </c>
      <c r="K212" s="12">
        <v>45688</v>
      </c>
      <c r="L212" s="33">
        <v>0.47386574074074073</v>
      </c>
      <c r="M212" s="10">
        <v>1</v>
      </c>
      <c r="N212" s="10" t="s">
        <v>256</v>
      </c>
      <c r="O212" s="10">
        <v>1.6199999999999999E-2</v>
      </c>
      <c r="P212" s="10">
        <v>1.5900000000000001E-3</v>
      </c>
      <c r="Q212" s="10">
        <v>1.66</v>
      </c>
      <c r="R212" s="10" t="s">
        <v>168</v>
      </c>
      <c r="S212" s="34">
        <f t="shared" si="56"/>
        <v>1.66</v>
      </c>
      <c r="T212" s="10" t="s">
        <v>968</v>
      </c>
      <c r="U212" s="34" t="str">
        <f>IF(OR(H212="CHK",H212="ATP",H212="GUP",H212="PER", H212="NIC", H212="UREA"),(S212/V212*100),IF(H212="DUP",((ABS(S212-#REF!))/((#REF!+S212)/2))*100,IF(H212="SPK",((S212-#REF!)/V212*100),IF(OR(H212="LAB",H212="FLD",H212="ESF"),S212,""))))</f>
        <v/>
      </c>
      <c r="V212" s="31" t="str">
        <f>IF(H212="CHK",VLOOKUP(I212,QCCHK,3,),IF(H212="GUP",VLOOKUP(E212,QCGUP,2,),IF(AND(H212="ATP",OR(I212="TN",I212="TDN",I212="TNO2-3",I212="NO2-3")),VLOOKUP(E212,QCREC_N,2,),IF(AND(H212="NIC",OR(I212="TN",I212="TDN",I212="TNO2-3",I212="NO2-3")),VLOOKUP(E212,QCNIC_N,2,),IF(AND(H212="UREA",OR(I212="TN",I212="TDN",I212="TNO2-3",I212="NO2-3")),VLOOKUP(E212,QCUREA_N,2,),IF(H212="PER",VLOOKUP(I212,QCPER,MATCH(E212,QCACTUAL!$J$25:$AA$25,0),),IF(H212="SPK",VLOOKUP(I212,QCSPK,3,),IF(AND(H212="ATP",OR(I212="TP",I212="TDP")),VLOOKUP(E212,QCATP_P,2,),""))))))))</f>
        <v/>
      </c>
      <c r="W212" s="31" t="str">
        <f t="shared" si="57"/>
        <v>TRUE</v>
      </c>
      <c r="X212" s="31" t="str">
        <f t="shared" si="55"/>
        <v/>
      </c>
      <c r="Y212" s="10" t="s">
        <v>967</v>
      </c>
      <c r="AL212" s="10" t="str">
        <f t="shared" si="53"/>
        <v>FALSE</v>
      </c>
      <c r="AM212" s="10" t="str">
        <f t="shared" si="53"/>
        <v>FALSE</v>
      </c>
      <c r="AN212" s="10" t="str">
        <f t="shared" si="53"/>
        <v>FALSE</v>
      </c>
      <c r="AO212" s="10" t="str">
        <f t="shared" si="54"/>
        <v>FALSE</v>
      </c>
      <c r="AP212" s="10" t="str">
        <f t="shared" si="54"/>
        <v>FALSE</v>
      </c>
      <c r="AQ212" s="10" t="b">
        <f>IF(AND(I212="TP",S212&lt;=150),VLOOKUP(AF212,TPCalibEq150!$AZ$2:$BB$166,3,),IF(AND(I212="TDP",S212&lt;=150),VLOOKUP(AF212,TPCalibEq150!$AZ$2:$BB$166,3,)))</f>
        <v>0</v>
      </c>
      <c r="AR212" s="10" t="b">
        <f>IF(AND(I212="TP",S212&lt;=300),VLOOKUP(AF212,TPCalibEq300!$AZ$2:$BB$166,3,),IF(AND(I212="TDP",S212&lt;=300),VLOOKUP(AF212,TPCalibEq300!$AZ$2:$BB$166,3,)))</f>
        <v>0</v>
      </c>
      <c r="AS212" s="10" t="b">
        <f>IF(AND(I212="TP",S212&lt;=500),VLOOKUP(AF212,TPCalibEq500!$AZ$2:$BB$165,3,),IF(AND(I212="TDP",S212&lt;=500),VLOOKUP(AF212,TPCalibEq500!$AZ$2:$BB$165,3,)))</f>
        <v>0</v>
      </c>
      <c r="AT212" s="10" t="b">
        <f>IF(AND(I212="TN",S212&lt;=2800),VLOOKUP(AF212,TNCalibEq2500!$AZ$2:$BB$165,3,),IF(AND(I212="TDN",S212&lt;=2800),VLOOKUP(AF212,TNCalibEq2500!$AZ$2:$BB$165,3,)))</f>
        <v>0</v>
      </c>
      <c r="AU212" s="10" t="b">
        <f>IF(I212="TP",VLOOKUP(AF212,TPCalibEqFull!$AZ$2:$BB$165,3),IF(I212="TDP",VLOOKUP(AF212,TPCalibEqFull!$AZ$2:$BB$165,3),IF(I212="TDN",VLOOKUP(AF212,TNCalibEqFull!$AZ$2:$BB$164,3),IF(I212="TN",VLOOKUP(AF212,TNCalibEqFull!$AZ$2:$BB$164,3),FALSE))))</f>
        <v>0</v>
      </c>
      <c r="AV212" s="10" t="str">
        <f t="shared" si="59"/>
        <v>20240810 00:00:00-1000-17-Sh-1-DI-BLK</v>
      </c>
    </row>
    <row r="213" spans="1:48" s="10" customFormat="1" x14ac:dyDescent="0.3">
      <c r="A213" s="32">
        <v>45514</v>
      </c>
      <c r="B213" s="33">
        <v>0</v>
      </c>
      <c r="C213" s="10">
        <v>1000</v>
      </c>
      <c r="D213" s="10" t="s">
        <v>998</v>
      </c>
      <c r="E213" s="10" t="s">
        <v>953</v>
      </c>
      <c r="F213" s="10">
        <v>1</v>
      </c>
      <c r="G213" s="10" t="s">
        <v>229</v>
      </c>
      <c r="H213" s="10" t="s">
        <v>320</v>
      </c>
      <c r="I213" s="10" t="s">
        <v>322</v>
      </c>
      <c r="J213" s="10">
        <v>24</v>
      </c>
      <c r="K213" s="12">
        <v>45688</v>
      </c>
      <c r="L213" s="33">
        <v>0.47475694444444444</v>
      </c>
      <c r="M213" s="10">
        <v>1</v>
      </c>
      <c r="N213" s="10" t="s">
        <v>256</v>
      </c>
      <c r="O213" s="10">
        <v>1.5900000000000001E-2</v>
      </c>
      <c r="P213" s="10">
        <v>9.8400000000000007E-4</v>
      </c>
      <c r="Q213" s="10">
        <v>1.63</v>
      </c>
      <c r="R213" s="10" t="s">
        <v>168</v>
      </c>
      <c r="S213" s="34">
        <f t="shared" si="56"/>
        <v>1.63</v>
      </c>
      <c r="T213" s="10" t="s">
        <v>968</v>
      </c>
      <c r="U213" s="34" t="str">
        <f t="shared" si="58"/>
        <v/>
      </c>
      <c r="V213" s="31" t="str">
        <f>IF(H213="CHK",VLOOKUP(I213,QCCHK,3,),IF(H213="GUP",VLOOKUP(E213,QCGUP,2,),IF(AND(H213="ATP",OR(I213="TN",I213="TDN",I213="TNO2-3",I213="NO2-3")),VLOOKUP(E213,QCREC_N,2,),IF(AND(H213="NIC",OR(I213="TN",I213="TDN",I213="TNO2-3",I213="NO2-3")),VLOOKUP(E213,QCNIC_N,2,),IF(AND(H213="UREA",OR(I213="TN",I213="TDN",I213="TNO2-3",I213="NO2-3")),VLOOKUP(E213,QCUREA_N,2,),IF(H213="PER",VLOOKUP(I213,QCPER,MATCH(E213,QCACTUAL!$J$25:$AA$25,0),),IF(H213="SPK",VLOOKUP(I213,QCSPK,3,),IF(AND(H213="ATP",OR(I213="TP",I213="TDP")),VLOOKUP(E213,QCATP_P,2,),""))))))))</f>
        <v/>
      </c>
      <c r="W213" s="31" t="str">
        <f t="shared" si="57"/>
        <v>TRUE</v>
      </c>
      <c r="X213" s="31" t="str">
        <f t="shared" si="55"/>
        <v/>
      </c>
      <c r="Y213" s="10" t="s">
        <v>967</v>
      </c>
      <c r="AL213" s="10" t="str">
        <f t="shared" si="53"/>
        <v>FALSE</v>
      </c>
      <c r="AM213" s="10" t="str">
        <f t="shared" si="53"/>
        <v>FALSE</v>
      </c>
      <c r="AN213" s="10" t="str">
        <f t="shared" si="53"/>
        <v>FALSE</v>
      </c>
      <c r="AO213" s="10" t="str">
        <f t="shared" si="54"/>
        <v>FALSE</v>
      </c>
      <c r="AP213" s="10" t="str">
        <f t="shared" si="54"/>
        <v>FALSE</v>
      </c>
      <c r="AQ213" s="10" t="b">
        <f>IF(AND(I213="TP",S213&lt;=150),VLOOKUP(AF213,TPCalibEq150!$AZ$2:$BB$166,3,),IF(AND(I213="TDP",S213&lt;=150),VLOOKUP(AF213,TPCalibEq150!$AZ$2:$BB$166,3,)))</f>
        <v>0</v>
      </c>
      <c r="AR213" s="10" t="b">
        <f>IF(AND(I213="TP",S213&lt;=300),VLOOKUP(AF213,TPCalibEq300!$AZ$2:$BB$166,3,),IF(AND(I213="TDP",S213&lt;=300),VLOOKUP(AF213,TPCalibEq300!$AZ$2:$BB$166,3,)))</f>
        <v>0</v>
      </c>
      <c r="AS213" s="10" t="b">
        <f>IF(AND(I213="TP",S213&lt;=500),VLOOKUP(AF213,TPCalibEq500!$AZ$2:$BB$165,3,),IF(AND(I213="TDP",S213&lt;=500),VLOOKUP(AF213,TPCalibEq500!$AZ$2:$BB$165,3,)))</f>
        <v>0</v>
      </c>
      <c r="AT213" s="10" t="b">
        <f>IF(AND(I213="TN",S213&lt;=2800),VLOOKUP(AF213,TNCalibEq2500!$AZ$2:$BB$165,3,),IF(AND(I213="TDN",S213&lt;=2800),VLOOKUP(AF213,TNCalibEq2500!$AZ$2:$BB$165,3,)))</f>
        <v>0</v>
      </c>
      <c r="AU213" s="10" t="b">
        <f>IF(I213="TP",VLOOKUP(AF213,TPCalibEqFull!$AZ$2:$BB$165,3),IF(I213="TDP",VLOOKUP(AF213,TPCalibEqFull!$AZ$2:$BB$165,3),IF(I213="TDN",VLOOKUP(AF213,TNCalibEqFull!$AZ$2:$BB$164,3),IF(I213="TN",VLOOKUP(AF213,TNCalibEqFull!$AZ$2:$BB$164,3),FALSE))))</f>
        <v>0</v>
      </c>
      <c r="AV213" s="10" t="str">
        <f t="shared" si="59"/>
        <v>20240810 00:00:00-1000-17-Sh-1-SW-UKN</v>
      </c>
    </row>
    <row r="214" spans="1:48" s="10" customFormat="1" x14ac:dyDescent="0.3">
      <c r="A214" s="32">
        <v>45514</v>
      </c>
      <c r="B214" s="33">
        <v>0</v>
      </c>
      <c r="C214" s="10">
        <v>1000</v>
      </c>
      <c r="D214" s="10" t="s">
        <v>998</v>
      </c>
      <c r="E214" s="10" t="s">
        <v>953</v>
      </c>
      <c r="F214" s="10">
        <v>2</v>
      </c>
      <c r="G214" s="10" t="s">
        <v>229</v>
      </c>
      <c r="H214" s="10" t="s">
        <v>320</v>
      </c>
      <c r="I214" s="10" t="s">
        <v>322</v>
      </c>
      <c r="J214" s="10">
        <v>25</v>
      </c>
      <c r="K214" s="12">
        <v>45688</v>
      </c>
      <c r="L214" s="33">
        <v>0.4756481481481481</v>
      </c>
      <c r="M214" s="10">
        <v>1</v>
      </c>
      <c r="N214" s="10" t="s">
        <v>256</v>
      </c>
      <c r="O214" s="10">
        <v>4.0099999999999997E-2</v>
      </c>
      <c r="P214" s="10">
        <v>1.6299999999999999E-3</v>
      </c>
      <c r="Q214" s="10">
        <v>4.1100000000000003</v>
      </c>
      <c r="R214" s="10" t="s">
        <v>168</v>
      </c>
      <c r="S214" s="34">
        <f t="shared" si="56"/>
        <v>4.1100000000000003</v>
      </c>
      <c r="T214" s="10" t="s">
        <v>968</v>
      </c>
      <c r="U214" s="34" t="str">
        <f t="shared" si="58"/>
        <v/>
      </c>
      <c r="V214" s="31" t="str">
        <f>IF(H214="CHK",VLOOKUP(I214,QCCHK,3,),IF(H214="GUP",VLOOKUP(E214,QCGUP,2,),IF(AND(H214="ATP",OR(I214="TN",I214="TDN",I214="TNO2-3",I214="NO2-3")),VLOOKUP(E214,QCREC_N,2,),IF(AND(H214="NIC",OR(I214="TN",I214="TDN",I214="TNO2-3",I214="NO2-3")),VLOOKUP(E214,QCNIC_N,2,),IF(AND(H214="UREA",OR(I214="TN",I214="TDN",I214="TNO2-3",I214="NO2-3")),VLOOKUP(E214,QCUREA_N,2,),IF(H214="PER",VLOOKUP(I214,QCPER,MATCH(E214,QCACTUAL!$J$25:$AA$25,0),),IF(H214="SPK",VLOOKUP(I214,QCSPK,3,),IF(AND(H214="ATP",OR(I214="TP",I214="TDP")),VLOOKUP(E214,QCATP_P,2,),""))))))))</f>
        <v/>
      </c>
      <c r="W214" s="31" t="str">
        <f t="shared" si="57"/>
        <v>TRUE</v>
      </c>
      <c r="X214" s="31" t="str">
        <f t="shared" si="55"/>
        <v/>
      </c>
      <c r="Y214" s="10" t="s">
        <v>967</v>
      </c>
      <c r="AL214" s="10" t="str">
        <f t="shared" si="53"/>
        <v>FALSE</v>
      </c>
      <c r="AM214" s="10" t="str">
        <f t="shared" si="53"/>
        <v>FALSE</v>
      </c>
      <c r="AN214" s="10" t="str">
        <f t="shared" si="53"/>
        <v>FALSE</v>
      </c>
      <c r="AO214" s="10" t="str">
        <f t="shared" si="54"/>
        <v>FALSE</v>
      </c>
      <c r="AP214" s="10" t="str">
        <f t="shared" si="54"/>
        <v>FALSE</v>
      </c>
      <c r="AQ214" s="10" t="b">
        <f>IF(AND(I214="TP",S214&lt;=150),VLOOKUP(AF214,TPCalibEq150!$AZ$2:$BB$166,3,),IF(AND(I214="TDP",S214&lt;=150),VLOOKUP(AF214,TPCalibEq150!$AZ$2:$BB$166,3,)))</f>
        <v>0</v>
      </c>
      <c r="AR214" s="10" t="b">
        <f>IF(AND(I214="TP",S214&lt;=300),VLOOKUP(AF214,TPCalibEq300!$AZ$2:$BB$166,3,),IF(AND(I214="TDP",S214&lt;=300),VLOOKUP(AF214,TPCalibEq300!$AZ$2:$BB$166,3,)))</f>
        <v>0</v>
      </c>
      <c r="AS214" s="10" t="b">
        <f>IF(AND(I214="TP",S214&lt;=500),VLOOKUP(AF214,TPCalibEq500!$AZ$2:$BB$165,3,),IF(AND(I214="TDP",S214&lt;=500),VLOOKUP(AF214,TPCalibEq500!$AZ$2:$BB$165,3,)))</f>
        <v>0</v>
      </c>
      <c r="AT214" s="10" t="b">
        <f>IF(AND(I214="TN",S214&lt;=2800),VLOOKUP(AF214,TNCalibEq2500!$AZ$2:$BB$165,3,),IF(AND(I214="TDN",S214&lt;=2800),VLOOKUP(AF214,TNCalibEq2500!$AZ$2:$BB$165,3,)))</f>
        <v>0</v>
      </c>
      <c r="AU214" s="10" t="b">
        <f>IF(I214="TP",VLOOKUP(AF214,TPCalibEqFull!$AZ$2:$BB$165,3),IF(I214="TDP",VLOOKUP(AF214,TPCalibEqFull!$AZ$2:$BB$165,3),IF(I214="TDN",VLOOKUP(AF214,TNCalibEqFull!$AZ$2:$BB$164,3),IF(I214="TN",VLOOKUP(AF214,TNCalibEqFull!$AZ$2:$BB$164,3),FALSE))))</f>
        <v>0</v>
      </c>
      <c r="AV214" s="10" t="str">
        <f t="shared" si="59"/>
        <v>20240810 00:00:00-1000-17-Sh-2-SW-UKN</v>
      </c>
    </row>
    <row r="215" spans="1:48" s="10" customFormat="1" x14ac:dyDescent="0.3">
      <c r="A215" s="32">
        <v>45514</v>
      </c>
      <c r="B215" s="33">
        <v>0</v>
      </c>
      <c r="C215" s="10">
        <v>1000</v>
      </c>
      <c r="D215" s="10" t="s">
        <v>998</v>
      </c>
      <c r="E215" s="10" t="s">
        <v>954</v>
      </c>
      <c r="F215" s="10">
        <v>1</v>
      </c>
      <c r="G215" s="10" t="s">
        <v>229</v>
      </c>
      <c r="H215" s="10" t="s">
        <v>320</v>
      </c>
      <c r="I215" s="10" t="s">
        <v>322</v>
      </c>
      <c r="J215" s="10">
        <v>26</v>
      </c>
      <c r="K215" s="12">
        <v>45688</v>
      </c>
      <c r="L215" s="33">
        <v>0.47655092592592596</v>
      </c>
      <c r="M215" s="10">
        <v>1</v>
      </c>
      <c r="N215" s="10" t="s">
        <v>256</v>
      </c>
      <c r="O215" s="10">
        <v>4.4200000000000003E-2</v>
      </c>
      <c r="P215" s="10">
        <v>1.9400000000000001E-3</v>
      </c>
      <c r="Q215" s="10">
        <v>4.53</v>
      </c>
      <c r="R215" s="10" t="s">
        <v>168</v>
      </c>
      <c r="S215" s="34">
        <f t="shared" si="56"/>
        <v>4.53</v>
      </c>
      <c r="T215" s="10" t="s">
        <v>968</v>
      </c>
      <c r="U215" s="34" t="str">
        <f t="shared" si="58"/>
        <v/>
      </c>
      <c r="V215" s="31" t="str">
        <f>IF(H215="CHK",VLOOKUP(I215,QCCHK,3,),IF(H215="GUP",VLOOKUP(E215,QCGUP,2,),IF(AND(H215="ATP",OR(I215="TN",I215="TDN",I215="TNO2-3",I215="NO2-3")),VLOOKUP(E215,QCREC_N,2,),IF(AND(H215="NIC",OR(I215="TN",I215="TDN",I215="TNO2-3",I215="NO2-3")),VLOOKUP(E215,QCNIC_N,2,),IF(AND(H215="UREA",OR(I215="TN",I215="TDN",I215="TNO2-3",I215="NO2-3")),VLOOKUP(E215,QCUREA_N,2,),IF(H215="PER",VLOOKUP(I215,QCPER,MATCH(E215,QCACTUAL!$J$25:$AA$25,0),),IF(H215="SPK",VLOOKUP(I215,QCSPK,3,),IF(AND(H215="ATP",OR(I215="TP",I215="TDP")),VLOOKUP(E215,QCATP_P,2,),""))))))))</f>
        <v/>
      </c>
      <c r="W215" s="31" t="str">
        <f t="shared" si="57"/>
        <v>TRUE</v>
      </c>
      <c r="X215" s="31" t="str">
        <f t="shared" si="55"/>
        <v/>
      </c>
      <c r="Y215" s="10" t="s">
        <v>967</v>
      </c>
      <c r="AL215" s="10" t="str">
        <f t="shared" si="53"/>
        <v>FALSE</v>
      </c>
      <c r="AM215" s="10" t="str">
        <f t="shared" si="53"/>
        <v>FALSE</v>
      </c>
      <c r="AN215" s="10" t="str">
        <f t="shared" si="53"/>
        <v>FALSE</v>
      </c>
      <c r="AO215" s="10" t="str">
        <f t="shared" si="54"/>
        <v>FALSE</v>
      </c>
      <c r="AP215" s="10" t="str">
        <f t="shared" si="54"/>
        <v>FALSE</v>
      </c>
      <c r="AQ215" s="10" t="b">
        <f>IF(AND(I215="TP",S215&lt;=150),VLOOKUP(AF215,TPCalibEq150!$AZ$2:$BB$166,3,),IF(AND(I215="TDP",S215&lt;=150),VLOOKUP(AF215,TPCalibEq150!$AZ$2:$BB$166,3,)))</f>
        <v>0</v>
      </c>
      <c r="AR215" s="10" t="b">
        <f>IF(AND(I215="TP",S215&lt;=300),VLOOKUP(AF215,TPCalibEq300!$AZ$2:$BB$166,3,),IF(AND(I215="TDP",S215&lt;=300),VLOOKUP(AF215,TPCalibEq300!$AZ$2:$BB$166,3,)))</f>
        <v>0</v>
      </c>
      <c r="AS215" s="10" t="b">
        <f>IF(AND(I215="TP",S215&lt;=500),VLOOKUP(AF215,TPCalibEq500!$AZ$2:$BB$165,3,),IF(AND(I215="TDP",S215&lt;=500),VLOOKUP(AF215,TPCalibEq500!$AZ$2:$BB$165,3,)))</f>
        <v>0</v>
      </c>
      <c r="AT215" s="10" t="b">
        <f>IF(AND(I215="TN",S215&lt;=2800),VLOOKUP(AF215,TNCalibEq2500!$AZ$2:$BB$165,3,),IF(AND(I215="TDN",S215&lt;=2800),VLOOKUP(AF215,TNCalibEq2500!$AZ$2:$BB$165,3,)))</f>
        <v>0</v>
      </c>
      <c r="AU215" s="10" t="b">
        <f>IF(I215="TP",VLOOKUP(AF215,TPCalibEqFull!$AZ$2:$BB$165,3),IF(I215="TDP",VLOOKUP(AF215,TPCalibEqFull!$AZ$2:$BB$165,3),IF(I215="TDN",VLOOKUP(AF215,TNCalibEqFull!$AZ$2:$BB$164,3),IF(I215="TN",VLOOKUP(AF215,TNCalibEqFull!$AZ$2:$BB$164,3),FALSE))))</f>
        <v>0</v>
      </c>
      <c r="AV215" s="10" t="str">
        <f t="shared" si="59"/>
        <v>20240810 00:00:00-1000-17-Dp-1-SW-UKN</v>
      </c>
    </row>
    <row r="216" spans="1:48" s="10" customFormat="1" x14ac:dyDescent="0.3">
      <c r="A216" s="32">
        <v>45514</v>
      </c>
      <c r="B216" s="33">
        <v>0</v>
      </c>
      <c r="C216" s="10">
        <v>1000</v>
      </c>
      <c r="D216" s="10" t="s">
        <v>999</v>
      </c>
      <c r="E216" s="10" t="s">
        <v>953</v>
      </c>
      <c r="F216" s="10">
        <v>1</v>
      </c>
      <c r="G216" s="10" t="s">
        <v>72</v>
      </c>
      <c r="H216" s="10" t="s">
        <v>239</v>
      </c>
      <c r="I216" s="10" t="s">
        <v>322</v>
      </c>
      <c r="J216" s="10">
        <v>27</v>
      </c>
      <c r="K216" s="12">
        <v>45688</v>
      </c>
      <c r="L216" s="33">
        <v>0.47744212962962962</v>
      </c>
      <c r="M216" s="10">
        <v>1</v>
      </c>
      <c r="N216" s="10" t="s">
        <v>256</v>
      </c>
      <c r="O216" s="10">
        <v>1.41E-2</v>
      </c>
      <c r="P216" s="10">
        <v>1.4499999999999999E-3</v>
      </c>
      <c r="Q216" s="10">
        <v>1.45</v>
      </c>
      <c r="R216" s="10" t="s">
        <v>168</v>
      </c>
      <c r="S216" s="34">
        <f t="shared" si="56"/>
        <v>1.45</v>
      </c>
      <c r="T216" s="10" t="s">
        <v>968</v>
      </c>
      <c r="U216" s="34" t="str">
        <f t="shared" si="58"/>
        <v/>
      </c>
      <c r="V216" s="31" t="str">
        <f>IF(H216="CHK",VLOOKUP(I216,QCCHK,3,),IF(H216="GUP",VLOOKUP(E216,QCGUP,2,),IF(AND(H216="ATP",OR(I216="TN",I216="TDN",I216="TNO2-3",I216="NO2-3")),VLOOKUP(E216,QCREC_N,2,),IF(AND(H216="NIC",OR(I216="TN",I216="TDN",I216="TNO2-3",I216="NO2-3")),VLOOKUP(E216,QCNIC_N,2,),IF(AND(H216="UREA",OR(I216="TN",I216="TDN",I216="TNO2-3",I216="NO2-3")),VLOOKUP(E216,QCUREA_N,2,),IF(H216="PER",VLOOKUP(I216,QCPER,MATCH(E216,QCACTUAL!$J$25:$AA$25,0),),IF(H216="SPK",VLOOKUP(I216,QCSPK,3,),IF(AND(H216="ATP",OR(I216="TP",I216="TDP")),VLOOKUP(E216,QCATP_P,2,),""))))))))</f>
        <v/>
      </c>
      <c r="W216" s="31" t="str">
        <f t="shared" si="57"/>
        <v>TRUE</v>
      </c>
      <c r="X216" s="31" t="str">
        <f t="shared" si="55"/>
        <v/>
      </c>
      <c r="Y216" s="10" t="s">
        <v>967</v>
      </c>
      <c r="AL216" s="10" t="str">
        <f t="shared" si="53"/>
        <v>FALSE</v>
      </c>
      <c r="AM216" s="10" t="str">
        <f t="shared" si="53"/>
        <v>FALSE</v>
      </c>
      <c r="AN216" s="10" t="str">
        <f t="shared" si="53"/>
        <v>FALSE</v>
      </c>
      <c r="AO216" s="10" t="str">
        <f t="shared" si="54"/>
        <v>FALSE</v>
      </c>
      <c r="AP216" s="10" t="str">
        <f t="shared" si="54"/>
        <v>FALSE</v>
      </c>
      <c r="AQ216" s="10" t="b">
        <f>IF(AND(I216="TP",S216&lt;=150),VLOOKUP(AF216,TPCalibEq150!$AZ$2:$BB$166,3,),IF(AND(I216="TDP",S216&lt;=150),VLOOKUP(AF216,TPCalibEq150!$AZ$2:$BB$166,3,)))</f>
        <v>0</v>
      </c>
      <c r="AR216" s="10" t="b">
        <f>IF(AND(I216="TP",S216&lt;=300),VLOOKUP(AF216,TPCalibEq300!$AZ$2:$BB$166,3,),IF(AND(I216="TDP",S216&lt;=300),VLOOKUP(AF216,TPCalibEq300!$AZ$2:$BB$166,3,)))</f>
        <v>0</v>
      </c>
      <c r="AS216" s="10" t="b">
        <f>IF(AND(I216="TP",S216&lt;=500),VLOOKUP(AF216,TPCalibEq500!$AZ$2:$BB$165,3,),IF(AND(I216="TDP",S216&lt;=500),VLOOKUP(AF216,TPCalibEq500!$AZ$2:$BB$165,3,)))</f>
        <v>0</v>
      </c>
      <c r="AT216" s="10" t="b">
        <f>IF(AND(I216="TN",S216&lt;=2800),VLOOKUP(AF216,TNCalibEq2500!$AZ$2:$BB$165,3,),IF(AND(I216="TDN",S216&lt;=2800),VLOOKUP(AF216,TNCalibEq2500!$AZ$2:$BB$165,3,)))</f>
        <v>0</v>
      </c>
      <c r="AU216" s="10" t="b">
        <f>IF(I216="TP",VLOOKUP(AF216,TPCalibEqFull!$AZ$2:$BB$165,3),IF(I216="TDP",VLOOKUP(AF216,TPCalibEqFull!$AZ$2:$BB$165,3),IF(I216="TDN",VLOOKUP(AF216,TNCalibEqFull!$AZ$2:$BB$164,3),IF(I216="TN",VLOOKUP(AF216,TNCalibEqFull!$AZ$2:$BB$164,3),FALSE))))</f>
        <v>0</v>
      </c>
      <c r="AV216" s="10" t="str">
        <f t="shared" si="59"/>
        <v>20240810 00:00:00-1000-18-Sh-1-DI-BLK</v>
      </c>
    </row>
    <row r="217" spans="1:48" s="10" customFormat="1" x14ac:dyDescent="0.3">
      <c r="A217" s="32">
        <v>45514</v>
      </c>
      <c r="B217" s="33">
        <v>0</v>
      </c>
      <c r="C217" s="10">
        <v>1000</v>
      </c>
      <c r="D217" s="10" t="s">
        <v>999</v>
      </c>
      <c r="E217" s="10" t="s">
        <v>953</v>
      </c>
      <c r="F217" s="10">
        <v>1</v>
      </c>
      <c r="G217" s="10" t="s">
        <v>229</v>
      </c>
      <c r="H217" s="10" t="s">
        <v>320</v>
      </c>
      <c r="I217" s="10" t="s">
        <v>322</v>
      </c>
      <c r="J217" s="10">
        <v>28</v>
      </c>
      <c r="K217" s="12">
        <v>45688</v>
      </c>
      <c r="L217" s="33">
        <v>0.47834490740740737</v>
      </c>
      <c r="M217" s="10">
        <v>1</v>
      </c>
      <c r="N217" s="10" t="s">
        <v>256</v>
      </c>
      <c r="O217" s="10">
        <v>9.7900000000000001E-3</v>
      </c>
      <c r="P217" s="10">
        <v>8.3600000000000005E-4</v>
      </c>
      <c r="Q217" s="10">
        <v>1</v>
      </c>
      <c r="R217" s="10" t="s">
        <v>168</v>
      </c>
      <c r="S217" s="34">
        <f t="shared" si="56"/>
        <v>1</v>
      </c>
      <c r="T217" s="10" t="s">
        <v>968</v>
      </c>
      <c r="U217" s="34" t="str">
        <f t="shared" si="58"/>
        <v/>
      </c>
      <c r="V217" s="31" t="str">
        <f>IF(H217="CHK",VLOOKUP(I217,QCCHK,3,),IF(H217="GUP",VLOOKUP(E217,QCGUP,2,),IF(AND(H217="ATP",OR(I217="TN",I217="TDN",I217="TNO2-3",I217="NO2-3")),VLOOKUP(E217,QCREC_N,2,),IF(AND(H217="NIC",OR(I217="TN",I217="TDN",I217="TNO2-3",I217="NO2-3")),VLOOKUP(E217,QCNIC_N,2,),IF(AND(H217="UREA",OR(I217="TN",I217="TDN",I217="TNO2-3",I217="NO2-3")),VLOOKUP(E217,QCUREA_N,2,),IF(H217="PER",VLOOKUP(I217,QCPER,MATCH(E217,QCACTUAL!$J$25:$AA$25,0),),IF(H217="SPK",VLOOKUP(I217,QCSPK,3,),IF(AND(H217="ATP",OR(I217="TP",I217="TDP")),VLOOKUP(E217,QCATP_P,2,),""))))))))</f>
        <v/>
      </c>
      <c r="W217" s="31" t="str">
        <f t="shared" si="57"/>
        <v>TRUE</v>
      </c>
      <c r="X217" s="31" t="str">
        <f t="shared" si="55"/>
        <v/>
      </c>
      <c r="Y217" s="10" t="s">
        <v>967</v>
      </c>
      <c r="AL217" s="10" t="str">
        <f t="shared" si="53"/>
        <v>FALSE</v>
      </c>
      <c r="AM217" s="10" t="str">
        <f t="shared" si="53"/>
        <v>FALSE</v>
      </c>
      <c r="AN217" s="10" t="str">
        <f t="shared" si="53"/>
        <v>FALSE</v>
      </c>
      <c r="AO217" s="10" t="str">
        <f t="shared" si="54"/>
        <v>FALSE</v>
      </c>
      <c r="AP217" s="10" t="str">
        <f t="shared" si="54"/>
        <v>FALSE</v>
      </c>
      <c r="AQ217" s="10" t="b">
        <f>IF(AND(I217="TP",S217&lt;=150),VLOOKUP(AF217,TPCalibEq150!$AZ$2:$BB$166,3,),IF(AND(I217="TDP",S217&lt;=150),VLOOKUP(AF217,TPCalibEq150!$AZ$2:$BB$166,3,)))</f>
        <v>0</v>
      </c>
      <c r="AR217" s="10" t="b">
        <f>IF(AND(I217="TP",S217&lt;=300),VLOOKUP(AF217,TPCalibEq300!$AZ$2:$BB$166,3,),IF(AND(I217="TDP",S217&lt;=300),VLOOKUP(AF217,TPCalibEq300!$AZ$2:$BB$166,3,)))</f>
        <v>0</v>
      </c>
      <c r="AS217" s="10" t="b">
        <f>IF(AND(I217="TP",S217&lt;=500),VLOOKUP(AF217,TPCalibEq500!$AZ$2:$BB$165,3,),IF(AND(I217="TDP",S217&lt;=500),VLOOKUP(AF217,TPCalibEq500!$AZ$2:$BB$165,3,)))</f>
        <v>0</v>
      </c>
      <c r="AT217" s="10" t="b">
        <f>IF(AND(I217="TN",S217&lt;=2800),VLOOKUP(AF217,TNCalibEq2500!$AZ$2:$BB$165,3,),IF(AND(I217="TDN",S217&lt;=2800),VLOOKUP(AF217,TNCalibEq2500!$AZ$2:$BB$165,3,)))</f>
        <v>0</v>
      </c>
      <c r="AU217" s="10" t="b">
        <f>IF(I217="TP",VLOOKUP(AF217,TPCalibEqFull!$AZ$2:$BB$165,3),IF(I217="TDP",VLOOKUP(AF217,TPCalibEqFull!$AZ$2:$BB$165,3),IF(I217="TDN",VLOOKUP(AF217,TNCalibEqFull!$AZ$2:$BB$164,3),IF(I217="TN",VLOOKUP(AF217,TNCalibEqFull!$AZ$2:$BB$164,3),FALSE))))</f>
        <v>0</v>
      </c>
      <c r="AV217" s="10" t="str">
        <f t="shared" si="59"/>
        <v>20240810 00:00:00-1000-18-Sh-1-SW-UKN</v>
      </c>
    </row>
    <row r="218" spans="1:48" s="10" customFormat="1" x14ac:dyDescent="0.3">
      <c r="A218" s="32">
        <v>45514</v>
      </c>
      <c r="B218" s="33">
        <v>0</v>
      </c>
      <c r="C218" s="10">
        <v>1000</v>
      </c>
      <c r="D218" s="10" t="s">
        <v>999</v>
      </c>
      <c r="E218" s="10" t="s">
        <v>953</v>
      </c>
      <c r="F218" s="10">
        <v>2</v>
      </c>
      <c r="G218" s="10" t="s">
        <v>229</v>
      </c>
      <c r="H218" s="10" t="s">
        <v>320</v>
      </c>
      <c r="I218" s="10" t="s">
        <v>322</v>
      </c>
      <c r="J218" s="10">
        <v>29</v>
      </c>
      <c r="K218" s="12">
        <v>45688</v>
      </c>
      <c r="L218" s="33">
        <v>0.47922453703703699</v>
      </c>
      <c r="M218" s="10">
        <v>1</v>
      </c>
      <c r="N218" s="10" t="s">
        <v>256</v>
      </c>
      <c r="O218" s="10">
        <v>2.1399999999999999E-2</v>
      </c>
      <c r="P218" s="10">
        <v>8.7699999999999996E-4</v>
      </c>
      <c r="Q218" s="10">
        <v>2.2000000000000002</v>
      </c>
      <c r="R218" s="10" t="s">
        <v>168</v>
      </c>
      <c r="S218" s="34">
        <f t="shared" si="56"/>
        <v>2.2000000000000002</v>
      </c>
      <c r="T218" s="10" t="s">
        <v>968</v>
      </c>
      <c r="U218" s="34" t="str">
        <f t="shared" si="58"/>
        <v/>
      </c>
      <c r="V218" s="31" t="str">
        <f>IF(H218="CHK",VLOOKUP(I218,QCCHK,3,),IF(H218="GUP",VLOOKUP(E218,QCGUP,2,),IF(AND(H218="ATP",OR(I218="TN",I218="TDN",I218="TNO2-3",I218="NO2-3")),VLOOKUP(E218,QCREC_N,2,),IF(AND(H218="NIC",OR(I218="TN",I218="TDN",I218="TNO2-3",I218="NO2-3")),VLOOKUP(E218,QCNIC_N,2,),IF(AND(H218="UREA",OR(I218="TN",I218="TDN",I218="TNO2-3",I218="NO2-3")),VLOOKUP(E218,QCUREA_N,2,),IF(H218="PER",VLOOKUP(I218,QCPER,MATCH(E218,QCACTUAL!$J$25:$AA$25,0),),IF(H218="SPK",VLOOKUP(I218,QCSPK,3,),IF(AND(H218="ATP",OR(I218="TP",I218="TDP")),VLOOKUP(E218,QCATP_P,2,),""))))))))</f>
        <v/>
      </c>
      <c r="W218" s="31" t="str">
        <f t="shared" si="57"/>
        <v>TRUE</v>
      </c>
      <c r="X218" s="31" t="str">
        <f t="shared" si="55"/>
        <v/>
      </c>
      <c r="Y218" s="10" t="s">
        <v>967</v>
      </c>
      <c r="AL218" s="10" t="str">
        <f t="shared" si="53"/>
        <v>FALSE</v>
      </c>
      <c r="AM218" s="10" t="str">
        <f t="shared" si="53"/>
        <v>FALSE</v>
      </c>
      <c r="AN218" s="10" t="str">
        <f t="shared" si="53"/>
        <v>FALSE</v>
      </c>
      <c r="AO218" s="10" t="str">
        <f t="shared" si="54"/>
        <v>FALSE</v>
      </c>
      <c r="AP218" s="10" t="str">
        <f t="shared" si="54"/>
        <v>FALSE</v>
      </c>
      <c r="AQ218" s="10" t="b">
        <f>IF(AND(I218="TP",S218&lt;=150),VLOOKUP(AF218,TPCalibEq150!$AZ$2:$BB$166,3,),IF(AND(I218="TDP",S218&lt;=150),VLOOKUP(AF218,TPCalibEq150!$AZ$2:$BB$166,3,)))</f>
        <v>0</v>
      </c>
      <c r="AR218" s="10" t="b">
        <f>IF(AND(I218="TP",S218&lt;=300),VLOOKUP(AF218,TPCalibEq300!$AZ$2:$BB$166,3,),IF(AND(I218="TDP",S218&lt;=300),VLOOKUP(AF218,TPCalibEq300!$AZ$2:$BB$166,3,)))</f>
        <v>0</v>
      </c>
      <c r="AS218" s="10" t="b">
        <f>IF(AND(I218="TP",S218&lt;=500),VLOOKUP(AF218,TPCalibEq500!$AZ$2:$BB$165,3,),IF(AND(I218="TDP",S218&lt;=500),VLOOKUP(AF218,TPCalibEq500!$AZ$2:$BB$165,3,)))</f>
        <v>0</v>
      </c>
      <c r="AT218" s="10" t="b">
        <f>IF(AND(I218="TN",S218&lt;=2800),VLOOKUP(AF218,TNCalibEq2500!$AZ$2:$BB$165,3,),IF(AND(I218="TDN",S218&lt;=2800),VLOOKUP(AF218,TNCalibEq2500!$AZ$2:$BB$165,3,)))</f>
        <v>0</v>
      </c>
      <c r="AU218" s="10" t="b">
        <f>IF(I218="TP",VLOOKUP(AF218,TPCalibEqFull!$AZ$2:$BB$165,3),IF(I218="TDP",VLOOKUP(AF218,TPCalibEqFull!$AZ$2:$BB$165,3),IF(I218="TDN",VLOOKUP(AF218,TNCalibEqFull!$AZ$2:$BB$164,3),IF(I218="TN",VLOOKUP(AF218,TNCalibEqFull!$AZ$2:$BB$164,3),FALSE))))</f>
        <v>0</v>
      </c>
      <c r="AV218" s="10" t="str">
        <f t="shared" si="59"/>
        <v>20240810 00:00:00-1000-18-Sh-2-SW-UKN</v>
      </c>
    </row>
    <row r="219" spans="1:48" s="10" customFormat="1" x14ac:dyDescent="0.3">
      <c r="A219" s="32">
        <v>45514</v>
      </c>
      <c r="B219" s="33">
        <v>0</v>
      </c>
      <c r="C219" s="10">
        <v>1000</v>
      </c>
      <c r="D219" s="10" t="s">
        <v>999</v>
      </c>
      <c r="E219" s="10" t="s">
        <v>954</v>
      </c>
      <c r="F219" s="10">
        <v>1</v>
      </c>
      <c r="G219" s="10" t="s">
        <v>229</v>
      </c>
      <c r="H219" s="10" t="s">
        <v>320</v>
      </c>
      <c r="I219" s="10" t="s">
        <v>322</v>
      </c>
      <c r="J219" s="10">
        <v>30</v>
      </c>
      <c r="K219" s="12">
        <v>45688</v>
      </c>
      <c r="L219" s="33">
        <v>0.48011574074074076</v>
      </c>
      <c r="M219" s="10">
        <v>1</v>
      </c>
      <c r="N219" s="10" t="s">
        <v>256</v>
      </c>
      <c r="O219" s="10">
        <v>2.98E-2</v>
      </c>
      <c r="P219" s="10">
        <v>1.48E-3</v>
      </c>
      <c r="Q219" s="10">
        <v>3.06</v>
      </c>
      <c r="R219" s="10" t="s">
        <v>168</v>
      </c>
      <c r="S219" s="34">
        <f t="shared" si="56"/>
        <v>3.06</v>
      </c>
      <c r="T219" s="10" t="s">
        <v>968</v>
      </c>
      <c r="U219" s="34" t="str">
        <f t="shared" si="58"/>
        <v/>
      </c>
      <c r="V219" s="31" t="str">
        <f>IF(H219="CHK",VLOOKUP(I219,QCCHK,3,),IF(H219="GUP",VLOOKUP(E219,QCGUP,2,),IF(AND(H219="ATP",OR(I219="TN",I219="TDN",I219="TNO2-3",I219="NO2-3")),VLOOKUP(E219,QCREC_N,2,),IF(AND(H219="NIC",OR(I219="TN",I219="TDN",I219="TNO2-3",I219="NO2-3")),VLOOKUP(E219,QCNIC_N,2,),IF(AND(H219="UREA",OR(I219="TN",I219="TDN",I219="TNO2-3",I219="NO2-3")),VLOOKUP(E219,QCUREA_N,2,),IF(H219="PER",VLOOKUP(I219,QCPER,MATCH(E219,QCACTUAL!$J$25:$AA$25,0),),IF(H219="SPK",VLOOKUP(I219,QCSPK,3,),IF(AND(H219="ATP",OR(I219="TP",I219="TDP")),VLOOKUP(E219,QCATP_P,2,),""))))))))</f>
        <v/>
      </c>
      <c r="W219" s="31" t="str">
        <f t="shared" si="57"/>
        <v>TRUE</v>
      </c>
      <c r="X219" s="31" t="str">
        <f t="shared" si="55"/>
        <v/>
      </c>
      <c r="Y219" s="10" t="s">
        <v>967</v>
      </c>
      <c r="AL219" s="10" t="str">
        <f t="shared" si="53"/>
        <v>FALSE</v>
      </c>
      <c r="AM219" s="10" t="str">
        <f t="shared" si="53"/>
        <v>FALSE</v>
      </c>
      <c r="AN219" s="10" t="str">
        <f t="shared" si="53"/>
        <v>FALSE</v>
      </c>
      <c r="AO219" s="10" t="str">
        <f t="shared" si="54"/>
        <v>FALSE</v>
      </c>
      <c r="AP219" s="10" t="str">
        <f t="shared" si="54"/>
        <v>FALSE</v>
      </c>
      <c r="AQ219" s="10" t="b">
        <f>IF(AND(I219="TP",S219&lt;=150),VLOOKUP(AF219,TPCalibEq150!$AZ$2:$BB$166,3,),IF(AND(I219="TDP",S219&lt;=150),VLOOKUP(AF219,TPCalibEq150!$AZ$2:$BB$166,3,)))</f>
        <v>0</v>
      </c>
      <c r="AR219" s="10" t="b">
        <f>IF(AND(I219="TP",S219&lt;=300),VLOOKUP(AF219,TPCalibEq300!$AZ$2:$BB$166,3,),IF(AND(I219="TDP",S219&lt;=300),VLOOKUP(AF219,TPCalibEq300!$AZ$2:$BB$166,3,)))</f>
        <v>0</v>
      </c>
      <c r="AS219" s="10" t="b">
        <f>IF(AND(I219="TP",S219&lt;=500),VLOOKUP(AF219,TPCalibEq500!$AZ$2:$BB$165,3,),IF(AND(I219="TDP",S219&lt;=500),VLOOKUP(AF219,TPCalibEq500!$AZ$2:$BB$165,3,)))</f>
        <v>0</v>
      </c>
      <c r="AT219" s="10" t="b">
        <f>IF(AND(I219="TN",S219&lt;=2800),VLOOKUP(AF219,TNCalibEq2500!$AZ$2:$BB$165,3,),IF(AND(I219="TDN",S219&lt;=2800),VLOOKUP(AF219,TNCalibEq2500!$AZ$2:$BB$165,3,)))</f>
        <v>0</v>
      </c>
      <c r="AU219" s="10" t="b">
        <f>IF(I219="TP",VLOOKUP(AF219,TPCalibEqFull!$AZ$2:$BB$165,3),IF(I219="TDP",VLOOKUP(AF219,TPCalibEqFull!$AZ$2:$BB$165,3),IF(I219="TDN",VLOOKUP(AF219,TNCalibEqFull!$AZ$2:$BB$164,3),IF(I219="TN",VLOOKUP(AF219,TNCalibEqFull!$AZ$2:$BB$164,3),FALSE))))</f>
        <v>0</v>
      </c>
      <c r="AV219" s="10" t="str">
        <f t="shared" si="59"/>
        <v>20240810 00:00:00-1000-18-Dp-1-SW-UKN</v>
      </c>
    </row>
    <row r="220" spans="1:48" s="10" customFormat="1" x14ac:dyDescent="0.3">
      <c r="A220" s="32">
        <v>45514</v>
      </c>
      <c r="B220" s="33">
        <v>0</v>
      </c>
      <c r="C220" s="10">
        <v>1000</v>
      </c>
      <c r="D220" s="10" t="s">
        <v>1000</v>
      </c>
      <c r="E220" s="10" t="s">
        <v>953</v>
      </c>
      <c r="F220" s="10">
        <v>1</v>
      </c>
      <c r="G220" s="10" t="s">
        <v>72</v>
      </c>
      <c r="H220" s="10" t="s">
        <v>239</v>
      </c>
      <c r="I220" s="10" t="s">
        <v>322</v>
      </c>
      <c r="J220" s="10">
        <v>31</v>
      </c>
      <c r="K220" s="12">
        <v>45688</v>
      </c>
      <c r="L220" s="33">
        <v>0.48103009259259261</v>
      </c>
      <c r="M220" s="10">
        <v>1</v>
      </c>
      <c r="N220" s="10" t="s">
        <v>256</v>
      </c>
      <c r="O220" s="10">
        <v>2.1000000000000001E-2</v>
      </c>
      <c r="P220" s="10">
        <v>1.15E-3</v>
      </c>
      <c r="Q220" s="10">
        <v>2.16</v>
      </c>
      <c r="R220" s="10" t="s">
        <v>168</v>
      </c>
      <c r="S220" s="34">
        <f t="shared" si="56"/>
        <v>2.16</v>
      </c>
      <c r="T220" s="10" t="s">
        <v>968</v>
      </c>
      <c r="U220" s="34" t="str">
        <f t="shared" si="58"/>
        <v/>
      </c>
      <c r="V220" s="31" t="str">
        <f>IF(H220="CHK",VLOOKUP(I220,QCCHK,3,),IF(H220="GUP",VLOOKUP(E220,QCGUP,2,),IF(AND(H220="ATP",OR(I220="TN",I220="TDN",I220="TNO2-3",I220="NO2-3")),VLOOKUP(E220,QCREC_N,2,),IF(AND(H220="NIC",OR(I220="TN",I220="TDN",I220="TNO2-3",I220="NO2-3")),VLOOKUP(E220,QCNIC_N,2,),IF(AND(H220="UREA",OR(I220="TN",I220="TDN",I220="TNO2-3",I220="NO2-3")),VLOOKUP(E220,QCUREA_N,2,),IF(H220="PER",VLOOKUP(I220,QCPER,MATCH(E220,QCACTUAL!$J$25:$AA$25,0),),IF(H220="SPK",VLOOKUP(I220,QCSPK,3,),IF(AND(H220="ATP",OR(I220="TP",I220="TDP")),VLOOKUP(E220,QCATP_P,2,),""))))))))</f>
        <v/>
      </c>
      <c r="W220" s="31" t="str">
        <f t="shared" si="57"/>
        <v>TRUE</v>
      </c>
      <c r="X220" s="31" t="str">
        <f t="shared" si="55"/>
        <v/>
      </c>
      <c r="Y220" s="10" t="s">
        <v>967</v>
      </c>
      <c r="AL220" s="10" t="str">
        <f t="shared" si="53"/>
        <v>FALSE</v>
      </c>
      <c r="AM220" s="10" t="str">
        <f t="shared" si="53"/>
        <v>FALSE</v>
      </c>
      <c r="AN220" s="10" t="str">
        <f t="shared" si="53"/>
        <v>FALSE</v>
      </c>
      <c r="AO220" s="10" t="str">
        <f t="shared" si="54"/>
        <v>FALSE</v>
      </c>
      <c r="AP220" s="10" t="str">
        <f t="shared" si="54"/>
        <v>FALSE</v>
      </c>
      <c r="AQ220" s="10" t="b">
        <f>IF(AND(I220="TP",S220&lt;=150),VLOOKUP(AF220,TPCalibEq150!$AZ$2:$BB$166,3,),IF(AND(I220="TDP",S220&lt;=150),VLOOKUP(AF220,TPCalibEq150!$AZ$2:$BB$166,3,)))</f>
        <v>0</v>
      </c>
      <c r="AR220" s="10" t="b">
        <f>IF(AND(I220="TP",S220&lt;=300),VLOOKUP(AF220,TPCalibEq300!$AZ$2:$BB$166,3,),IF(AND(I220="TDP",S220&lt;=300),VLOOKUP(AF220,TPCalibEq300!$AZ$2:$BB$166,3,)))</f>
        <v>0</v>
      </c>
      <c r="AS220" s="10" t="b">
        <f>IF(AND(I220="TP",S220&lt;=500),VLOOKUP(AF220,TPCalibEq500!$AZ$2:$BB$165,3,),IF(AND(I220="TDP",S220&lt;=500),VLOOKUP(AF220,TPCalibEq500!$AZ$2:$BB$165,3,)))</f>
        <v>0</v>
      </c>
      <c r="AT220" s="10" t="b">
        <f>IF(AND(I220="TN",S220&lt;=2800),VLOOKUP(AF220,TNCalibEq2500!$AZ$2:$BB$165,3,),IF(AND(I220="TDN",S220&lt;=2800),VLOOKUP(AF220,TNCalibEq2500!$AZ$2:$BB$165,3,)))</f>
        <v>0</v>
      </c>
      <c r="AU220" s="10" t="b">
        <f>IF(I220="TP",VLOOKUP(AF220,TPCalibEqFull!$AZ$2:$BB$165,3),IF(I220="TDP",VLOOKUP(AF220,TPCalibEqFull!$AZ$2:$BB$165,3),IF(I220="TDN",VLOOKUP(AF220,TNCalibEqFull!$AZ$2:$BB$164,3),IF(I220="TN",VLOOKUP(AF220,TNCalibEqFull!$AZ$2:$BB$164,3),FALSE))))</f>
        <v>0</v>
      </c>
      <c r="AV220" s="10" t="str">
        <f t="shared" si="59"/>
        <v>20240810 00:00:00-1000-26-Sh-1-DI-BLK</v>
      </c>
    </row>
    <row r="221" spans="1:48" s="10" customFormat="1" x14ac:dyDescent="0.3">
      <c r="A221" s="32">
        <v>45514</v>
      </c>
      <c r="B221" s="33">
        <v>0</v>
      </c>
      <c r="C221" s="10">
        <v>1000</v>
      </c>
      <c r="D221" s="10" t="s">
        <v>1000</v>
      </c>
      <c r="E221" s="10" t="s">
        <v>953</v>
      </c>
      <c r="F221" s="10">
        <v>1</v>
      </c>
      <c r="G221" s="10" t="s">
        <v>229</v>
      </c>
      <c r="H221" s="10" t="s">
        <v>320</v>
      </c>
      <c r="I221" s="10" t="s">
        <v>322</v>
      </c>
      <c r="J221" s="10">
        <v>32</v>
      </c>
      <c r="K221" s="12">
        <v>45688</v>
      </c>
      <c r="L221" s="33">
        <v>0.48194444444444445</v>
      </c>
      <c r="M221" s="10">
        <v>1</v>
      </c>
      <c r="N221" s="10" t="s">
        <v>256</v>
      </c>
      <c r="O221" s="10">
        <v>2.5899999999999999E-2</v>
      </c>
      <c r="P221" s="10">
        <v>1.1199999999999999E-3</v>
      </c>
      <c r="Q221" s="10">
        <v>2.65</v>
      </c>
      <c r="R221" s="10" t="s">
        <v>168</v>
      </c>
      <c r="S221" s="34">
        <f t="shared" si="56"/>
        <v>2.65</v>
      </c>
      <c r="T221" s="10" t="s">
        <v>968</v>
      </c>
      <c r="U221" s="34" t="str">
        <f t="shared" si="58"/>
        <v/>
      </c>
      <c r="V221" s="31" t="str">
        <f>IF(H221="CHK",VLOOKUP(I221,QCCHK,3,),IF(H221="GUP",VLOOKUP(E221,QCGUP,2,),IF(AND(H221="ATP",OR(I221="TN",I221="TDN",I221="TNO2-3",I221="NO2-3")),VLOOKUP(E221,QCREC_N,2,),IF(AND(H221="NIC",OR(I221="TN",I221="TDN",I221="TNO2-3",I221="NO2-3")),VLOOKUP(E221,QCNIC_N,2,),IF(AND(H221="UREA",OR(I221="TN",I221="TDN",I221="TNO2-3",I221="NO2-3")),VLOOKUP(E221,QCUREA_N,2,),IF(H221="PER",VLOOKUP(I221,QCPER,MATCH(E221,QCACTUAL!$J$25:$AA$25,0),),IF(H221="SPK",VLOOKUP(I221,QCSPK,3,),IF(AND(H221="ATP",OR(I221="TP",I221="TDP")),VLOOKUP(E221,QCATP_P,2,),""))))))))</f>
        <v/>
      </c>
      <c r="W221" s="31" t="str">
        <f t="shared" si="57"/>
        <v>TRUE</v>
      </c>
      <c r="X221" s="31" t="str">
        <f t="shared" si="55"/>
        <v/>
      </c>
      <c r="Y221" s="10" t="s">
        <v>967</v>
      </c>
      <c r="AL221" s="10" t="str">
        <f t="shared" si="53"/>
        <v>FALSE</v>
      </c>
      <c r="AM221" s="10" t="str">
        <f t="shared" si="53"/>
        <v>FALSE</v>
      </c>
      <c r="AN221" s="10" t="str">
        <f t="shared" si="53"/>
        <v>FALSE</v>
      </c>
      <c r="AO221" s="10" t="str">
        <f t="shared" si="54"/>
        <v>FALSE</v>
      </c>
      <c r="AP221" s="10" t="str">
        <f t="shared" si="54"/>
        <v>FALSE</v>
      </c>
      <c r="AQ221" s="10" t="b">
        <f>IF(AND(I221="TP",S221&lt;=150),VLOOKUP(AF221,TPCalibEq150!$AZ$2:$BB$166,3,),IF(AND(I221="TDP",S221&lt;=150),VLOOKUP(AF221,TPCalibEq150!$AZ$2:$BB$166,3,)))</f>
        <v>0</v>
      </c>
      <c r="AR221" s="10" t="b">
        <f>IF(AND(I221="TP",S221&lt;=300),VLOOKUP(AF221,TPCalibEq300!$AZ$2:$BB$166,3,),IF(AND(I221="TDP",S221&lt;=300),VLOOKUP(AF221,TPCalibEq300!$AZ$2:$BB$166,3,)))</f>
        <v>0</v>
      </c>
      <c r="AS221" s="10" t="b">
        <f>IF(AND(I221="TP",S221&lt;=500),VLOOKUP(AF221,TPCalibEq500!$AZ$2:$BB$165,3,),IF(AND(I221="TDP",S221&lt;=500),VLOOKUP(AF221,TPCalibEq500!$AZ$2:$BB$165,3,)))</f>
        <v>0</v>
      </c>
      <c r="AT221" s="10" t="b">
        <f>IF(AND(I221="TN",S221&lt;=2800),VLOOKUP(AF221,TNCalibEq2500!$AZ$2:$BB$165,3,),IF(AND(I221="TDN",S221&lt;=2800),VLOOKUP(AF221,TNCalibEq2500!$AZ$2:$BB$165,3,)))</f>
        <v>0</v>
      </c>
      <c r="AU221" s="10" t="b">
        <f>IF(I221="TP",VLOOKUP(AF221,TPCalibEqFull!$AZ$2:$BB$165,3),IF(I221="TDP",VLOOKUP(AF221,TPCalibEqFull!$AZ$2:$BB$165,3),IF(I221="TDN",VLOOKUP(AF221,TNCalibEqFull!$AZ$2:$BB$164,3),IF(I221="TN",VLOOKUP(AF221,TNCalibEqFull!$AZ$2:$BB$164,3),FALSE))))</f>
        <v>0</v>
      </c>
      <c r="AV221" s="10" t="str">
        <f t="shared" si="59"/>
        <v>20240810 00:00:00-1000-26-Sh-1-SW-UKN</v>
      </c>
    </row>
    <row r="222" spans="1:48" s="10" customFormat="1" x14ac:dyDescent="0.3">
      <c r="A222" s="32">
        <v>45514</v>
      </c>
      <c r="B222" s="33">
        <v>0</v>
      </c>
      <c r="C222" s="10">
        <v>1000</v>
      </c>
      <c r="D222" s="10" t="s">
        <v>1000</v>
      </c>
      <c r="E222" s="10" t="s">
        <v>953</v>
      </c>
      <c r="F222" s="10">
        <v>2</v>
      </c>
      <c r="G222" s="10" t="s">
        <v>229</v>
      </c>
      <c r="H222" s="10" t="s">
        <v>320</v>
      </c>
      <c r="I222" s="10" t="s">
        <v>322</v>
      </c>
      <c r="J222" s="10">
        <v>33</v>
      </c>
      <c r="K222" s="12">
        <v>45688</v>
      </c>
      <c r="L222" s="33">
        <v>0.48284722222222221</v>
      </c>
      <c r="M222" s="10">
        <v>1</v>
      </c>
      <c r="N222" s="10" t="s">
        <v>256</v>
      </c>
      <c r="O222" s="10">
        <v>4.7699999999999999E-3</v>
      </c>
      <c r="P222" s="10">
        <v>5.9100000000000005E-4</v>
      </c>
      <c r="Q222" s="10">
        <v>0.48899999999999999</v>
      </c>
      <c r="R222" s="10" t="s">
        <v>168</v>
      </c>
      <c r="S222" s="34">
        <f t="shared" si="56"/>
        <v>0.48899999999999999</v>
      </c>
      <c r="T222" s="10" t="s">
        <v>968</v>
      </c>
      <c r="U222" s="34" t="str">
        <f t="shared" si="58"/>
        <v/>
      </c>
      <c r="V222" s="31" t="str">
        <f>IF(H222="CHK",VLOOKUP(I222,QCCHK,3,),IF(H222="GUP",VLOOKUP(E222,QCGUP,2,),IF(AND(H222="ATP",OR(I222="TN",I222="TDN",I222="TNO2-3",I222="NO2-3")),VLOOKUP(E222,QCREC_N,2,),IF(AND(H222="NIC",OR(I222="TN",I222="TDN",I222="TNO2-3",I222="NO2-3")),VLOOKUP(E222,QCNIC_N,2,),IF(AND(H222="UREA",OR(I222="TN",I222="TDN",I222="TNO2-3",I222="NO2-3")),VLOOKUP(E222,QCUREA_N,2,),IF(H222="PER",VLOOKUP(I222,QCPER,MATCH(E222,QCACTUAL!$J$25:$AA$25,0),),IF(H222="SPK",VLOOKUP(I222,QCSPK,3,),IF(AND(H222="ATP",OR(I222="TP",I222="TDP")),VLOOKUP(E222,QCATP_P,2,),""))))))))</f>
        <v/>
      </c>
      <c r="W222" s="31" t="str">
        <f t="shared" si="57"/>
        <v>TRUE</v>
      </c>
      <c r="X222" s="31" t="str">
        <f t="shared" si="55"/>
        <v/>
      </c>
      <c r="Y222" s="10" t="s">
        <v>967</v>
      </c>
      <c r="AL222" s="10" t="str">
        <f t="shared" si="53"/>
        <v>FALSE</v>
      </c>
      <c r="AM222" s="10" t="str">
        <f t="shared" si="53"/>
        <v>FALSE</v>
      </c>
      <c r="AN222" s="10" t="str">
        <f t="shared" si="53"/>
        <v>FALSE</v>
      </c>
      <c r="AO222" s="10" t="str">
        <f t="shared" si="54"/>
        <v>FALSE</v>
      </c>
      <c r="AP222" s="10" t="str">
        <f t="shared" si="54"/>
        <v>FALSE</v>
      </c>
      <c r="AQ222" s="10" t="b">
        <f>IF(AND(I222="TP",S222&lt;=150),VLOOKUP(AF222,TPCalibEq150!$AZ$2:$BB$166,3,),IF(AND(I222="TDP",S222&lt;=150),VLOOKUP(AF222,TPCalibEq150!$AZ$2:$BB$166,3,)))</f>
        <v>0</v>
      </c>
      <c r="AR222" s="10" t="b">
        <f>IF(AND(I222="TP",S222&lt;=300),VLOOKUP(AF222,TPCalibEq300!$AZ$2:$BB$166,3,),IF(AND(I222="TDP",S222&lt;=300),VLOOKUP(AF222,TPCalibEq300!$AZ$2:$BB$166,3,)))</f>
        <v>0</v>
      </c>
      <c r="AS222" s="10" t="b">
        <f>IF(AND(I222="TP",S222&lt;=500),VLOOKUP(AF222,TPCalibEq500!$AZ$2:$BB$165,3,),IF(AND(I222="TDP",S222&lt;=500),VLOOKUP(AF222,TPCalibEq500!$AZ$2:$BB$165,3,)))</f>
        <v>0</v>
      </c>
      <c r="AT222" s="10" t="b">
        <f>IF(AND(I222="TN",S222&lt;=2800),VLOOKUP(AF222,TNCalibEq2500!$AZ$2:$BB$165,3,),IF(AND(I222="TDN",S222&lt;=2800),VLOOKUP(AF222,TNCalibEq2500!$AZ$2:$BB$165,3,)))</f>
        <v>0</v>
      </c>
      <c r="AU222" s="10" t="b">
        <f>IF(I222="TP",VLOOKUP(AF222,TPCalibEqFull!$AZ$2:$BB$165,3),IF(I222="TDP",VLOOKUP(AF222,TPCalibEqFull!$AZ$2:$BB$165,3),IF(I222="TDN",VLOOKUP(AF222,TNCalibEqFull!$AZ$2:$BB$164,3),IF(I222="TN",VLOOKUP(AF222,TNCalibEqFull!$AZ$2:$BB$164,3),FALSE))))</f>
        <v>0</v>
      </c>
      <c r="AV222" s="10" t="str">
        <f t="shared" si="59"/>
        <v>20240810 00:00:00-1000-26-Sh-2-SW-UKN</v>
      </c>
    </row>
    <row r="223" spans="1:48" s="10" customFormat="1" x14ac:dyDescent="0.3">
      <c r="A223" s="32">
        <v>45514</v>
      </c>
      <c r="B223" s="33">
        <v>0</v>
      </c>
      <c r="C223" s="10">
        <v>1000</v>
      </c>
      <c r="D223" s="10" t="s">
        <v>1000</v>
      </c>
      <c r="E223" s="10" t="s">
        <v>954</v>
      </c>
      <c r="F223" s="10">
        <v>1</v>
      </c>
      <c r="G223" s="10" t="s">
        <v>229</v>
      </c>
      <c r="H223" s="10" t="s">
        <v>320</v>
      </c>
      <c r="I223" s="10" t="s">
        <v>322</v>
      </c>
      <c r="J223" s="10">
        <v>34</v>
      </c>
      <c r="K223" s="12">
        <v>45688</v>
      </c>
      <c r="L223" s="33">
        <v>0.48374999999999996</v>
      </c>
      <c r="M223" s="10">
        <v>1</v>
      </c>
      <c r="N223" s="10" t="s">
        <v>256</v>
      </c>
      <c r="O223" s="10">
        <v>2.93E-2</v>
      </c>
      <c r="P223" s="10">
        <v>1.72E-3</v>
      </c>
      <c r="Q223" s="10">
        <v>3</v>
      </c>
      <c r="R223" s="10" t="s">
        <v>168</v>
      </c>
      <c r="S223" s="34">
        <f t="shared" si="56"/>
        <v>3</v>
      </c>
      <c r="T223" s="10" t="s">
        <v>968</v>
      </c>
      <c r="U223" s="34" t="str">
        <f t="shared" si="58"/>
        <v/>
      </c>
      <c r="V223" s="31" t="str">
        <f>IF(H223="CHK",VLOOKUP(I223,QCCHK,3,),IF(H223="GUP",VLOOKUP(E223,QCGUP,2,),IF(AND(H223="ATP",OR(I223="TN",I223="TDN",I223="TNO2-3",I223="NO2-3")),VLOOKUP(E223,QCREC_N,2,),IF(AND(H223="NIC",OR(I223="TN",I223="TDN",I223="TNO2-3",I223="NO2-3")),VLOOKUP(E223,QCNIC_N,2,),IF(AND(H223="UREA",OR(I223="TN",I223="TDN",I223="TNO2-3",I223="NO2-3")),VLOOKUP(E223,QCUREA_N,2,),IF(H223="PER",VLOOKUP(I223,QCPER,MATCH(E223,QCACTUAL!$J$25:$AA$25,0),),IF(H223="SPK",VLOOKUP(I223,QCSPK,3,),IF(AND(H223="ATP",OR(I223="TP",I223="TDP")),VLOOKUP(E223,QCATP_P,2,),""))))))))</f>
        <v/>
      </c>
      <c r="W223" s="31" t="str">
        <f t="shared" si="57"/>
        <v>TRUE</v>
      </c>
      <c r="X223" s="31" t="str">
        <f t="shared" si="55"/>
        <v/>
      </c>
      <c r="Y223" s="10" t="s">
        <v>967</v>
      </c>
      <c r="AL223" s="10" t="str">
        <f t="shared" si="53"/>
        <v>FALSE</v>
      </c>
      <c r="AM223" s="10" t="str">
        <f t="shared" si="53"/>
        <v>FALSE</v>
      </c>
      <c r="AN223" s="10" t="str">
        <f t="shared" si="53"/>
        <v>FALSE</v>
      </c>
      <c r="AO223" s="10" t="str">
        <f t="shared" si="54"/>
        <v>FALSE</v>
      </c>
      <c r="AP223" s="10" t="str">
        <f t="shared" si="54"/>
        <v>FALSE</v>
      </c>
      <c r="AQ223" s="10" t="b">
        <f>IF(AND(I223="TP",S223&lt;=150),VLOOKUP(AF223,TPCalibEq150!$AZ$2:$BB$166,3,),IF(AND(I223="TDP",S223&lt;=150),VLOOKUP(AF223,TPCalibEq150!$AZ$2:$BB$166,3,)))</f>
        <v>0</v>
      </c>
      <c r="AR223" s="10" t="b">
        <f>IF(AND(I223="TP",S223&lt;=300),VLOOKUP(AF223,TPCalibEq300!$AZ$2:$BB$166,3,),IF(AND(I223="TDP",S223&lt;=300),VLOOKUP(AF223,TPCalibEq300!$AZ$2:$BB$166,3,)))</f>
        <v>0</v>
      </c>
      <c r="AS223" s="10" t="b">
        <f>IF(AND(I223="TP",S223&lt;=500),VLOOKUP(AF223,TPCalibEq500!$AZ$2:$BB$165,3,),IF(AND(I223="TDP",S223&lt;=500),VLOOKUP(AF223,TPCalibEq500!$AZ$2:$BB$165,3,)))</f>
        <v>0</v>
      </c>
      <c r="AT223" s="10" t="b">
        <f>IF(AND(I223="TN",S223&lt;=2800),VLOOKUP(AF223,TNCalibEq2500!$AZ$2:$BB$165,3,),IF(AND(I223="TDN",S223&lt;=2800),VLOOKUP(AF223,TNCalibEq2500!$AZ$2:$BB$165,3,)))</f>
        <v>0</v>
      </c>
      <c r="AU223" s="10" t="b">
        <f>IF(I223="TP",VLOOKUP(AF223,TPCalibEqFull!$AZ$2:$BB$165,3),IF(I223="TDP",VLOOKUP(AF223,TPCalibEqFull!$AZ$2:$BB$165,3),IF(I223="TDN",VLOOKUP(AF223,TNCalibEqFull!$AZ$2:$BB$164,3),IF(I223="TN",VLOOKUP(AF223,TNCalibEqFull!$AZ$2:$BB$164,3),FALSE))))</f>
        <v>0</v>
      </c>
      <c r="AV223" s="10" t="str">
        <f t="shared" si="59"/>
        <v>20240810 00:00:00-1000-26-Dp-1-SW-UKN</v>
      </c>
    </row>
  </sheetData>
  <autoFilter ref="A2:AV2354" xr:uid="{98159604-9792-4F42-B495-F81747599226}"/>
  <phoneticPr fontId="17" type="noConversion"/>
  <conditionalFormatting sqref="AG1:AK2 AF2 AL2:AU2">
    <cfRule type="cellIs" dxfId="12" priority="2" operator="lessThan">
      <formula>0</formula>
    </cfRule>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0A374-45CE-4618-9887-48B56E91CE5B}">
  <dimension ref="A1:BD37"/>
  <sheetViews>
    <sheetView topLeftCell="W4" zoomScale="90" zoomScaleNormal="90" workbookViewId="0">
      <selection activeCell="AF19" sqref="AF19"/>
    </sheetView>
  </sheetViews>
  <sheetFormatPr defaultRowHeight="14.4" x14ac:dyDescent="0.3"/>
  <cols>
    <col min="1" max="1" width="10" bestFit="1" customWidth="1"/>
    <col min="2" max="2" width="11.44140625" bestFit="1" customWidth="1"/>
    <col min="11" max="11" width="10.5546875" bestFit="1" customWidth="1"/>
    <col min="12" max="12" width="11.33203125" bestFit="1" customWidth="1"/>
    <col min="20" max="20" width="42.6640625" bestFit="1" customWidth="1"/>
    <col min="21" max="22" width="10.6640625" bestFit="1" customWidth="1"/>
    <col min="23" max="23" width="26.44140625" customWidth="1"/>
    <col min="24" max="25" width="8.88671875" style="124"/>
    <col min="31" max="31" width="53.44140625" customWidth="1"/>
    <col min="32" max="32" width="10" bestFit="1" customWidth="1"/>
    <col min="33" max="33" width="11.44140625" bestFit="1" customWidth="1"/>
    <col min="42" max="42" width="11.6640625" bestFit="1" customWidth="1"/>
    <col min="43" max="43" width="11.88671875" bestFit="1" customWidth="1"/>
    <col min="51" max="51" width="42.6640625" style="10" bestFit="1" customWidth="1"/>
    <col min="52" max="52" width="11" bestFit="1" customWidth="1"/>
    <col min="53" max="53" width="8.5546875" bestFit="1" customWidth="1"/>
    <col min="54" max="54" width="25" bestFit="1" customWidth="1"/>
    <col min="55" max="56" width="8.88671875" style="124"/>
  </cols>
  <sheetData>
    <row r="1" spans="1:54" ht="100.8" x14ac:dyDescent="0.3">
      <c r="A1" s="17" t="s">
        <v>0</v>
      </c>
      <c r="B1" s="35" t="s">
        <v>23</v>
      </c>
      <c r="C1" s="19" t="s">
        <v>24</v>
      </c>
      <c r="D1" s="19" t="s">
        <v>25</v>
      </c>
      <c r="E1" s="19" t="s">
        <v>26</v>
      </c>
      <c r="F1" s="19" t="s">
        <v>27</v>
      </c>
      <c r="G1" s="19" t="s">
        <v>28</v>
      </c>
      <c r="H1" s="19" t="s">
        <v>29</v>
      </c>
      <c r="I1" s="19" t="s">
        <v>30</v>
      </c>
      <c r="J1" s="19" t="s">
        <v>31</v>
      </c>
      <c r="K1" s="20" t="s">
        <v>32</v>
      </c>
      <c r="L1" s="21" t="s">
        <v>33</v>
      </c>
      <c r="M1" s="22" t="s">
        <v>34</v>
      </c>
      <c r="N1" s="19" t="s">
        <v>35</v>
      </c>
      <c r="O1" s="23" t="s">
        <v>36</v>
      </c>
      <c r="P1" s="23" t="s">
        <v>37</v>
      </c>
      <c r="Q1" s="24" t="s">
        <v>38</v>
      </c>
      <c r="R1" s="19" t="s">
        <v>39</v>
      </c>
      <c r="S1" s="36" t="s">
        <v>40</v>
      </c>
      <c r="T1" s="19" t="s">
        <v>46</v>
      </c>
      <c r="U1" s="20" t="s">
        <v>77</v>
      </c>
      <c r="V1" s="9" t="s">
        <v>78</v>
      </c>
      <c r="W1" s="3" t="s">
        <v>79</v>
      </c>
      <c r="AF1" s="37" t="s">
        <v>0</v>
      </c>
      <c r="AG1" s="35" t="s">
        <v>23</v>
      </c>
      <c r="AH1" s="38" t="s">
        <v>24</v>
      </c>
      <c r="AI1" s="38" t="s">
        <v>25</v>
      </c>
      <c r="AJ1" s="38" t="s">
        <v>26</v>
      </c>
      <c r="AK1" s="38" t="s">
        <v>27</v>
      </c>
      <c r="AL1" s="38" t="s">
        <v>28</v>
      </c>
      <c r="AM1" s="38" t="s">
        <v>29</v>
      </c>
      <c r="AN1" s="38" t="s">
        <v>30</v>
      </c>
      <c r="AO1" s="38" t="s">
        <v>31</v>
      </c>
      <c r="AP1" s="39" t="s">
        <v>32</v>
      </c>
      <c r="AQ1" s="40" t="s">
        <v>33</v>
      </c>
      <c r="AR1" s="22" t="s">
        <v>34</v>
      </c>
      <c r="AS1" s="38" t="s">
        <v>35</v>
      </c>
      <c r="AT1" s="41" t="s">
        <v>36</v>
      </c>
      <c r="AU1" s="41" t="s">
        <v>37</v>
      </c>
      <c r="AV1" s="42" t="s">
        <v>38</v>
      </c>
      <c r="AW1" s="38" t="s">
        <v>39</v>
      </c>
      <c r="AX1" s="43" t="s">
        <v>40</v>
      </c>
      <c r="AY1" s="38" t="s">
        <v>46</v>
      </c>
      <c r="AZ1" s="39" t="s">
        <v>80</v>
      </c>
      <c r="BA1" s="44" t="s">
        <v>78</v>
      </c>
      <c r="BB1" s="44" t="s">
        <v>79</v>
      </c>
    </row>
    <row r="2" spans="1:54" x14ac:dyDescent="0.3">
      <c r="A2" s="32">
        <v>45678</v>
      </c>
      <c r="B2" s="33">
        <v>0.375</v>
      </c>
      <c r="C2" s="10" t="s">
        <v>70</v>
      </c>
      <c r="D2" s="10" t="s">
        <v>71</v>
      </c>
      <c r="E2" s="10" t="s">
        <v>914</v>
      </c>
      <c r="F2" s="10">
        <v>1</v>
      </c>
      <c r="G2" s="10" t="s">
        <v>72</v>
      </c>
      <c r="H2" s="10" t="s">
        <v>73</v>
      </c>
      <c r="I2" s="10" t="s">
        <v>81</v>
      </c>
      <c r="J2" s="10">
        <v>189</v>
      </c>
      <c r="K2" s="12">
        <v>45679</v>
      </c>
      <c r="L2" s="33">
        <v>0.57105324074074071</v>
      </c>
      <c r="M2" s="10">
        <v>1</v>
      </c>
      <c r="N2" s="10" t="s">
        <v>82</v>
      </c>
      <c r="O2" s="10">
        <v>2.92E-2</v>
      </c>
      <c r="P2" s="10">
        <v>2.8800000000000002E-3</v>
      </c>
      <c r="Q2" s="10">
        <v>0</v>
      </c>
      <c r="R2" s="10" t="s">
        <v>83</v>
      </c>
      <c r="S2" s="34">
        <v>0</v>
      </c>
      <c r="T2" s="10" t="s">
        <v>937</v>
      </c>
      <c r="U2" s="45">
        <v>45679</v>
      </c>
      <c r="V2">
        <f>-113.23*O2^2+321.73*O2-7.4011</f>
        <v>1.8968715728000021</v>
      </c>
      <c r="W2" t="s">
        <v>941</v>
      </c>
      <c r="AF2" s="32">
        <v>45678</v>
      </c>
      <c r="AG2" s="33">
        <v>0.375</v>
      </c>
      <c r="AH2" s="10" t="s">
        <v>70</v>
      </c>
      <c r="AI2" s="10" t="s">
        <v>71</v>
      </c>
      <c r="AJ2" s="10" t="s">
        <v>919</v>
      </c>
      <c r="AK2" s="10">
        <v>1</v>
      </c>
      <c r="AL2" s="10" t="s">
        <v>72</v>
      </c>
      <c r="AM2" s="10" t="s">
        <v>73</v>
      </c>
      <c r="AN2" s="10" t="s">
        <v>81</v>
      </c>
      <c r="AO2" s="10">
        <v>194</v>
      </c>
      <c r="AP2" s="12">
        <v>45679</v>
      </c>
      <c r="AQ2" s="33">
        <v>0.57395833333333335</v>
      </c>
      <c r="AR2" s="10">
        <v>1</v>
      </c>
      <c r="AS2" s="10" t="s">
        <v>82</v>
      </c>
      <c r="AT2" s="10">
        <v>0.627</v>
      </c>
      <c r="AU2" s="10">
        <v>5.7200000000000001E-2</v>
      </c>
      <c r="AV2" s="10">
        <v>150</v>
      </c>
      <c r="AW2" s="10" t="s">
        <v>83</v>
      </c>
      <c r="AX2" s="34">
        <v>150</v>
      </c>
      <c r="AY2" s="10" t="s">
        <v>937</v>
      </c>
      <c r="AZ2" s="45">
        <v>45679</v>
      </c>
      <c r="BA2">
        <f t="shared" ref="BA2" si="0">-113.23*AT2^2+321.73*AT2-7.4011</f>
        <v>149.80961332999999</v>
      </c>
      <c r="BB2" t="s">
        <v>941</v>
      </c>
    </row>
    <row r="3" spans="1:54" x14ac:dyDescent="0.3">
      <c r="A3" s="32">
        <v>45678</v>
      </c>
      <c r="B3" s="33">
        <v>0.375</v>
      </c>
      <c r="C3" s="10" t="s">
        <v>70</v>
      </c>
      <c r="D3" s="10" t="s">
        <v>71</v>
      </c>
      <c r="E3" s="10" t="s">
        <v>915</v>
      </c>
      <c r="F3" s="10">
        <v>1</v>
      </c>
      <c r="G3" s="10" t="s">
        <v>72</v>
      </c>
      <c r="H3" s="10" t="s">
        <v>73</v>
      </c>
      <c r="I3" s="10" t="s">
        <v>81</v>
      </c>
      <c r="J3" s="10">
        <v>190</v>
      </c>
      <c r="K3" s="12">
        <v>45679</v>
      </c>
      <c r="L3" s="33">
        <v>0.57164351851851858</v>
      </c>
      <c r="M3" s="10">
        <v>1</v>
      </c>
      <c r="N3" s="10" t="s">
        <v>82</v>
      </c>
      <c r="O3" s="10">
        <v>4.6399999999999997E-2</v>
      </c>
      <c r="P3" s="10">
        <v>2.9099999999999998E-3</v>
      </c>
      <c r="Q3" s="10">
        <v>5</v>
      </c>
      <c r="R3" s="10" t="s">
        <v>83</v>
      </c>
      <c r="S3" s="34">
        <v>5</v>
      </c>
      <c r="T3" s="10" t="s">
        <v>937</v>
      </c>
      <c r="U3" s="45">
        <v>45679</v>
      </c>
      <c r="V3">
        <f t="shared" ref="V3:V7" si="1">-113.23*O3^2+321.73*O3-7.4011</f>
        <v>7.2833923392000006</v>
      </c>
      <c r="W3" t="s">
        <v>941</v>
      </c>
      <c r="AF3" s="127">
        <v>45680</v>
      </c>
      <c r="AG3" s="128">
        <v>0.375</v>
      </c>
      <c r="AH3" s="31" t="s">
        <v>70</v>
      </c>
      <c r="AI3" s="31" t="s">
        <v>71</v>
      </c>
      <c r="AJ3" s="31" t="s">
        <v>919</v>
      </c>
      <c r="AK3" s="31">
        <v>1</v>
      </c>
      <c r="AL3" s="31" t="s">
        <v>72</v>
      </c>
      <c r="AM3" s="31" t="s">
        <v>73</v>
      </c>
      <c r="AN3" s="31" t="s">
        <v>81</v>
      </c>
      <c r="AO3" s="31">
        <v>194</v>
      </c>
      <c r="AP3" s="129">
        <v>45681</v>
      </c>
      <c r="AQ3" s="128">
        <v>0.45858796296296295</v>
      </c>
      <c r="AR3" s="31">
        <v>1</v>
      </c>
      <c r="AS3" s="31" t="s">
        <v>82</v>
      </c>
      <c r="AT3" s="31">
        <v>0.64800000000000002</v>
      </c>
      <c r="AU3" s="31">
        <v>5.7700000000000001E-2</v>
      </c>
      <c r="AV3" s="31">
        <v>150</v>
      </c>
      <c r="AW3" s="31" t="s">
        <v>83</v>
      </c>
      <c r="AX3" s="34">
        <v>150</v>
      </c>
      <c r="AY3" s="31" t="s">
        <v>946</v>
      </c>
      <c r="AZ3" s="130">
        <v>45681</v>
      </c>
      <c r="BA3" s="132">
        <f t="shared" ref="BA3" si="2">-88.002*AT3^2+299.37*AT3-7.0891</f>
        <v>149.95026819200001</v>
      </c>
      <c r="BB3" s="132" t="s">
        <v>950</v>
      </c>
    </row>
    <row r="4" spans="1:54" x14ac:dyDescent="0.3">
      <c r="A4" s="32">
        <v>45678</v>
      </c>
      <c r="B4" s="33">
        <v>0.375</v>
      </c>
      <c r="C4" s="10" t="s">
        <v>70</v>
      </c>
      <c r="D4" s="10" t="s">
        <v>71</v>
      </c>
      <c r="E4" s="10" t="s">
        <v>916</v>
      </c>
      <c r="F4" s="10">
        <v>1</v>
      </c>
      <c r="G4" s="10" t="s">
        <v>72</v>
      </c>
      <c r="H4" s="10" t="s">
        <v>73</v>
      </c>
      <c r="I4" s="10" t="s">
        <v>81</v>
      </c>
      <c r="J4" s="10">
        <v>191</v>
      </c>
      <c r="K4" s="12">
        <v>45679</v>
      </c>
      <c r="L4" s="33">
        <v>0.57222222222222219</v>
      </c>
      <c r="M4" s="10">
        <v>1</v>
      </c>
      <c r="N4" s="10" t="s">
        <v>82</v>
      </c>
      <c r="O4" s="10">
        <v>6.4000000000000001E-2</v>
      </c>
      <c r="P4" s="10">
        <v>4.0699999999999998E-3</v>
      </c>
      <c r="Q4" s="10">
        <v>15</v>
      </c>
      <c r="R4" s="10" t="s">
        <v>83</v>
      </c>
      <c r="S4" s="34">
        <v>15</v>
      </c>
      <c r="T4" s="10" t="s">
        <v>937</v>
      </c>
      <c r="U4" s="45">
        <v>45679</v>
      </c>
      <c r="V4">
        <f t="shared" si="1"/>
        <v>12.725829920000002</v>
      </c>
      <c r="W4" t="s">
        <v>941</v>
      </c>
      <c r="AF4" s="32">
        <v>45685</v>
      </c>
      <c r="AG4" s="33">
        <v>0.375</v>
      </c>
      <c r="AH4" s="10" t="s">
        <v>70</v>
      </c>
      <c r="AI4" s="10" t="s">
        <v>71</v>
      </c>
      <c r="AJ4" s="10" t="s">
        <v>919</v>
      </c>
      <c r="AK4" s="10">
        <v>1</v>
      </c>
      <c r="AL4" s="10" t="s">
        <v>72</v>
      </c>
      <c r="AM4" s="10" t="s">
        <v>73</v>
      </c>
      <c r="AN4" s="10" t="s">
        <v>81</v>
      </c>
      <c r="AO4" s="10">
        <v>194</v>
      </c>
      <c r="AP4" s="12">
        <v>45686</v>
      </c>
      <c r="AQ4" s="33">
        <v>0.62630787037037039</v>
      </c>
      <c r="AR4" s="10">
        <v>1</v>
      </c>
      <c r="AS4" s="10" t="s">
        <v>82</v>
      </c>
      <c r="AT4" s="10">
        <v>0.52100000000000002</v>
      </c>
      <c r="AU4" s="10">
        <v>5.7299999999999997E-2</v>
      </c>
      <c r="AV4" s="10">
        <v>150</v>
      </c>
      <c r="AW4" s="10" t="s">
        <v>83</v>
      </c>
      <c r="AX4" s="123">
        <v>150</v>
      </c>
      <c r="AY4" s="10" t="s">
        <v>961</v>
      </c>
      <c r="AZ4" s="45">
        <v>45686</v>
      </c>
      <c r="BA4" s="124">
        <f t="shared" ref="BA4" si="3">-208.66*AT4^2+412.32*AT4-8.2985</f>
        <v>149.88134094000003</v>
      </c>
      <c r="BB4" s="124" t="s">
        <v>966</v>
      </c>
    </row>
    <row r="5" spans="1:54" x14ac:dyDescent="0.3">
      <c r="A5" s="32">
        <v>45678</v>
      </c>
      <c r="B5" s="33">
        <v>0.375</v>
      </c>
      <c r="C5" s="10" t="s">
        <v>70</v>
      </c>
      <c r="D5" s="10" t="s">
        <v>71</v>
      </c>
      <c r="E5" s="10" t="s">
        <v>917</v>
      </c>
      <c r="F5" s="10">
        <v>1</v>
      </c>
      <c r="G5" s="10" t="s">
        <v>72</v>
      </c>
      <c r="H5" s="10" t="s">
        <v>73</v>
      </c>
      <c r="I5" s="10" t="s">
        <v>81</v>
      </c>
      <c r="J5" s="10">
        <v>192</v>
      </c>
      <c r="K5" s="12">
        <v>45679</v>
      </c>
      <c r="L5" s="33">
        <v>0.57280092592592591</v>
      </c>
      <c r="M5" s="10">
        <v>1</v>
      </c>
      <c r="N5" s="10" t="s">
        <v>82</v>
      </c>
      <c r="O5" s="10">
        <v>7.85E-2</v>
      </c>
      <c r="P5" s="10">
        <v>5.77E-3</v>
      </c>
      <c r="Q5" s="10">
        <v>20</v>
      </c>
      <c r="R5" s="10" t="s">
        <v>83</v>
      </c>
      <c r="S5" s="34">
        <v>20</v>
      </c>
      <c r="T5" s="10" t="s">
        <v>937</v>
      </c>
      <c r="U5" s="45">
        <v>45679</v>
      </c>
      <c r="V5">
        <f t="shared" si="1"/>
        <v>17.156953432500003</v>
      </c>
      <c r="W5" t="s">
        <v>941</v>
      </c>
      <c r="AF5" s="127">
        <v>45692</v>
      </c>
      <c r="AG5" s="128">
        <v>0.375</v>
      </c>
      <c r="AH5" s="31" t="s">
        <v>70</v>
      </c>
      <c r="AI5" s="31" t="s">
        <v>71</v>
      </c>
      <c r="AJ5" s="31" t="s">
        <v>919</v>
      </c>
      <c r="AK5" s="31">
        <v>1</v>
      </c>
      <c r="AL5" s="31" t="s">
        <v>72</v>
      </c>
      <c r="AM5" s="31" t="s">
        <v>73</v>
      </c>
      <c r="AN5" s="31" t="s">
        <v>81</v>
      </c>
      <c r="AO5" s="31">
        <v>194</v>
      </c>
      <c r="AP5" s="129">
        <v>45692</v>
      </c>
      <c r="AQ5" s="128">
        <v>0.63804398148148145</v>
      </c>
      <c r="AR5" s="31">
        <v>1</v>
      </c>
      <c r="AS5" s="31" t="s">
        <v>82</v>
      </c>
      <c r="AT5" s="31">
        <v>0.60799999999999998</v>
      </c>
      <c r="AU5" s="31">
        <v>5.6300000000000003E-2</v>
      </c>
      <c r="AV5" s="31">
        <v>150</v>
      </c>
      <c r="AW5" s="31" t="s">
        <v>83</v>
      </c>
      <c r="AX5" s="34">
        <v>150</v>
      </c>
      <c r="AY5" s="31" t="s">
        <v>972</v>
      </c>
      <c r="AZ5" s="130">
        <v>45692</v>
      </c>
      <c r="BA5" s="132">
        <f t="shared" ref="BA5" si="4">-89.549*AT5^2+313.97*AT5-7.9418</f>
        <v>149.84891846400001</v>
      </c>
      <c r="BB5" s="132" t="s">
        <v>976</v>
      </c>
    </row>
    <row r="6" spans="1:54" x14ac:dyDescent="0.3">
      <c r="A6" s="32">
        <v>45678</v>
      </c>
      <c r="B6" s="33">
        <v>0.375</v>
      </c>
      <c r="C6" s="10" t="s">
        <v>70</v>
      </c>
      <c r="D6" s="10" t="s">
        <v>71</v>
      </c>
      <c r="E6" s="10" t="s">
        <v>918</v>
      </c>
      <c r="F6" s="10">
        <v>1</v>
      </c>
      <c r="G6" s="10" t="s">
        <v>72</v>
      </c>
      <c r="H6" s="10" t="s">
        <v>73</v>
      </c>
      <c r="I6" s="10" t="s">
        <v>81</v>
      </c>
      <c r="J6" s="10">
        <v>193</v>
      </c>
      <c r="K6" s="12">
        <v>45679</v>
      </c>
      <c r="L6" s="33">
        <v>0.57337962962962963</v>
      </c>
      <c r="M6" s="10">
        <v>1</v>
      </c>
      <c r="N6" s="10" t="s">
        <v>82</v>
      </c>
      <c r="O6" s="10">
        <v>0.28899999999999998</v>
      </c>
      <c r="P6" s="10">
        <v>2.6499999999999999E-2</v>
      </c>
      <c r="Q6" s="10">
        <v>75</v>
      </c>
      <c r="R6" s="10" t="s">
        <v>83</v>
      </c>
      <c r="S6" s="34">
        <v>75</v>
      </c>
      <c r="T6" s="10" t="s">
        <v>937</v>
      </c>
      <c r="U6" s="45">
        <v>45679</v>
      </c>
      <c r="V6">
        <f t="shared" si="1"/>
        <v>76.12178716999999</v>
      </c>
      <c r="W6" t="s">
        <v>941</v>
      </c>
      <c r="AF6" s="32">
        <v>45699</v>
      </c>
      <c r="AG6" s="33">
        <v>0.375</v>
      </c>
      <c r="AH6" s="10" t="s">
        <v>70</v>
      </c>
      <c r="AI6" s="10" t="s">
        <v>71</v>
      </c>
      <c r="AJ6" s="10" t="s">
        <v>919</v>
      </c>
      <c r="AK6" s="10">
        <v>1</v>
      </c>
      <c r="AL6" s="10" t="s">
        <v>72</v>
      </c>
      <c r="AM6" s="10" t="s">
        <v>73</v>
      </c>
      <c r="AN6" s="10" t="s">
        <v>81</v>
      </c>
      <c r="AO6" s="10">
        <v>194</v>
      </c>
      <c r="AP6" s="12">
        <v>45699</v>
      </c>
      <c r="AQ6" s="33">
        <v>0.6815972222222223</v>
      </c>
      <c r="AR6" s="10">
        <v>1</v>
      </c>
      <c r="AS6" s="10" t="s">
        <v>82</v>
      </c>
      <c r="AT6" s="10">
        <v>0.57899999999999996</v>
      </c>
      <c r="AU6" s="10">
        <v>6.1499999999999999E-2</v>
      </c>
      <c r="AV6" s="10">
        <v>150</v>
      </c>
      <c r="AW6" s="10" t="s">
        <v>83</v>
      </c>
      <c r="AX6" s="123">
        <v>150</v>
      </c>
      <c r="AY6" s="10" t="s">
        <v>980</v>
      </c>
      <c r="AZ6" s="45">
        <v>45699</v>
      </c>
      <c r="BA6" s="124">
        <f t="shared" ref="BA6" si="5">-90.394*AT6^2+333.64*AT6-13.123</f>
        <v>149.75078504599998</v>
      </c>
      <c r="BB6" s="124" t="s">
        <v>984</v>
      </c>
    </row>
    <row r="7" spans="1:54" x14ac:dyDescent="0.3">
      <c r="A7" s="32">
        <v>45678</v>
      </c>
      <c r="B7" s="33">
        <v>0.375</v>
      </c>
      <c r="C7" s="10" t="s">
        <v>70</v>
      </c>
      <c r="D7" s="10" t="s">
        <v>71</v>
      </c>
      <c r="E7" s="10" t="s">
        <v>919</v>
      </c>
      <c r="F7" s="10">
        <v>1</v>
      </c>
      <c r="G7" s="10" t="s">
        <v>72</v>
      </c>
      <c r="H7" s="10" t="s">
        <v>73</v>
      </c>
      <c r="I7" s="10" t="s">
        <v>81</v>
      </c>
      <c r="J7" s="10">
        <v>194</v>
      </c>
      <c r="K7" s="12">
        <v>45679</v>
      </c>
      <c r="L7" s="33">
        <v>0.57395833333333335</v>
      </c>
      <c r="M7" s="10">
        <v>1</v>
      </c>
      <c r="N7" s="10" t="s">
        <v>82</v>
      </c>
      <c r="O7" s="10">
        <v>0.627</v>
      </c>
      <c r="P7" s="10">
        <v>5.7200000000000001E-2</v>
      </c>
      <c r="Q7" s="10">
        <v>150</v>
      </c>
      <c r="R7" s="10" t="s">
        <v>83</v>
      </c>
      <c r="S7" s="34">
        <v>150</v>
      </c>
      <c r="T7" s="10" t="s">
        <v>937</v>
      </c>
      <c r="U7" s="45">
        <v>45679</v>
      </c>
      <c r="V7">
        <f t="shared" si="1"/>
        <v>149.80961332999999</v>
      </c>
      <c r="W7" t="s">
        <v>941</v>
      </c>
      <c r="AF7" s="127">
        <v>45707</v>
      </c>
      <c r="AG7" s="128">
        <v>0.375</v>
      </c>
      <c r="AH7" s="31" t="s">
        <v>70</v>
      </c>
      <c r="AI7" s="31" t="s">
        <v>71</v>
      </c>
      <c r="AJ7" s="31" t="s">
        <v>919</v>
      </c>
      <c r="AK7" s="31">
        <v>1</v>
      </c>
      <c r="AL7" s="31" t="s">
        <v>72</v>
      </c>
      <c r="AM7" s="31" t="s">
        <v>73</v>
      </c>
      <c r="AN7" s="31" t="s">
        <v>81</v>
      </c>
      <c r="AO7" s="31">
        <v>194</v>
      </c>
      <c r="AP7" s="129">
        <v>45708</v>
      </c>
      <c r="AQ7" s="128">
        <v>0.61422453703703705</v>
      </c>
      <c r="AR7" s="31">
        <v>1</v>
      </c>
      <c r="AS7" s="31" t="s">
        <v>82</v>
      </c>
      <c r="AT7" s="31">
        <v>0.58899999999999997</v>
      </c>
      <c r="AU7" s="31">
        <v>5.2200000000000003E-2</v>
      </c>
      <c r="AV7" s="31">
        <v>150</v>
      </c>
      <c r="AW7" s="31" t="s">
        <v>83</v>
      </c>
      <c r="AX7" s="34">
        <v>150</v>
      </c>
      <c r="AY7" s="31" t="s">
        <v>988</v>
      </c>
      <c r="AZ7" s="130">
        <v>45708</v>
      </c>
      <c r="BA7" s="132">
        <f t="shared" ref="BA7" si="6">-80.479*AT7^2+333.64*AT7-13.123</f>
        <v>155.47110484099997</v>
      </c>
      <c r="BB7" s="132" t="s">
        <v>991</v>
      </c>
    </row>
    <row r="8" spans="1:54" x14ac:dyDescent="0.3">
      <c r="A8" s="127">
        <v>45680</v>
      </c>
      <c r="B8" s="128">
        <v>0.375</v>
      </c>
      <c r="C8" s="31" t="s">
        <v>70</v>
      </c>
      <c r="D8" s="31" t="s">
        <v>71</v>
      </c>
      <c r="E8" s="31" t="s">
        <v>914</v>
      </c>
      <c r="F8" s="31">
        <v>1</v>
      </c>
      <c r="G8" s="31" t="s">
        <v>72</v>
      </c>
      <c r="H8" s="31" t="s">
        <v>73</v>
      </c>
      <c r="I8" s="31" t="s">
        <v>81</v>
      </c>
      <c r="J8" s="31">
        <v>189</v>
      </c>
      <c r="K8" s="129">
        <v>45681</v>
      </c>
      <c r="L8" s="128">
        <v>0.45568287037037036</v>
      </c>
      <c r="M8" s="31">
        <v>1</v>
      </c>
      <c r="N8" s="31" t="s">
        <v>82</v>
      </c>
      <c r="O8" s="31">
        <v>2.4E-2</v>
      </c>
      <c r="P8" s="31">
        <v>2.4299999999999999E-3</v>
      </c>
      <c r="Q8" s="31">
        <v>0</v>
      </c>
      <c r="R8" s="31" t="s">
        <v>83</v>
      </c>
      <c r="S8" s="34">
        <v>0</v>
      </c>
      <c r="T8" s="31" t="s">
        <v>946</v>
      </c>
      <c r="U8" s="130">
        <v>45681</v>
      </c>
      <c r="V8" s="132">
        <f>-88.002*O8^2+299.37*O8-7.0891</f>
        <v>4.5090848000000072E-2</v>
      </c>
      <c r="W8" s="132" t="s">
        <v>950</v>
      </c>
    </row>
    <row r="9" spans="1:54" x14ac:dyDescent="0.3">
      <c r="A9" s="127">
        <v>45680</v>
      </c>
      <c r="B9" s="128">
        <v>0.375</v>
      </c>
      <c r="C9" s="31" t="s">
        <v>70</v>
      </c>
      <c r="D9" s="31" t="s">
        <v>71</v>
      </c>
      <c r="E9" s="31" t="s">
        <v>915</v>
      </c>
      <c r="F9" s="31">
        <v>1</v>
      </c>
      <c r="G9" s="31" t="s">
        <v>72</v>
      </c>
      <c r="H9" s="31" t="s">
        <v>73</v>
      </c>
      <c r="I9" s="31" t="s">
        <v>81</v>
      </c>
      <c r="J9" s="31">
        <v>190</v>
      </c>
      <c r="K9" s="129">
        <v>45681</v>
      </c>
      <c r="L9" s="128">
        <v>0.45626157407407408</v>
      </c>
      <c r="M9" s="31">
        <v>1</v>
      </c>
      <c r="N9" s="31" t="s">
        <v>82</v>
      </c>
      <c r="O9" s="31">
        <v>4.4999999999999998E-2</v>
      </c>
      <c r="P9" s="31">
        <v>3.3300000000000001E-3</v>
      </c>
      <c r="Q9" s="31">
        <v>5</v>
      </c>
      <c r="R9" s="31" t="s">
        <v>83</v>
      </c>
      <c r="S9" s="34">
        <v>5</v>
      </c>
      <c r="T9" s="31" t="s">
        <v>946</v>
      </c>
      <c r="U9" s="130">
        <v>45681</v>
      </c>
      <c r="V9" s="132">
        <f t="shared" ref="V9:V13" si="7">-88.002*O9^2+299.37*O9-7.0891</f>
        <v>6.2043459500000004</v>
      </c>
      <c r="W9" s="132" t="s">
        <v>950</v>
      </c>
    </row>
    <row r="10" spans="1:54" x14ac:dyDescent="0.3">
      <c r="A10" s="127">
        <v>45680</v>
      </c>
      <c r="B10" s="128">
        <v>0.375</v>
      </c>
      <c r="C10" s="31" t="s">
        <v>70</v>
      </c>
      <c r="D10" s="31" t="s">
        <v>71</v>
      </c>
      <c r="E10" s="31" t="s">
        <v>916</v>
      </c>
      <c r="F10" s="31">
        <v>1</v>
      </c>
      <c r="G10" s="31" t="s">
        <v>72</v>
      </c>
      <c r="H10" s="31" t="s">
        <v>73</v>
      </c>
      <c r="I10" s="31" t="s">
        <v>81</v>
      </c>
      <c r="J10" s="31">
        <v>191</v>
      </c>
      <c r="K10" s="129">
        <v>45681</v>
      </c>
      <c r="L10" s="128">
        <v>0.4568402777777778</v>
      </c>
      <c r="M10" s="31">
        <v>1</v>
      </c>
      <c r="N10" s="31" t="s">
        <v>82</v>
      </c>
      <c r="O10" s="31">
        <v>8.3299999999999999E-2</v>
      </c>
      <c r="P10" s="31">
        <v>5.4299999999999999E-3</v>
      </c>
      <c r="Q10" s="31">
        <v>15</v>
      </c>
      <c r="R10" s="31" t="s">
        <v>83</v>
      </c>
      <c r="S10" s="34">
        <v>15</v>
      </c>
      <c r="T10" s="31" t="s">
        <v>946</v>
      </c>
      <c r="U10" s="130">
        <v>45681</v>
      </c>
      <c r="V10" s="132">
        <f t="shared" si="7"/>
        <v>17.237784802219998</v>
      </c>
      <c r="W10" s="132" t="s">
        <v>950</v>
      </c>
    </row>
    <row r="11" spans="1:54" x14ac:dyDescent="0.3">
      <c r="A11" s="127">
        <v>45680</v>
      </c>
      <c r="B11" s="128">
        <v>0.375</v>
      </c>
      <c r="C11" s="31" t="s">
        <v>70</v>
      </c>
      <c r="D11" s="31" t="s">
        <v>71</v>
      </c>
      <c r="E11" s="31" t="s">
        <v>917</v>
      </c>
      <c r="F11" s="31">
        <v>1</v>
      </c>
      <c r="G11" s="31" t="s">
        <v>72</v>
      </c>
      <c r="H11" s="31" t="s">
        <v>73</v>
      </c>
      <c r="I11" s="31" t="s">
        <v>81</v>
      </c>
      <c r="J11" s="31">
        <v>192</v>
      </c>
      <c r="K11" s="129">
        <v>45681</v>
      </c>
      <c r="L11" s="128">
        <v>0.45741898148148147</v>
      </c>
      <c r="M11" s="31">
        <v>1</v>
      </c>
      <c r="N11" s="31" t="s">
        <v>82</v>
      </c>
      <c r="O11" s="31">
        <v>7.9899999999999999E-2</v>
      </c>
      <c r="P11" s="31">
        <v>5.2399999999999999E-3</v>
      </c>
      <c r="Q11" s="31">
        <v>20</v>
      </c>
      <c r="R11" s="31" t="s">
        <v>83</v>
      </c>
      <c r="S11" s="34">
        <v>20</v>
      </c>
      <c r="T11" s="31" t="s">
        <v>946</v>
      </c>
      <c r="U11" s="130">
        <v>45681</v>
      </c>
      <c r="V11" s="132">
        <f t="shared" si="7"/>
        <v>16.26875735198</v>
      </c>
      <c r="W11" s="132" t="s">
        <v>950</v>
      </c>
    </row>
    <row r="12" spans="1:54" x14ac:dyDescent="0.3">
      <c r="A12" s="127">
        <v>45680</v>
      </c>
      <c r="B12" s="128">
        <v>0.375</v>
      </c>
      <c r="C12" s="31" t="s">
        <v>70</v>
      </c>
      <c r="D12" s="31" t="s">
        <v>71</v>
      </c>
      <c r="E12" s="31" t="s">
        <v>918</v>
      </c>
      <c r="F12" s="31">
        <v>1</v>
      </c>
      <c r="G12" s="31" t="s">
        <v>72</v>
      </c>
      <c r="H12" s="31" t="s">
        <v>73</v>
      </c>
      <c r="I12" s="31" t="s">
        <v>81</v>
      </c>
      <c r="J12" s="31">
        <v>193</v>
      </c>
      <c r="K12" s="129">
        <v>45681</v>
      </c>
      <c r="L12" s="128">
        <v>0.45799768518518519</v>
      </c>
      <c r="M12" s="31">
        <v>1</v>
      </c>
      <c r="N12" s="31" t="s">
        <v>82</v>
      </c>
      <c r="O12" s="31">
        <v>0.30199999999999999</v>
      </c>
      <c r="P12" s="31">
        <v>2.6499999999999999E-2</v>
      </c>
      <c r="Q12" s="31">
        <v>75</v>
      </c>
      <c r="R12" s="31" t="s">
        <v>83</v>
      </c>
      <c r="S12" s="34">
        <v>75</v>
      </c>
      <c r="T12" s="31" t="s">
        <v>946</v>
      </c>
      <c r="U12" s="130">
        <v>45681</v>
      </c>
      <c r="V12" s="132">
        <f t="shared" si="7"/>
        <v>75.294505591999993</v>
      </c>
      <c r="W12" s="132" t="s">
        <v>950</v>
      </c>
    </row>
    <row r="13" spans="1:54" x14ac:dyDescent="0.3">
      <c r="A13" s="127">
        <v>45680</v>
      </c>
      <c r="B13" s="128">
        <v>0.375</v>
      </c>
      <c r="C13" s="31" t="s">
        <v>70</v>
      </c>
      <c r="D13" s="31" t="s">
        <v>71</v>
      </c>
      <c r="E13" s="31" t="s">
        <v>919</v>
      </c>
      <c r="F13" s="31">
        <v>1</v>
      </c>
      <c r="G13" s="31" t="s">
        <v>72</v>
      </c>
      <c r="H13" s="31" t="s">
        <v>73</v>
      </c>
      <c r="I13" s="31" t="s">
        <v>81</v>
      </c>
      <c r="J13" s="31">
        <v>194</v>
      </c>
      <c r="K13" s="129">
        <v>45681</v>
      </c>
      <c r="L13" s="128">
        <v>0.45858796296296295</v>
      </c>
      <c r="M13" s="31">
        <v>1</v>
      </c>
      <c r="N13" s="31" t="s">
        <v>82</v>
      </c>
      <c r="O13" s="31">
        <v>0.64800000000000002</v>
      </c>
      <c r="P13" s="31">
        <v>5.7700000000000001E-2</v>
      </c>
      <c r="Q13" s="31">
        <v>150</v>
      </c>
      <c r="R13" s="31" t="s">
        <v>83</v>
      </c>
      <c r="S13" s="34">
        <v>150</v>
      </c>
      <c r="T13" s="31" t="s">
        <v>946</v>
      </c>
      <c r="U13" s="130">
        <v>45681</v>
      </c>
      <c r="V13" s="132">
        <f t="shared" si="7"/>
        <v>149.95026819200001</v>
      </c>
      <c r="W13" s="132" t="s">
        <v>950</v>
      </c>
    </row>
    <row r="14" spans="1:54" x14ac:dyDescent="0.3">
      <c r="A14" s="32">
        <v>45685</v>
      </c>
      <c r="B14" s="33">
        <v>0.375</v>
      </c>
      <c r="C14" s="10" t="s">
        <v>70</v>
      </c>
      <c r="D14" s="10" t="s">
        <v>71</v>
      </c>
      <c r="E14" s="10" t="s">
        <v>914</v>
      </c>
      <c r="F14" s="10">
        <v>1</v>
      </c>
      <c r="G14" s="10" t="s">
        <v>72</v>
      </c>
      <c r="H14" s="10" t="s">
        <v>73</v>
      </c>
      <c r="I14" s="10" t="s">
        <v>81</v>
      </c>
      <c r="J14" s="10">
        <v>189</v>
      </c>
      <c r="K14" s="12">
        <v>45686</v>
      </c>
      <c r="L14" s="33">
        <v>0.62340277777777775</v>
      </c>
      <c r="M14" s="10">
        <v>1</v>
      </c>
      <c r="N14" s="10" t="s">
        <v>82</v>
      </c>
      <c r="O14" s="10">
        <v>2.23E-2</v>
      </c>
      <c r="P14" s="10">
        <v>2.5999999999999999E-3</v>
      </c>
      <c r="Q14" s="10">
        <v>0</v>
      </c>
      <c r="R14" s="10" t="s">
        <v>83</v>
      </c>
      <c r="S14" s="123">
        <v>0</v>
      </c>
      <c r="T14" s="10" t="s">
        <v>961</v>
      </c>
      <c r="U14" s="45">
        <v>45686</v>
      </c>
      <c r="V14" s="124">
        <f>-208.66*O14^2+412.32*O14-8.2985</f>
        <v>0.79247146860000051</v>
      </c>
      <c r="W14" s="124" t="s">
        <v>966</v>
      </c>
    </row>
    <row r="15" spans="1:54" x14ac:dyDescent="0.3">
      <c r="A15" s="32">
        <v>45685</v>
      </c>
      <c r="B15" s="33">
        <v>0.375</v>
      </c>
      <c r="C15" s="10" t="s">
        <v>70</v>
      </c>
      <c r="D15" s="10" t="s">
        <v>71</v>
      </c>
      <c r="E15" s="10" t="s">
        <v>915</v>
      </c>
      <c r="F15" s="10">
        <v>1</v>
      </c>
      <c r="G15" s="10" t="s">
        <v>72</v>
      </c>
      <c r="H15" s="10" t="s">
        <v>73</v>
      </c>
      <c r="I15" s="10" t="s">
        <v>81</v>
      </c>
      <c r="J15" s="10">
        <v>190</v>
      </c>
      <c r="K15" s="12">
        <v>45686</v>
      </c>
      <c r="L15" s="33">
        <v>0.62398148148148147</v>
      </c>
      <c r="M15" s="10">
        <v>1</v>
      </c>
      <c r="N15" s="10" t="s">
        <v>82</v>
      </c>
      <c r="O15" s="10">
        <v>3.7900000000000003E-2</v>
      </c>
      <c r="P15" s="10">
        <v>2.99E-3</v>
      </c>
      <c r="Q15" s="10">
        <v>5</v>
      </c>
      <c r="R15" s="10" t="s">
        <v>83</v>
      </c>
      <c r="S15" s="123">
        <v>5</v>
      </c>
      <c r="T15" s="10" t="s">
        <v>961</v>
      </c>
      <c r="U15" s="45">
        <v>45686</v>
      </c>
      <c r="V15" s="124">
        <f t="shared" ref="V15:V19" si="8">-208.66*O15^2+412.32*O15-8.2985</f>
        <v>7.0287066893999999</v>
      </c>
      <c r="W15" s="124" t="s">
        <v>966</v>
      </c>
    </row>
    <row r="16" spans="1:54" x14ac:dyDescent="0.3">
      <c r="A16" s="32">
        <v>45685</v>
      </c>
      <c r="B16" s="33">
        <v>0.375</v>
      </c>
      <c r="C16" s="10" t="s">
        <v>70</v>
      </c>
      <c r="D16" s="10" t="s">
        <v>71</v>
      </c>
      <c r="E16" s="10" t="s">
        <v>916</v>
      </c>
      <c r="F16" s="10">
        <v>1</v>
      </c>
      <c r="G16" s="10" t="s">
        <v>72</v>
      </c>
      <c r="H16" s="10" t="s">
        <v>73</v>
      </c>
      <c r="I16" s="10" t="s">
        <v>81</v>
      </c>
      <c r="J16" s="10">
        <v>191</v>
      </c>
      <c r="K16" s="12">
        <v>45686</v>
      </c>
      <c r="L16" s="33">
        <v>0.62457175925925923</v>
      </c>
      <c r="M16" s="10">
        <v>1</v>
      </c>
      <c r="N16" s="10" t="s">
        <v>82</v>
      </c>
      <c r="O16" s="10">
        <v>5.62E-2</v>
      </c>
      <c r="P16" s="10">
        <v>4.5999999999999999E-3</v>
      </c>
      <c r="Q16" s="10">
        <v>15</v>
      </c>
      <c r="R16" s="10" t="s">
        <v>83</v>
      </c>
      <c r="S16" s="123">
        <v>15</v>
      </c>
      <c r="T16" s="10" t="s">
        <v>961</v>
      </c>
      <c r="U16" s="45">
        <v>45686</v>
      </c>
      <c r="V16" s="124">
        <f t="shared" si="8"/>
        <v>14.214843909599999</v>
      </c>
      <c r="W16" s="124" t="s">
        <v>966</v>
      </c>
    </row>
    <row r="17" spans="1:23" x14ac:dyDescent="0.3">
      <c r="A17" s="32">
        <v>45685</v>
      </c>
      <c r="B17" s="33">
        <v>0.375</v>
      </c>
      <c r="C17" s="10" t="s">
        <v>70</v>
      </c>
      <c r="D17" s="10" t="s">
        <v>71</v>
      </c>
      <c r="E17" s="10" t="s">
        <v>917</v>
      </c>
      <c r="F17" s="10">
        <v>1</v>
      </c>
      <c r="G17" s="10" t="s">
        <v>72</v>
      </c>
      <c r="H17" s="10" t="s">
        <v>73</v>
      </c>
      <c r="I17" s="10" t="s">
        <v>81</v>
      </c>
      <c r="J17" s="10">
        <v>192</v>
      </c>
      <c r="K17" s="12">
        <v>45686</v>
      </c>
      <c r="L17" s="33">
        <v>0.62515046296296295</v>
      </c>
      <c r="M17" s="10">
        <v>1</v>
      </c>
      <c r="N17" s="10" t="s">
        <v>82</v>
      </c>
      <c r="O17" s="10">
        <v>6.4100000000000004E-2</v>
      </c>
      <c r="P17" s="10">
        <v>5.5199999999999997E-3</v>
      </c>
      <c r="Q17" s="10">
        <v>20</v>
      </c>
      <c r="R17" s="10" t="s">
        <v>83</v>
      </c>
      <c r="S17" s="123">
        <v>20</v>
      </c>
      <c r="T17" s="10" t="s">
        <v>961</v>
      </c>
      <c r="U17" s="45">
        <v>45686</v>
      </c>
      <c r="V17" s="124">
        <f t="shared" si="8"/>
        <v>17.273867705400001</v>
      </c>
      <c r="W17" s="124" t="s">
        <v>966</v>
      </c>
    </row>
    <row r="18" spans="1:23" x14ac:dyDescent="0.3">
      <c r="A18" s="32">
        <v>45685</v>
      </c>
      <c r="B18" s="33">
        <v>0.375</v>
      </c>
      <c r="C18" s="10" t="s">
        <v>70</v>
      </c>
      <c r="D18" s="10" t="s">
        <v>71</v>
      </c>
      <c r="E18" s="10" t="s">
        <v>918</v>
      </c>
      <c r="F18" s="10">
        <v>1</v>
      </c>
      <c r="G18" s="10" t="s">
        <v>72</v>
      </c>
      <c r="H18" s="10" t="s">
        <v>73</v>
      </c>
      <c r="I18" s="10" t="s">
        <v>81</v>
      </c>
      <c r="J18" s="10">
        <v>193</v>
      </c>
      <c r="K18" s="12">
        <v>45686</v>
      </c>
      <c r="L18" s="33">
        <v>0.62572916666666667</v>
      </c>
      <c r="M18" s="10">
        <v>1</v>
      </c>
      <c r="N18" s="10" t="s">
        <v>82</v>
      </c>
      <c r="O18" s="10">
        <v>0.23100000000000001</v>
      </c>
      <c r="P18" s="10">
        <v>2.58E-2</v>
      </c>
      <c r="Q18" s="10">
        <v>75</v>
      </c>
      <c r="R18" s="10" t="s">
        <v>83</v>
      </c>
      <c r="S18" s="123">
        <v>75</v>
      </c>
      <c r="T18" s="10" t="s">
        <v>961</v>
      </c>
      <c r="U18" s="45">
        <v>45686</v>
      </c>
      <c r="V18" s="124">
        <f t="shared" si="8"/>
        <v>75.813113739999991</v>
      </c>
      <c r="W18" s="124" t="s">
        <v>966</v>
      </c>
    </row>
    <row r="19" spans="1:23" x14ac:dyDescent="0.3">
      <c r="A19" s="32">
        <v>45685</v>
      </c>
      <c r="B19" s="33">
        <v>0.375</v>
      </c>
      <c r="C19" s="10" t="s">
        <v>70</v>
      </c>
      <c r="D19" s="10" t="s">
        <v>71</v>
      </c>
      <c r="E19" s="10" t="s">
        <v>919</v>
      </c>
      <c r="F19" s="10">
        <v>1</v>
      </c>
      <c r="G19" s="10" t="s">
        <v>72</v>
      </c>
      <c r="H19" s="10" t="s">
        <v>73</v>
      </c>
      <c r="I19" s="10" t="s">
        <v>81</v>
      </c>
      <c r="J19" s="10">
        <v>194</v>
      </c>
      <c r="K19" s="12">
        <v>45686</v>
      </c>
      <c r="L19" s="33">
        <v>0.62630787037037039</v>
      </c>
      <c r="M19" s="10">
        <v>1</v>
      </c>
      <c r="N19" s="10" t="s">
        <v>82</v>
      </c>
      <c r="O19" s="10">
        <v>0.52100000000000002</v>
      </c>
      <c r="P19" s="10">
        <v>5.7299999999999997E-2</v>
      </c>
      <c r="Q19" s="10">
        <v>150</v>
      </c>
      <c r="R19" s="10" t="s">
        <v>83</v>
      </c>
      <c r="S19" s="123">
        <v>150</v>
      </c>
      <c r="T19" s="10" t="s">
        <v>961</v>
      </c>
      <c r="U19" s="45">
        <v>45686</v>
      </c>
      <c r="V19" s="124">
        <f t="shared" si="8"/>
        <v>149.88134094000003</v>
      </c>
      <c r="W19" s="124" t="s">
        <v>966</v>
      </c>
    </row>
    <row r="20" spans="1:23" x14ac:dyDescent="0.3">
      <c r="A20" s="127">
        <v>45692</v>
      </c>
      <c r="B20" s="128">
        <v>0.375</v>
      </c>
      <c r="C20" s="31" t="s">
        <v>70</v>
      </c>
      <c r="D20" s="31" t="s">
        <v>71</v>
      </c>
      <c r="E20" s="31" t="s">
        <v>914</v>
      </c>
      <c r="F20" s="31">
        <v>1</v>
      </c>
      <c r="G20" s="31" t="s">
        <v>72</v>
      </c>
      <c r="H20" s="31" t="s">
        <v>73</v>
      </c>
      <c r="I20" s="31" t="s">
        <v>81</v>
      </c>
      <c r="J20" s="31">
        <v>189</v>
      </c>
      <c r="K20" s="129">
        <v>45692</v>
      </c>
      <c r="L20" s="128">
        <v>0.63512731481481477</v>
      </c>
      <c r="M20" s="31">
        <v>1</v>
      </c>
      <c r="N20" s="31" t="s">
        <v>82</v>
      </c>
      <c r="O20" s="31">
        <v>2.87E-2</v>
      </c>
      <c r="P20" s="31">
        <v>2.7299999999999998E-3</v>
      </c>
      <c r="Q20" s="31">
        <v>0</v>
      </c>
      <c r="R20" s="31" t="s">
        <v>83</v>
      </c>
      <c r="S20" s="34">
        <v>0</v>
      </c>
      <c r="T20" s="31" t="s">
        <v>972</v>
      </c>
      <c r="U20" s="130">
        <v>45692</v>
      </c>
      <c r="V20" s="132">
        <f>-89.549*O20^2+313.97*O20-7.9418</f>
        <v>0.99537838419000035</v>
      </c>
      <c r="W20" s="132" t="s">
        <v>976</v>
      </c>
    </row>
    <row r="21" spans="1:23" x14ac:dyDescent="0.3">
      <c r="A21" s="127">
        <v>45692</v>
      </c>
      <c r="B21" s="128">
        <v>0.375</v>
      </c>
      <c r="C21" s="31" t="s">
        <v>70</v>
      </c>
      <c r="D21" s="31" t="s">
        <v>71</v>
      </c>
      <c r="E21" s="31" t="s">
        <v>915</v>
      </c>
      <c r="F21" s="31">
        <v>1</v>
      </c>
      <c r="G21" s="31" t="s">
        <v>72</v>
      </c>
      <c r="H21" s="31" t="s">
        <v>73</v>
      </c>
      <c r="I21" s="31" t="s">
        <v>81</v>
      </c>
      <c r="J21" s="31">
        <v>190</v>
      </c>
      <c r="K21" s="129">
        <v>45692</v>
      </c>
      <c r="L21" s="128">
        <v>0.63571759259259253</v>
      </c>
      <c r="M21" s="31">
        <v>1</v>
      </c>
      <c r="N21" s="31" t="s">
        <v>82</v>
      </c>
      <c r="O21" s="31">
        <v>4.6899999999999997E-2</v>
      </c>
      <c r="P21" s="31">
        <v>5.2199999999999998E-3</v>
      </c>
      <c r="Q21" s="31">
        <v>5</v>
      </c>
      <c r="R21" s="31" t="s">
        <v>83</v>
      </c>
      <c r="S21" s="34">
        <v>5</v>
      </c>
      <c r="T21" s="31" t="s">
        <v>972</v>
      </c>
      <c r="U21" s="130">
        <v>45692</v>
      </c>
      <c r="V21" s="132">
        <f t="shared" ref="V21:V25" si="9">-89.549*O21^2+313.97*O21-7.9418</f>
        <v>6.5864201241100018</v>
      </c>
      <c r="W21" s="132" t="s">
        <v>976</v>
      </c>
    </row>
    <row r="22" spans="1:23" x14ac:dyDescent="0.3">
      <c r="A22" s="127">
        <v>45692</v>
      </c>
      <c r="B22" s="128">
        <v>0.375</v>
      </c>
      <c r="C22" s="31" t="s">
        <v>70</v>
      </c>
      <c r="D22" s="31" t="s">
        <v>71</v>
      </c>
      <c r="E22" s="31" t="s">
        <v>916</v>
      </c>
      <c r="F22" s="31">
        <v>1</v>
      </c>
      <c r="G22" s="31" t="s">
        <v>72</v>
      </c>
      <c r="H22" s="31" t="s">
        <v>73</v>
      </c>
      <c r="I22" s="31" t="s">
        <v>81</v>
      </c>
      <c r="J22" s="31">
        <v>191</v>
      </c>
      <c r="K22" s="129">
        <v>45692</v>
      </c>
      <c r="L22" s="128">
        <v>0.63629629629629625</v>
      </c>
      <c r="M22" s="31">
        <v>1</v>
      </c>
      <c r="N22" s="31" t="s">
        <v>82</v>
      </c>
      <c r="O22" s="31">
        <v>6.9900000000000004E-2</v>
      </c>
      <c r="P22" s="31">
        <v>4.2700000000000004E-3</v>
      </c>
      <c r="Q22" s="31">
        <v>15</v>
      </c>
      <c r="R22" s="31" t="s">
        <v>83</v>
      </c>
      <c r="S22" s="34">
        <v>15</v>
      </c>
      <c r="T22" s="31" t="s">
        <v>972</v>
      </c>
      <c r="U22" s="130">
        <v>45692</v>
      </c>
      <c r="V22" s="132">
        <f t="shared" si="9"/>
        <v>13.567165690510002</v>
      </c>
      <c r="W22" s="132" t="s">
        <v>976</v>
      </c>
    </row>
    <row r="23" spans="1:23" x14ac:dyDescent="0.3">
      <c r="A23" s="127">
        <v>45692</v>
      </c>
      <c r="B23" s="128">
        <v>0.375</v>
      </c>
      <c r="C23" s="31" t="s">
        <v>70</v>
      </c>
      <c r="D23" s="31" t="s">
        <v>71</v>
      </c>
      <c r="E23" s="31" t="s">
        <v>917</v>
      </c>
      <c r="F23" s="31">
        <v>1</v>
      </c>
      <c r="G23" s="31" t="s">
        <v>72</v>
      </c>
      <c r="H23" s="31" t="s">
        <v>73</v>
      </c>
      <c r="I23" s="31" t="s">
        <v>81</v>
      </c>
      <c r="J23" s="31">
        <v>192</v>
      </c>
      <c r="K23" s="129">
        <v>45692</v>
      </c>
      <c r="L23" s="128">
        <v>0.63687499999999997</v>
      </c>
      <c r="M23" s="31">
        <v>1</v>
      </c>
      <c r="N23" s="31" t="s">
        <v>82</v>
      </c>
      <c r="O23" s="31">
        <v>8.5199999999999998E-2</v>
      </c>
      <c r="P23" s="31">
        <v>5.6899999999999997E-3</v>
      </c>
      <c r="Q23" s="31">
        <v>20</v>
      </c>
      <c r="R23" s="31" t="s">
        <v>83</v>
      </c>
      <c r="S23" s="34">
        <v>20</v>
      </c>
      <c r="T23" s="31" t="s">
        <v>972</v>
      </c>
      <c r="U23" s="130">
        <v>45692</v>
      </c>
      <c r="V23" s="132">
        <f t="shared" si="9"/>
        <v>18.158404227040002</v>
      </c>
      <c r="W23" s="132" t="s">
        <v>976</v>
      </c>
    </row>
    <row r="24" spans="1:23" x14ac:dyDescent="0.3">
      <c r="A24" s="127">
        <v>45692</v>
      </c>
      <c r="B24" s="128">
        <v>0.375</v>
      </c>
      <c r="C24" s="31" t="s">
        <v>70</v>
      </c>
      <c r="D24" s="31" t="s">
        <v>71</v>
      </c>
      <c r="E24" s="31" t="s">
        <v>918</v>
      </c>
      <c r="F24" s="31">
        <v>1</v>
      </c>
      <c r="G24" s="31" t="s">
        <v>72</v>
      </c>
      <c r="H24" s="31" t="s">
        <v>73</v>
      </c>
      <c r="I24" s="31" t="s">
        <v>81</v>
      </c>
      <c r="J24" s="31">
        <v>193</v>
      </c>
      <c r="K24" s="129">
        <v>45692</v>
      </c>
      <c r="L24" s="128">
        <v>0.63746527777777773</v>
      </c>
      <c r="M24" s="31">
        <v>1</v>
      </c>
      <c r="N24" s="31" t="s">
        <v>82</v>
      </c>
      <c r="O24" s="31">
        <v>0.29099999999999998</v>
      </c>
      <c r="P24" s="31">
        <v>2.64E-2</v>
      </c>
      <c r="Q24" s="31">
        <v>75</v>
      </c>
      <c r="R24" s="31" t="s">
        <v>83</v>
      </c>
      <c r="S24" s="34">
        <v>75</v>
      </c>
      <c r="T24" s="31" t="s">
        <v>972</v>
      </c>
      <c r="U24" s="130">
        <v>45692</v>
      </c>
      <c r="V24" s="132">
        <f t="shared" si="9"/>
        <v>75.840371130999998</v>
      </c>
      <c r="W24" s="132" t="s">
        <v>976</v>
      </c>
    </row>
    <row r="25" spans="1:23" x14ac:dyDescent="0.3">
      <c r="A25" s="127">
        <v>45692</v>
      </c>
      <c r="B25" s="128">
        <v>0.375</v>
      </c>
      <c r="C25" s="31" t="s">
        <v>70</v>
      </c>
      <c r="D25" s="31" t="s">
        <v>71</v>
      </c>
      <c r="E25" s="31" t="s">
        <v>919</v>
      </c>
      <c r="F25" s="31">
        <v>1</v>
      </c>
      <c r="G25" s="31" t="s">
        <v>72</v>
      </c>
      <c r="H25" s="31" t="s">
        <v>73</v>
      </c>
      <c r="I25" s="31" t="s">
        <v>81</v>
      </c>
      <c r="J25" s="31">
        <v>194</v>
      </c>
      <c r="K25" s="129">
        <v>45692</v>
      </c>
      <c r="L25" s="128">
        <v>0.63804398148148145</v>
      </c>
      <c r="M25" s="31">
        <v>1</v>
      </c>
      <c r="N25" s="31" t="s">
        <v>82</v>
      </c>
      <c r="O25" s="31">
        <v>0.60799999999999998</v>
      </c>
      <c r="P25" s="31">
        <v>5.6300000000000003E-2</v>
      </c>
      <c r="Q25" s="31">
        <v>150</v>
      </c>
      <c r="R25" s="31" t="s">
        <v>83</v>
      </c>
      <c r="S25" s="34">
        <v>150</v>
      </c>
      <c r="T25" s="31" t="s">
        <v>972</v>
      </c>
      <c r="U25" s="130">
        <v>45692</v>
      </c>
      <c r="V25" s="132">
        <f t="shared" si="9"/>
        <v>149.84891846400001</v>
      </c>
      <c r="W25" s="132" t="s">
        <v>976</v>
      </c>
    </row>
    <row r="26" spans="1:23" x14ac:dyDescent="0.3">
      <c r="A26" s="32">
        <v>45699</v>
      </c>
      <c r="B26" s="33">
        <v>0.375</v>
      </c>
      <c r="C26" s="10" t="s">
        <v>70</v>
      </c>
      <c r="D26" s="10" t="s">
        <v>71</v>
      </c>
      <c r="E26" s="10" t="s">
        <v>914</v>
      </c>
      <c r="F26" s="10">
        <v>1</v>
      </c>
      <c r="G26" s="10" t="s">
        <v>72</v>
      </c>
      <c r="H26" s="10" t="s">
        <v>73</v>
      </c>
      <c r="I26" s="10" t="s">
        <v>81</v>
      </c>
      <c r="J26" s="10">
        <v>189</v>
      </c>
      <c r="K26" s="12">
        <v>45699</v>
      </c>
      <c r="L26" s="33">
        <v>0.67869212962962966</v>
      </c>
      <c r="M26" s="10">
        <v>1</v>
      </c>
      <c r="N26" s="10" t="s">
        <v>82</v>
      </c>
      <c r="O26" s="10">
        <v>4.9599999999999998E-2</v>
      </c>
      <c r="P26" s="10">
        <v>3.0300000000000001E-3</v>
      </c>
      <c r="Q26" s="10">
        <v>0</v>
      </c>
      <c r="R26" s="10" t="s">
        <v>83</v>
      </c>
      <c r="S26" s="123">
        <v>0</v>
      </c>
      <c r="T26" s="10" t="s">
        <v>980</v>
      </c>
      <c r="U26" s="45">
        <v>45699</v>
      </c>
      <c r="V26" s="124">
        <f>-90.394*O26^2+333.64*O26-13.123</f>
        <v>3.2031602969600019</v>
      </c>
      <c r="W26" s="124" t="s">
        <v>984</v>
      </c>
    </row>
    <row r="27" spans="1:23" x14ac:dyDescent="0.3">
      <c r="A27" s="32">
        <v>45699</v>
      </c>
      <c r="B27" s="33">
        <v>0.375</v>
      </c>
      <c r="C27" s="10" t="s">
        <v>70</v>
      </c>
      <c r="D27" s="10" t="s">
        <v>71</v>
      </c>
      <c r="E27" s="10" t="s">
        <v>915</v>
      </c>
      <c r="F27" s="10">
        <v>1</v>
      </c>
      <c r="G27" s="10" t="s">
        <v>72</v>
      </c>
      <c r="H27" s="10" t="s">
        <v>73</v>
      </c>
      <c r="I27" s="10" t="s">
        <v>81</v>
      </c>
      <c r="J27" s="10">
        <v>190</v>
      </c>
      <c r="K27" s="12">
        <v>45699</v>
      </c>
      <c r="L27" s="33">
        <v>0.68449074074074068</v>
      </c>
      <c r="M27" s="10">
        <v>1</v>
      </c>
      <c r="N27" s="10" t="s">
        <v>82</v>
      </c>
      <c r="O27" s="10">
        <v>7.0099999999999996E-2</v>
      </c>
      <c r="P27" s="10">
        <v>4.0200000000000001E-3</v>
      </c>
      <c r="Q27" s="10">
        <v>5</v>
      </c>
      <c r="R27" s="10" t="s">
        <v>83</v>
      </c>
      <c r="S27" s="123">
        <v>5</v>
      </c>
      <c r="T27" s="10" t="s">
        <v>980</v>
      </c>
      <c r="U27" s="45">
        <v>45699</v>
      </c>
      <c r="V27" s="124">
        <f t="shared" ref="V27:V31" si="10">-90.394*O27^2+333.64*O27-13.123</f>
        <v>9.8209669800599979</v>
      </c>
      <c r="W27" s="124" t="s">
        <v>984</v>
      </c>
    </row>
    <row r="28" spans="1:23" x14ac:dyDescent="0.3">
      <c r="A28" s="32">
        <v>45699</v>
      </c>
      <c r="B28" s="33">
        <v>0.375</v>
      </c>
      <c r="C28" s="10" t="s">
        <v>70</v>
      </c>
      <c r="D28" s="10" t="s">
        <v>71</v>
      </c>
      <c r="E28" s="10" t="s">
        <v>916</v>
      </c>
      <c r="F28" s="10">
        <v>1</v>
      </c>
      <c r="G28" s="10" t="s">
        <v>72</v>
      </c>
      <c r="H28" s="10" t="s">
        <v>73</v>
      </c>
      <c r="I28" s="10" t="s">
        <v>81</v>
      </c>
      <c r="J28" s="10">
        <v>191</v>
      </c>
      <c r="K28" s="12">
        <v>45699</v>
      </c>
      <c r="L28" s="33">
        <v>0.67986111111111114</v>
      </c>
      <c r="M28" s="10">
        <v>1</v>
      </c>
      <c r="N28" s="10" t="s">
        <v>82</v>
      </c>
      <c r="O28" s="10">
        <v>7.4999999999999997E-2</v>
      </c>
      <c r="P28" s="10">
        <v>6.1599999999999997E-3</v>
      </c>
      <c r="Q28" s="10">
        <v>15</v>
      </c>
      <c r="R28" s="10" t="s">
        <v>83</v>
      </c>
      <c r="S28" s="123">
        <v>15</v>
      </c>
      <c r="T28" s="10" t="s">
        <v>980</v>
      </c>
      <c r="U28" s="45">
        <v>45699</v>
      </c>
      <c r="V28" s="124">
        <f t="shared" si="10"/>
        <v>11.391533749999999</v>
      </c>
      <c r="W28" s="124" t="s">
        <v>984</v>
      </c>
    </row>
    <row r="29" spans="1:23" x14ac:dyDescent="0.3">
      <c r="A29" s="32">
        <v>45699</v>
      </c>
      <c r="B29" s="33">
        <v>0.375</v>
      </c>
      <c r="C29" s="10" t="s">
        <v>70</v>
      </c>
      <c r="D29" s="10" t="s">
        <v>71</v>
      </c>
      <c r="E29" s="10" t="s">
        <v>917</v>
      </c>
      <c r="F29" s="10">
        <v>1</v>
      </c>
      <c r="G29" s="10" t="s">
        <v>72</v>
      </c>
      <c r="H29" s="10" t="s">
        <v>73</v>
      </c>
      <c r="I29" s="10" t="s">
        <v>81</v>
      </c>
      <c r="J29" s="10">
        <v>192</v>
      </c>
      <c r="K29" s="12">
        <v>45699</v>
      </c>
      <c r="L29" s="33">
        <v>0.68043981481481486</v>
      </c>
      <c r="M29" s="10">
        <v>1</v>
      </c>
      <c r="N29" s="10" t="s">
        <v>82</v>
      </c>
      <c r="O29" s="10">
        <v>8.48E-2</v>
      </c>
      <c r="P29" s="10">
        <v>6.5399999999999998E-3</v>
      </c>
      <c r="Q29" s="10">
        <v>20</v>
      </c>
      <c r="R29" s="10" t="s">
        <v>83</v>
      </c>
      <c r="S29" s="123">
        <v>20</v>
      </c>
      <c r="T29" s="10" t="s">
        <v>980</v>
      </c>
      <c r="U29" s="45">
        <v>45699</v>
      </c>
      <c r="V29" s="124">
        <f t="shared" si="10"/>
        <v>14.519645130239999</v>
      </c>
      <c r="W29" s="124" t="s">
        <v>984</v>
      </c>
    </row>
    <row r="30" spans="1:23" x14ac:dyDescent="0.3">
      <c r="A30" s="32">
        <v>45699</v>
      </c>
      <c r="B30" s="33">
        <v>0.375</v>
      </c>
      <c r="C30" s="10" t="s">
        <v>70</v>
      </c>
      <c r="D30" s="10" t="s">
        <v>71</v>
      </c>
      <c r="E30" s="10" t="s">
        <v>918</v>
      </c>
      <c r="F30" s="10">
        <v>1</v>
      </c>
      <c r="G30" s="10" t="s">
        <v>72</v>
      </c>
      <c r="H30" s="10" t="s">
        <v>73</v>
      </c>
      <c r="I30" s="10" t="s">
        <v>81</v>
      </c>
      <c r="J30" s="10">
        <v>193</v>
      </c>
      <c r="K30" s="12">
        <v>45699</v>
      </c>
      <c r="L30" s="33">
        <v>0.68101851851851858</v>
      </c>
      <c r="M30" s="10">
        <v>1</v>
      </c>
      <c r="N30" s="10" t="s">
        <v>82</v>
      </c>
      <c r="O30" s="10">
        <v>0.29099999999999998</v>
      </c>
      <c r="P30" s="10">
        <v>2.87E-2</v>
      </c>
      <c r="Q30" s="10">
        <v>75</v>
      </c>
      <c r="R30" s="10" t="s">
        <v>83</v>
      </c>
      <c r="S30" s="123">
        <v>75</v>
      </c>
      <c r="T30" s="10" t="s">
        <v>980</v>
      </c>
      <c r="U30" s="45">
        <v>45699</v>
      </c>
      <c r="V30" s="124">
        <f t="shared" si="10"/>
        <v>76.311585685999987</v>
      </c>
      <c r="W30" s="124" t="s">
        <v>984</v>
      </c>
    </row>
    <row r="31" spans="1:23" x14ac:dyDescent="0.3">
      <c r="A31" s="32">
        <v>45699</v>
      </c>
      <c r="B31" s="33">
        <v>0.375</v>
      </c>
      <c r="C31" s="10" t="s">
        <v>70</v>
      </c>
      <c r="D31" s="10" t="s">
        <v>71</v>
      </c>
      <c r="E31" s="10" t="s">
        <v>919</v>
      </c>
      <c r="F31" s="10">
        <v>1</v>
      </c>
      <c r="G31" s="10" t="s">
        <v>72</v>
      </c>
      <c r="H31" s="10" t="s">
        <v>73</v>
      </c>
      <c r="I31" s="10" t="s">
        <v>81</v>
      </c>
      <c r="J31" s="10">
        <v>194</v>
      </c>
      <c r="K31" s="12">
        <v>45699</v>
      </c>
      <c r="L31" s="33">
        <v>0.6815972222222223</v>
      </c>
      <c r="M31" s="10">
        <v>1</v>
      </c>
      <c r="N31" s="10" t="s">
        <v>82</v>
      </c>
      <c r="O31" s="10">
        <v>0.57899999999999996</v>
      </c>
      <c r="P31" s="10">
        <v>6.1499999999999999E-2</v>
      </c>
      <c r="Q31" s="10">
        <v>150</v>
      </c>
      <c r="R31" s="10" t="s">
        <v>83</v>
      </c>
      <c r="S31" s="123">
        <v>150</v>
      </c>
      <c r="T31" s="10" t="s">
        <v>980</v>
      </c>
      <c r="U31" s="45">
        <v>45699</v>
      </c>
      <c r="V31" s="124">
        <f t="shared" si="10"/>
        <v>149.75078504599998</v>
      </c>
      <c r="W31" s="124" t="s">
        <v>984</v>
      </c>
    </row>
    <row r="32" spans="1:23" x14ac:dyDescent="0.3">
      <c r="A32" s="127">
        <v>45707</v>
      </c>
      <c r="B32" s="128">
        <v>0.375</v>
      </c>
      <c r="C32" s="31" t="s">
        <v>70</v>
      </c>
      <c r="D32" s="31" t="s">
        <v>71</v>
      </c>
      <c r="E32" s="31" t="s">
        <v>914</v>
      </c>
      <c r="F32" s="31">
        <v>1</v>
      </c>
      <c r="G32" s="31" t="s">
        <v>72</v>
      </c>
      <c r="H32" s="31" t="s">
        <v>73</v>
      </c>
      <c r="I32" s="31" t="s">
        <v>81</v>
      </c>
      <c r="J32" s="31">
        <v>189</v>
      </c>
      <c r="K32" s="129">
        <v>45708</v>
      </c>
      <c r="L32" s="128">
        <v>0.61653935185185182</v>
      </c>
      <c r="M32" s="31">
        <v>1</v>
      </c>
      <c r="N32" s="31" t="s">
        <v>82</v>
      </c>
      <c r="O32" s="31">
        <v>3.0599999999999999E-2</v>
      </c>
      <c r="P32" s="31">
        <v>2.4199999999999998E-3</v>
      </c>
      <c r="Q32" s="31">
        <v>0</v>
      </c>
      <c r="R32" s="31" t="s">
        <v>83</v>
      </c>
      <c r="S32" s="34">
        <v>0</v>
      </c>
      <c r="T32" s="31" t="s">
        <v>988</v>
      </c>
      <c r="U32" s="130">
        <v>45708</v>
      </c>
      <c r="V32" s="132">
        <f>-80.479*O32^2+333.64*O32-13.123</f>
        <v>-2.9889733164399992</v>
      </c>
      <c r="W32" s="132" t="s">
        <v>991</v>
      </c>
    </row>
    <row r="33" spans="1:23" x14ac:dyDescent="0.3">
      <c r="A33" s="127">
        <v>45707</v>
      </c>
      <c r="B33" s="128">
        <v>0.375</v>
      </c>
      <c r="C33" s="31" t="s">
        <v>70</v>
      </c>
      <c r="D33" s="31" t="s">
        <v>71</v>
      </c>
      <c r="E33" s="31" t="s">
        <v>915</v>
      </c>
      <c r="F33" s="31">
        <v>1</v>
      </c>
      <c r="G33" s="31" t="s">
        <v>72</v>
      </c>
      <c r="H33" s="31" t="s">
        <v>73</v>
      </c>
      <c r="I33" s="31" t="s">
        <v>81</v>
      </c>
      <c r="J33" s="31">
        <v>190</v>
      </c>
      <c r="K33" s="129">
        <v>45708</v>
      </c>
      <c r="L33" s="128">
        <v>0.61190972222222217</v>
      </c>
      <c r="M33" s="31">
        <v>1</v>
      </c>
      <c r="N33" s="31" t="s">
        <v>82</v>
      </c>
      <c r="O33" s="31">
        <v>3.2899999999999999E-2</v>
      </c>
      <c r="P33" s="31">
        <v>2.4499999999999999E-3</v>
      </c>
      <c r="Q33" s="31">
        <v>5</v>
      </c>
      <c r="R33" s="31" t="s">
        <v>83</v>
      </c>
      <c r="S33" s="34">
        <v>5</v>
      </c>
      <c r="T33" s="31" t="s">
        <v>988</v>
      </c>
      <c r="U33" s="130">
        <v>45708</v>
      </c>
      <c r="V33" s="132">
        <f t="shared" ref="V33:V37" si="11">-80.479*O33^2+333.64*O33-13.123</f>
        <v>-2.23335527439</v>
      </c>
      <c r="W33" s="132" t="s">
        <v>991</v>
      </c>
    </row>
    <row r="34" spans="1:23" x14ac:dyDescent="0.3">
      <c r="A34" s="127">
        <v>45707</v>
      </c>
      <c r="B34" s="128">
        <v>0.375</v>
      </c>
      <c r="C34" s="31" t="s">
        <v>70</v>
      </c>
      <c r="D34" s="31" t="s">
        <v>71</v>
      </c>
      <c r="E34" s="31" t="s">
        <v>916</v>
      </c>
      <c r="F34" s="31">
        <v>1</v>
      </c>
      <c r="G34" s="31" t="s">
        <v>72</v>
      </c>
      <c r="H34" s="31" t="s">
        <v>73</v>
      </c>
      <c r="I34" s="31" t="s">
        <v>81</v>
      </c>
      <c r="J34" s="31">
        <v>191</v>
      </c>
      <c r="K34" s="129">
        <v>45708</v>
      </c>
      <c r="L34" s="128">
        <v>0.61248842592592589</v>
      </c>
      <c r="M34" s="31">
        <v>1</v>
      </c>
      <c r="N34" s="31" t="s">
        <v>82</v>
      </c>
      <c r="O34" s="31">
        <v>6.6600000000000006E-2</v>
      </c>
      <c r="P34" s="31">
        <v>4.4400000000000004E-3</v>
      </c>
      <c r="Q34" s="31">
        <v>15</v>
      </c>
      <c r="R34" s="31" t="s">
        <v>83</v>
      </c>
      <c r="S34" s="34">
        <v>15</v>
      </c>
      <c r="T34" s="31" t="s">
        <v>988</v>
      </c>
      <c r="U34" s="130">
        <v>45708</v>
      </c>
      <c r="V34" s="132">
        <f t="shared" si="11"/>
        <v>8.7404545667600022</v>
      </c>
      <c r="W34" s="132" t="s">
        <v>991</v>
      </c>
    </row>
    <row r="35" spans="1:23" x14ac:dyDescent="0.3">
      <c r="A35" s="127">
        <v>45707</v>
      </c>
      <c r="B35" s="128">
        <v>0.375</v>
      </c>
      <c r="C35" s="31" t="s">
        <v>70</v>
      </c>
      <c r="D35" s="31" t="s">
        <v>71</v>
      </c>
      <c r="E35" s="31" t="s">
        <v>917</v>
      </c>
      <c r="F35" s="31">
        <v>1</v>
      </c>
      <c r="G35" s="31" t="s">
        <v>72</v>
      </c>
      <c r="H35" s="31" t="s">
        <v>73</v>
      </c>
      <c r="I35" s="31" t="s">
        <v>81</v>
      </c>
      <c r="J35" s="31">
        <v>192</v>
      </c>
      <c r="K35" s="129">
        <v>45708</v>
      </c>
      <c r="L35" s="128">
        <v>0.61307870370370365</v>
      </c>
      <c r="M35" s="31">
        <v>1</v>
      </c>
      <c r="N35" s="31" t="s">
        <v>82</v>
      </c>
      <c r="O35" s="31">
        <v>9.0800000000000006E-2</v>
      </c>
      <c r="P35" s="31">
        <v>6.1999999999999998E-3</v>
      </c>
      <c r="Q35" s="31">
        <v>20</v>
      </c>
      <c r="R35" s="31" t="s">
        <v>83</v>
      </c>
      <c r="S35" s="34">
        <v>20</v>
      </c>
      <c r="T35" s="31" t="s">
        <v>988</v>
      </c>
      <c r="U35" s="130">
        <v>45708</v>
      </c>
      <c r="V35" s="132">
        <f t="shared" si="11"/>
        <v>16.507991617439998</v>
      </c>
      <c r="W35" s="132" t="s">
        <v>991</v>
      </c>
    </row>
    <row r="36" spans="1:23" x14ac:dyDescent="0.3">
      <c r="A36" s="127">
        <v>45707</v>
      </c>
      <c r="B36" s="128">
        <v>0.375</v>
      </c>
      <c r="C36" s="31" t="s">
        <v>70</v>
      </c>
      <c r="D36" s="31" t="s">
        <v>71</v>
      </c>
      <c r="E36" s="31" t="s">
        <v>918</v>
      </c>
      <c r="F36" s="31">
        <v>1</v>
      </c>
      <c r="G36" s="31" t="s">
        <v>72</v>
      </c>
      <c r="H36" s="31" t="s">
        <v>73</v>
      </c>
      <c r="I36" s="31" t="s">
        <v>81</v>
      </c>
      <c r="J36" s="31">
        <v>193</v>
      </c>
      <c r="K36" s="129">
        <v>45708</v>
      </c>
      <c r="L36" s="128">
        <v>0.61365740740740737</v>
      </c>
      <c r="M36" s="31">
        <v>1</v>
      </c>
      <c r="N36" s="31" t="s">
        <v>82</v>
      </c>
      <c r="O36" s="31">
        <v>0.28199999999999997</v>
      </c>
      <c r="P36" s="31">
        <v>2.47E-2</v>
      </c>
      <c r="Q36" s="31">
        <v>75</v>
      </c>
      <c r="R36" s="31" t="s">
        <v>83</v>
      </c>
      <c r="S36" s="34">
        <v>75</v>
      </c>
      <c r="T36" s="31" t="s">
        <v>988</v>
      </c>
      <c r="U36" s="130">
        <v>45708</v>
      </c>
      <c r="V36" s="132">
        <f t="shared" si="11"/>
        <v>74.563468003999972</v>
      </c>
      <c r="W36" s="132" t="s">
        <v>991</v>
      </c>
    </row>
    <row r="37" spans="1:23" x14ac:dyDescent="0.3">
      <c r="A37" s="127">
        <v>45707</v>
      </c>
      <c r="B37" s="128">
        <v>0.375</v>
      </c>
      <c r="C37" s="31" t="s">
        <v>70</v>
      </c>
      <c r="D37" s="31" t="s">
        <v>71</v>
      </c>
      <c r="E37" s="31" t="s">
        <v>919</v>
      </c>
      <c r="F37" s="31">
        <v>1</v>
      </c>
      <c r="G37" s="31" t="s">
        <v>72</v>
      </c>
      <c r="H37" s="31" t="s">
        <v>73</v>
      </c>
      <c r="I37" s="31" t="s">
        <v>81</v>
      </c>
      <c r="J37" s="31">
        <v>194</v>
      </c>
      <c r="K37" s="129">
        <v>45708</v>
      </c>
      <c r="L37" s="128">
        <v>0.61422453703703705</v>
      </c>
      <c r="M37" s="31">
        <v>1</v>
      </c>
      <c r="N37" s="31" t="s">
        <v>82</v>
      </c>
      <c r="O37" s="31">
        <v>0.58899999999999997</v>
      </c>
      <c r="P37" s="31">
        <v>5.2200000000000003E-2</v>
      </c>
      <c r="Q37" s="31">
        <v>150</v>
      </c>
      <c r="R37" s="31" t="s">
        <v>83</v>
      </c>
      <c r="S37" s="34">
        <v>150</v>
      </c>
      <c r="T37" s="31" t="s">
        <v>988</v>
      </c>
      <c r="U37" s="130">
        <v>45708</v>
      </c>
      <c r="V37" s="132">
        <f t="shared" si="11"/>
        <v>155.47110484099997</v>
      </c>
      <c r="W37" s="132" t="s">
        <v>991</v>
      </c>
    </row>
  </sheetData>
  <phoneticPr fontId="17" type="noConversion"/>
  <conditionalFormatting sqref="U1">
    <cfRule type="cellIs" dxfId="11" priority="2" operator="lessThan">
      <formula>0</formula>
    </cfRule>
  </conditionalFormatting>
  <conditionalFormatting sqref="AZ1">
    <cfRule type="cellIs" dxfId="10" priority="1" operator="lessThan">
      <formula>0</formula>
    </cfRule>
  </conditionalFormatting>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B6AB3-A56A-494C-A10C-199C28C79431}">
  <dimension ref="A1:BD147"/>
  <sheetViews>
    <sheetView topLeftCell="A28" zoomScale="89" zoomScaleNormal="89" workbookViewId="0">
      <selection activeCell="A30" sqref="A30:W35"/>
    </sheetView>
  </sheetViews>
  <sheetFormatPr defaultRowHeight="14.4" x14ac:dyDescent="0.3"/>
  <cols>
    <col min="1" max="1" width="9.88671875" bestFit="1" customWidth="1"/>
    <col min="2" max="2" width="10.6640625" bestFit="1" customWidth="1"/>
    <col min="3" max="3" width="5.88671875" bestFit="1" customWidth="1"/>
    <col min="4" max="4" width="7.33203125" bestFit="1" customWidth="1"/>
    <col min="5" max="5" width="7.88671875" bestFit="1" customWidth="1"/>
    <col min="6" max="6" width="5.109375" bestFit="1" customWidth="1"/>
    <col min="7" max="7" width="7.44140625" bestFit="1" customWidth="1"/>
    <col min="8" max="8" width="5" bestFit="1" customWidth="1"/>
    <col min="9" max="9" width="7.5546875" bestFit="1" customWidth="1"/>
    <col min="10" max="10" width="8.33203125" bestFit="1" customWidth="1"/>
    <col min="11" max="11" width="10.5546875" bestFit="1" customWidth="1"/>
    <col min="12" max="12" width="11.6640625" bestFit="1" customWidth="1"/>
    <col min="13" max="13" width="7" bestFit="1" customWidth="1"/>
    <col min="14" max="14" width="8.44140625" bestFit="1" customWidth="1"/>
    <col min="15" max="15" width="8" bestFit="1" customWidth="1"/>
    <col min="16" max="16" width="9" bestFit="1" customWidth="1"/>
    <col min="17" max="17" width="8.44140625" bestFit="1" customWidth="1"/>
    <col min="18" max="18" width="6" bestFit="1" customWidth="1"/>
    <col min="19" max="19" width="8.44140625" bestFit="1" customWidth="1"/>
    <col min="20" max="20" width="41.6640625" bestFit="1" customWidth="1"/>
    <col min="21" max="21" width="10.6640625" bestFit="1" customWidth="1"/>
    <col min="22" max="22" width="10" bestFit="1" customWidth="1"/>
    <col min="23" max="23" width="25.44140625" bestFit="1" customWidth="1"/>
    <col min="24" max="25" width="8.88671875" style="124"/>
    <col min="32" max="32" width="9.88671875" bestFit="1" customWidth="1"/>
    <col min="33" max="33" width="10.6640625" bestFit="1" customWidth="1"/>
    <col min="42" max="42" width="9.88671875" bestFit="1" customWidth="1"/>
    <col min="43" max="43" width="11.33203125" bestFit="1" customWidth="1"/>
    <col min="51" max="51" width="41.6640625" bestFit="1" customWidth="1"/>
    <col min="52" max="52" width="10.6640625" bestFit="1" customWidth="1"/>
    <col min="54" max="54" width="25.44140625" bestFit="1" customWidth="1"/>
    <col min="55" max="56" width="8.88671875" style="124"/>
  </cols>
  <sheetData>
    <row r="1" spans="1:54" ht="100.8" x14ac:dyDescent="0.3">
      <c r="A1" s="17" t="s">
        <v>0</v>
      </c>
      <c r="B1" s="35" t="s">
        <v>23</v>
      </c>
      <c r="C1" s="19" t="s">
        <v>24</v>
      </c>
      <c r="D1" s="19" t="s">
        <v>25</v>
      </c>
      <c r="E1" s="19" t="s">
        <v>26</v>
      </c>
      <c r="F1" s="19" t="s">
        <v>27</v>
      </c>
      <c r="G1" s="19" t="s">
        <v>28</v>
      </c>
      <c r="H1" s="19" t="s">
        <v>29</v>
      </c>
      <c r="I1" s="19" t="s">
        <v>30</v>
      </c>
      <c r="J1" s="19" t="s">
        <v>31</v>
      </c>
      <c r="K1" s="20" t="s">
        <v>32</v>
      </c>
      <c r="L1" s="21" t="s">
        <v>33</v>
      </c>
      <c r="M1" s="22" t="s">
        <v>34</v>
      </c>
      <c r="N1" s="19" t="s">
        <v>35</v>
      </c>
      <c r="O1" s="23" t="s">
        <v>36</v>
      </c>
      <c r="P1" s="23" t="s">
        <v>37</v>
      </c>
      <c r="Q1" s="24" t="s">
        <v>38</v>
      </c>
      <c r="R1" s="19" t="s">
        <v>39</v>
      </c>
      <c r="S1" s="36" t="s">
        <v>40</v>
      </c>
      <c r="T1" s="19" t="s">
        <v>46</v>
      </c>
      <c r="U1" s="20" t="s">
        <v>77</v>
      </c>
      <c r="V1" s="9" t="s">
        <v>78</v>
      </c>
      <c r="W1" s="3" t="s">
        <v>79</v>
      </c>
      <c r="AF1" s="37" t="s">
        <v>0</v>
      </c>
      <c r="AG1" s="35" t="s">
        <v>23</v>
      </c>
      <c r="AH1" s="38" t="s">
        <v>24</v>
      </c>
      <c r="AI1" s="38" t="s">
        <v>25</v>
      </c>
      <c r="AJ1" s="38" t="s">
        <v>26</v>
      </c>
      <c r="AK1" s="38" t="s">
        <v>27</v>
      </c>
      <c r="AL1" s="38" t="s">
        <v>28</v>
      </c>
      <c r="AM1" s="38" t="s">
        <v>29</v>
      </c>
      <c r="AN1" s="38" t="s">
        <v>30</v>
      </c>
      <c r="AO1" s="38" t="s">
        <v>31</v>
      </c>
      <c r="AP1" s="39" t="s">
        <v>32</v>
      </c>
      <c r="AQ1" s="40" t="s">
        <v>33</v>
      </c>
      <c r="AR1" s="22" t="s">
        <v>34</v>
      </c>
      <c r="AS1" s="38" t="s">
        <v>35</v>
      </c>
      <c r="AT1" s="41" t="s">
        <v>36</v>
      </c>
      <c r="AU1" s="41" t="s">
        <v>37</v>
      </c>
      <c r="AV1" s="42" t="s">
        <v>38</v>
      </c>
      <c r="AW1" s="38" t="s">
        <v>39</v>
      </c>
      <c r="AX1" s="43" t="s">
        <v>40</v>
      </c>
      <c r="AY1" s="38" t="s">
        <v>46</v>
      </c>
      <c r="AZ1" s="39" t="s">
        <v>80</v>
      </c>
      <c r="BA1" s="44" t="s">
        <v>78</v>
      </c>
      <c r="BB1" s="44" t="s">
        <v>79</v>
      </c>
    </row>
    <row r="2" spans="1:54" s="124" customFormat="1" x14ac:dyDescent="0.3">
      <c r="A2" s="32">
        <v>45678</v>
      </c>
      <c r="B2" s="33">
        <v>0.375</v>
      </c>
      <c r="C2" s="10" t="s">
        <v>70</v>
      </c>
      <c r="D2" s="10" t="s">
        <v>71</v>
      </c>
      <c r="E2" s="10" t="s">
        <v>914</v>
      </c>
      <c r="F2" s="10">
        <v>1</v>
      </c>
      <c r="G2" s="10" t="s">
        <v>72</v>
      </c>
      <c r="H2" s="10" t="s">
        <v>73</v>
      </c>
      <c r="I2" s="10" t="s">
        <v>81</v>
      </c>
      <c r="J2" s="10">
        <v>189</v>
      </c>
      <c r="K2" s="12">
        <v>45679</v>
      </c>
      <c r="L2" s="33">
        <v>0.57105324074074071</v>
      </c>
      <c r="M2" s="10">
        <v>1</v>
      </c>
      <c r="N2" s="10" t="s">
        <v>82</v>
      </c>
      <c r="O2" s="10">
        <v>2.92E-2</v>
      </c>
      <c r="P2" s="10">
        <v>2.8800000000000002E-3</v>
      </c>
      <c r="Q2" s="10">
        <v>0</v>
      </c>
      <c r="R2" s="10" t="s">
        <v>83</v>
      </c>
      <c r="S2" s="34">
        <v>0</v>
      </c>
      <c r="T2" s="10" t="s">
        <v>937</v>
      </c>
      <c r="U2" s="45">
        <v>45679</v>
      </c>
      <c r="V2">
        <f>-27.957*O2^2+268.45*O2-4.2074</f>
        <v>3.6075027435199996</v>
      </c>
      <c r="W2" t="s">
        <v>940</v>
      </c>
      <c r="AF2" s="32">
        <v>45678</v>
      </c>
      <c r="AG2" s="33">
        <v>0.375</v>
      </c>
      <c r="AH2" s="10" t="s">
        <v>70</v>
      </c>
      <c r="AI2" s="10" t="s">
        <v>71</v>
      </c>
      <c r="AJ2" s="10" t="s">
        <v>920</v>
      </c>
      <c r="AK2" s="10">
        <v>1</v>
      </c>
      <c r="AL2" s="10" t="s">
        <v>72</v>
      </c>
      <c r="AM2" s="10" t="s">
        <v>73</v>
      </c>
      <c r="AN2" s="10" t="s">
        <v>81</v>
      </c>
      <c r="AO2" s="10">
        <v>195</v>
      </c>
      <c r="AP2" s="12">
        <v>45679</v>
      </c>
      <c r="AQ2" s="33">
        <v>0.57453703703703707</v>
      </c>
      <c r="AR2" s="10">
        <v>1</v>
      </c>
      <c r="AS2" s="10" t="s">
        <v>82</v>
      </c>
      <c r="AT2" s="10">
        <v>1.31</v>
      </c>
      <c r="AU2" s="10">
        <v>0.125</v>
      </c>
      <c r="AV2" s="10">
        <v>300</v>
      </c>
      <c r="AW2" s="10" t="s">
        <v>83</v>
      </c>
      <c r="AX2" s="34">
        <v>300</v>
      </c>
      <c r="AY2" s="10" t="s">
        <v>937</v>
      </c>
      <c r="AZ2" s="45">
        <v>45679</v>
      </c>
      <c r="BA2">
        <f t="shared" ref="BA2" si="0">-27.957*AT2^2+268.45*AT2-4.2074</f>
        <v>299.48509230000002</v>
      </c>
      <c r="BB2" t="s">
        <v>940</v>
      </c>
    </row>
    <row r="3" spans="1:54" s="124" customFormat="1" x14ac:dyDescent="0.3">
      <c r="A3" s="32">
        <v>45678</v>
      </c>
      <c r="B3" s="33">
        <v>0.375</v>
      </c>
      <c r="C3" s="10" t="s">
        <v>70</v>
      </c>
      <c r="D3" s="10" t="s">
        <v>71</v>
      </c>
      <c r="E3" s="10" t="s">
        <v>915</v>
      </c>
      <c r="F3" s="10">
        <v>1</v>
      </c>
      <c r="G3" s="10" t="s">
        <v>72</v>
      </c>
      <c r="H3" s="10" t="s">
        <v>73</v>
      </c>
      <c r="I3" s="10" t="s">
        <v>81</v>
      </c>
      <c r="J3" s="10">
        <v>190</v>
      </c>
      <c r="K3" s="12">
        <v>45679</v>
      </c>
      <c r="L3" s="33">
        <v>0.57164351851851858</v>
      </c>
      <c r="M3" s="10">
        <v>1</v>
      </c>
      <c r="N3" s="10" t="s">
        <v>82</v>
      </c>
      <c r="O3" s="10">
        <v>4.6399999999999997E-2</v>
      </c>
      <c r="P3" s="10">
        <v>2.9099999999999998E-3</v>
      </c>
      <c r="Q3" s="10">
        <v>5</v>
      </c>
      <c r="R3" s="10" t="s">
        <v>83</v>
      </c>
      <c r="S3" s="34">
        <v>5</v>
      </c>
      <c r="T3" s="10" t="s">
        <v>937</v>
      </c>
      <c r="U3" s="45">
        <v>45679</v>
      </c>
      <c r="V3">
        <f t="shared" ref="V3:V8" si="1">-27.957*O3^2+268.45*O3-4.2074</f>
        <v>8.1884896972799979</v>
      </c>
      <c r="W3" t="s">
        <v>940</v>
      </c>
      <c r="AF3" s="127">
        <v>45680</v>
      </c>
      <c r="AG3" s="128">
        <v>0.375</v>
      </c>
      <c r="AH3" s="31" t="s">
        <v>70</v>
      </c>
      <c r="AI3" s="31" t="s">
        <v>71</v>
      </c>
      <c r="AJ3" s="31" t="s">
        <v>920</v>
      </c>
      <c r="AK3" s="31">
        <v>1</v>
      </c>
      <c r="AL3" s="31" t="s">
        <v>72</v>
      </c>
      <c r="AM3" s="31" t="s">
        <v>73</v>
      </c>
      <c r="AN3" s="31" t="s">
        <v>81</v>
      </c>
      <c r="AO3" s="31">
        <v>195</v>
      </c>
      <c r="AP3" s="129">
        <v>45681</v>
      </c>
      <c r="AQ3" s="128">
        <v>0.45915509259259263</v>
      </c>
      <c r="AR3" s="31">
        <v>1</v>
      </c>
      <c r="AS3" s="31" t="s">
        <v>82</v>
      </c>
      <c r="AT3" s="31">
        <v>1.39</v>
      </c>
      <c r="AU3" s="31">
        <v>0.128</v>
      </c>
      <c r="AV3" s="31">
        <v>300</v>
      </c>
      <c r="AW3" s="31" t="s">
        <v>83</v>
      </c>
      <c r="AX3" s="34">
        <v>300</v>
      </c>
      <c r="AY3" s="31" t="s">
        <v>946</v>
      </c>
      <c r="AZ3" s="130">
        <v>45681</v>
      </c>
      <c r="BA3" s="132">
        <f t="shared" ref="BA3" si="2">-31.655*AT3^2+263.05*AT3-4.8235</f>
        <v>299.65537449999999</v>
      </c>
      <c r="BB3" s="132" t="s">
        <v>949</v>
      </c>
    </row>
    <row r="4" spans="1:54" s="124" customFormat="1" x14ac:dyDescent="0.3">
      <c r="A4" s="32">
        <v>45678</v>
      </c>
      <c r="B4" s="33">
        <v>0.375</v>
      </c>
      <c r="C4" s="10" t="s">
        <v>70</v>
      </c>
      <c r="D4" s="10" t="s">
        <v>71</v>
      </c>
      <c r="E4" s="10" t="s">
        <v>916</v>
      </c>
      <c r="F4" s="10">
        <v>1</v>
      </c>
      <c r="G4" s="10" t="s">
        <v>72</v>
      </c>
      <c r="H4" s="10" t="s">
        <v>73</v>
      </c>
      <c r="I4" s="10" t="s">
        <v>81</v>
      </c>
      <c r="J4" s="10">
        <v>191</v>
      </c>
      <c r="K4" s="12">
        <v>45679</v>
      </c>
      <c r="L4" s="33">
        <v>0.57222222222222219</v>
      </c>
      <c r="M4" s="10">
        <v>1</v>
      </c>
      <c r="N4" s="10" t="s">
        <v>82</v>
      </c>
      <c r="O4" s="10">
        <v>6.4000000000000001E-2</v>
      </c>
      <c r="P4" s="10">
        <v>4.0699999999999998E-3</v>
      </c>
      <c r="Q4" s="10">
        <v>15</v>
      </c>
      <c r="R4" s="10" t="s">
        <v>83</v>
      </c>
      <c r="S4" s="34">
        <v>15</v>
      </c>
      <c r="T4" s="10" t="s">
        <v>937</v>
      </c>
      <c r="U4" s="45">
        <v>45679</v>
      </c>
      <c r="V4">
        <f t="shared" si="1"/>
        <v>12.858888128</v>
      </c>
      <c r="W4" t="s">
        <v>940</v>
      </c>
      <c r="AF4" s="32">
        <v>45685</v>
      </c>
      <c r="AG4" s="33">
        <v>0.375</v>
      </c>
      <c r="AH4" s="10" t="s">
        <v>70</v>
      </c>
      <c r="AI4" s="10" t="s">
        <v>71</v>
      </c>
      <c r="AJ4" s="10" t="s">
        <v>920</v>
      </c>
      <c r="AK4" s="10">
        <v>1</v>
      </c>
      <c r="AL4" s="10" t="s">
        <v>72</v>
      </c>
      <c r="AM4" s="10" t="s">
        <v>73</v>
      </c>
      <c r="AN4" s="10" t="s">
        <v>81</v>
      </c>
      <c r="AO4" s="10">
        <v>195</v>
      </c>
      <c r="AP4" s="12">
        <v>45686</v>
      </c>
      <c r="AQ4" s="33">
        <v>0.62689814814814815</v>
      </c>
      <c r="AR4" s="10">
        <v>1</v>
      </c>
      <c r="AS4" s="10" t="s">
        <v>82</v>
      </c>
      <c r="AT4" s="10">
        <v>1.1399999999999999</v>
      </c>
      <c r="AU4" s="10">
        <v>0.125</v>
      </c>
      <c r="AV4" s="10">
        <v>300</v>
      </c>
      <c r="AW4" s="10" t="s">
        <v>83</v>
      </c>
      <c r="AX4" s="123">
        <v>300</v>
      </c>
      <c r="AY4" s="10" t="s">
        <v>961</v>
      </c>
      <c r="AZ4" s="45">
        <v>45686</v>
      </c>
      <c r="BA4" s="124">
        <f t="shared" ref="BA4" si="3">-59.51*AT4^2+334.39*AT4-4.4</f>
        <v>299.46540400000004</v>
      </c>
      <c r="BB4" s="124" t="s">
        <v>965</v>
      </c>
    </row>
    <row r="5" spans="1:54" s="124" customFormat="1" x14ac:dyDescent="0.3">
      <c r="A5" s="32">
        <v>45678</v>
      </c>
      <c r="B5" s="33">
        <v>0.375</v>
      </c>
      <c r="C5" s="10" t="s">
        <v>70</v>
      </c>
      <c r="D5" s="10" t="s">
        <v>71</v>
      </c>
      <c r="E5" s="10" t="s">
        <v>917</v>
      </c>
      <c r="F5" s="10">
        <v>1</v>
      </c>
      <c r="G5" s="10" t="s">
        <v>72</v>
      </c>
      <c r="H5" s="10" t="s">
        <v>73</v>
      </c>
      <c r="I5" s="10" t="s">
        <v>81</v>
      </c>
      <c r="J5" s="10">
        <v>192</v>
      </c>
      <c r="K5" s="12">
        <v>45679</v>
      </c>
      <c r="L5" s="33">
        <v>0.57280092592592591</v>
      </c>
      <c r="M5" s="10">
        <v>1</v>
      </c>
      <c r="N5" s="10" t="s">
        <v>82</v>
      </c>
      <c r="O5" s="10">
        <v>7.85E-2</v>
      </c>
      <c r="P5" s="10">
        <v>5.77E-3</v>
      </c>
      <c r="Q5" s="10">
        <v>20</v>
      </c>
      <c r="R5" s="10" t="s">
        <v>83</v>
      </c>
      <c r="S5" s="34">
        <v>20</v>
      </c>
      <c r="T5" s="10" t="s">
        <v>937</v>
      </c>
      <c r="U5" s="45">
        <v>45679</v>
      </c>
      <c r="V5">
        <f t="shared" si="1"/>
        <v>16.693646976749999</v>
      </c>
      <c r="W5" t="s">
        <v>940</v>
      </c>
      <c r="AF5" s="127">
        <v>45692</v>
      </c>
      <c r="AG5" s="128">
        <v>0.375</v>
      </c>
      <c r="AH5" s="31" t="s">
        <v>70</v>
      </c>
      <c r="AI5" s="31" t="s">
        <v>71</v>
      </c>
      <c r="AJ5" s="31" t="s">
        <v>920</v>
      </c>
      <c r="AK5" s="31">
        <v>1</v>
      </c>
      <c r="AL5" s="31" t="s">
        <v>72</v>
      </c>
      <c r="AM5" s="31" t="s">
        <v>73</v>
      </c>
      <c r="AN5" s="31" t="s">
        <v>81</v>
      </c>
      <c r="AO5" s="31">
        <v>195</v>
      </c>
      <c r="AP5" s="129">
        <v>45692</v>
      </c>
      <c r="AQ5" s="128">
        <v>0.63862268518518517</v>
      </c>
      <c r="AR5" s="31">
        <v>1</v>
      </c>
      <c r="AS5" s="31" t="s">
        <v>82</v>
      </c>
      <c r="AT5" s="31">
        <v>1.37</v>
      </c>
      <c r="AU5" s="31">
        <v>0.129</v>
      </c>
      <c r="AV5" s="31">
        <v>300</v>
      </c>
      <c r="AW5" s="31" t="s">
        <v>83</v>
      </c>
      <c r="AX5" s="34">
        <v>300</v>
      </c>
      <c r="AY5" s="31" t="s">
        <v>972</v>
      </c>
      <c r="AZ5" s="130">
        <v>45692</v>
      </c>
      <c r="BA5" s="132">
        <f t="shared" ref="BA5" si="4">-47.205*AT5^2+288.15*AT5-6.3604</f>
        <v>299.80603549999995</v>
      </c>
      <c r="BB5" s="132" t="s">
        <v>975</v>
      </c>
    </row>
    <row r="6" spans="1:54" s="124" customFormat="1" x14ac:dyDescent="0.3">
      <c r="A6" s="32">
        <v>45678</v>
      </c>
      <c r="B6" s="33">
        <v>0.375</v>
      </c>
      <c r="C6" s="10" t="s">
        <v>70</v>
      </c>
      <c r="D6" s="10" t="s">
        <v>71</v>
      </c>
      <c r="E6" s="10" t="s">
        <v>918</v>
      </c>
      <c r="F6" s="10">
        <v>1</v>
      </c>
      <c r="G6" s="10" t="s">
        <v>72</v>
      </c>
      <c r="H6" s="10" t="s">
        <v>73</v>
      </c>
      <c r="I6" s="10" t="s">
        <v>81</v>
      </c>
      <c r="J6" s="10">
        <v>193</v>
      </c>
      <c r="K6" s="12">
        <v>45679</v>
      </c>
      <c r="L6" s="33">
        <v>0.57337962962962963</v>
      </c>
      <c r="M6" s="10">
        <v>1</v>
      </c>
      <c r="N6" s="10" t="s">
        <v>82</v>
      </c>
      <c r="O6" s="10">
        <v>0.28899999999999998</v>
      </c>
      <c r="P6" s="10">
        <v>2.6499999999999999E-2</v>
      </c>
      <c r="Q6" s="10">
        <v>75</v>
      </c>
      <c r="R6" s="10" t="s">
        <v>83</v>
      </c>
      <c r="S6" s="34">
        <v>75</v>
      </c>
      <c r="T6" s="10" t="s">
        <v>937</v>
      </c>
      <c r="U6" s="45">
        <v>45679</v>
      </c>
      <c r="V6">
        <f t="shared" si="1"/>
        <v>71.039653402999988</v>
      </c>
      <c r="W6" t="s">
        <v>940</v>
      </c>
      <c r="AF6" s="32">
        <v>45699</v>
      </c>
      <c r="AG6" s="33">
        <v>0.375</v>
      </c>
      <c r="AH6" s="10" t="s">
        <v>70</v>
      </c>
      <c r="AI6" s="10" t="s">
        <v>71</v>
      </c>
      <c r="AJ6" s="10" t="s">
        <v>920</v>
      </c>
      <c r="AK6" s="10">
        <v>1</v>
      </c>
      <c r="AL6" s="10" t="s">
        <v>72</v>
      </c>
      <c r="AM6" s="10" t="s">
        <v>73</v>
      </c>
      <c r="AN6" s="10" t="s">
        <v>81</v>
      </c>
      <c r="AO6" s="10">
        <v>195</v>
      </c>
      <c r="AP6" s="12">
        <v>45699</v>
      </c>
      <c r="AQ6" s="33">
        <v>0.68218749999999995</v>
      </c>
      <c r="AR6" s="10">
        <v>1</v>
      </c>
      <c r="AS6" s="10" t="s">
        <v>82</v>
      </c>
      <c r="AT6" s="10">
        <v>1.22</v>
      </c>
      <c r="AU6" s="10">
        <v>0.13500000000000001</v>
      </c>
      <c r="AV6" s="10">
        <v>300</v>
      </c>
      <c r="AW6" s="10" t="s">
        <v>83</v>
      </c>
      <c r="AX6" s="123">
        <v>300</v>
      </c>
      <c r="AY6" s="10" t="s">
        <v>980</v>
      </c>
      <c r="AZ6" s="45">
        <v>45699</v>
      </c>
      <c r="BA6" s="124">
        <f t="shared" ref="BA6" si="5">-39.94*AT6^2+303.47*AT6-11.008</f>
        <v>299.77870400000006</v>
      </c>
      <c r="BB6" s="124" t="s">
        <v>983</v>
      </c>
    </row>
    <row r="7" spans="1:54" s="124" customFormat="1" x14ac:dyDescent="0.3">
      <c r="A7" s="32">
        <v>45678</v>
      </c>
      <c r="B7" s="33">
        <v>0.375</v>
      </c>
      <c r="C7" s="10" t="s">
        <v>70</v>
      </c>
      <c r="D7" s="10" t="s">
        <v>71</v>
      </c>
      <c r="E7" s="10" t="s">
        <v>919</v>
      </c>
      <c r="F7" s="10">
        <v>1</v>
      </c>
      <c r="G7" s="10" t="s">
        <v>72</v>
      </c>
      <c r="H7" s="10" t="s">
        <v>73</v>
      </c>
      <c r="I7" s="10" t="s">
        <v>81</v>
      </c>
      <c r="J7" s="10">
        <v>194</v>
      </c>
      <c r="K7" s="12">
        <v>45679</v>
      </c>
      <c r="L7" s="33">
        <v>0.57395833333333335</v>
      </c>
      <c r="M7" s="10">
        <v>1</v>
      </c>
      <c r="N7" s="10" t="s">
        <v>82</v>
      </c>
      <c r="O7" s="10">
        <v>0.627</v>
      </c>
      <c r="P7" s="10">
        <v>5.7200000000000001E-2</v>
      </c>
      <c r="Q7" s="10">
        <v>150</v>
      </c>
      <c r="R7" s="10" t="s">
        <v>83</v>
      </c>
      <c r="S7" s="34">
        <v>150</v>
      </c>
      <c r="T7" s="10" t="s">
        <v>937</v>
      </c>
      <c r="U7" s="45">
        <v>45679</v>
      </c>
      <c r="V7">
        <f t="shared" si="1"/>
        <v>153.120042547</v>
      </c>
      <c r="W7" t="s">
        <v>940</v>
      </c>
    </row>
    <row r="8" spans="1:54" s="124" customFormat="1" x14ac:dyDescent="0.3">
      <c r="A8" s="32">
        <v>45678</v>
      </c>
      <c r="B8" s="33">
        <v>0.375</v>
      </c>
      <c r="C8" s="10" t="s">
        <v>70</v>
      </c>
      <c r="D8" s="10" t="s">
        <v>71</v>
      </c>
      <c r="E8" s="10" t="s">
        <v>920</v>
      </c>
      <c r="F8" s="10">
        <v>1</v>
      </c>
      <c r="G8" s="10" t="s">
        <v>72</v>
      </c>
      <c r="H8" s="10" t="s">
        <v>73</v>
      </c>
      <c r="I8" s="10" t="s">
        <v>81</v>
      </c>
      <c r="J8" s="10">
        <v>195</v>
      </c>
      <c r="K8" s="12">
        <v>45679</v>
      </c>
      <c r="L8" s="33">
        <v>0.57453703703703707</v>
      </c>
      <c r="M8" s="10">
        <v>1</v>
      </c>
      <c r="N8" s="10" t="s">
        <v>82</v>
      </c>
      <c r="O8" s="10">
        <v>1.31</v>
      </c>
      <c r="P8" s="10">
        <v>0.125</v>
      </c>
      <c r="Q8" s="10">
        <v>300</v>
      </c>
      <c r="R8" s="10" t="s">
        <v>83</v>
      </c>
      <c r="S8" s="34">
        <v>300</v>
      </c>
      <c r="T8" s="10" t="s">
        <v>937</v>
      </c>
      <c r="U8" s="45">
        <v>45679</v>
      </c>
      <c r="V8">
        <f t="shared" si="1"/>
        <v>299.48509230000002</v>
      </c>
      <c r="W8" t="s">
        <v>940</v>
      </c>
    </row>
    <row r="9" spans="1:54" s="124" customFormat="1" x14ac:dyDescent="0.3">
      <c r="A9" s="127">
        <v>45680</v>
      </c>
      <c r="B9" s="128">
        <v>0.375</v>
      </c>
      <c r="C9" s="31" t="s">
        <v>70</v>
      </c>
      <c r="D9" s="31" t="s">
        <v>71</v>
      </c>
      <c r="E9" s="31" t="s">
        <v>914</v>
      </c>
      <c r="F9" s="31">
        <v>1</v>
      </c>
      <c r="G9" s="31" t="s">
        <v>72</v>
      </c>
      <c r="H9" s="31" t="s">
        <v>73</v>
      </c>
      <c r="I9" s="31" t="s">
        <v>81</v>
      </c>
      <c r="J9" s="31">
        <v>189</v>
      </c>
      <c r="K9" s="129">
        <v>45681</v>
      </c>
      <c r="L9" s="128">
        <v>0.45568287037037036</v>
      </c>
      <c r="M9" s="31">
        <v>1</v>
      </c>
      <c r="N9" s="31" t="s">
        <v>82</v>
      </c>
      <c r="O9" s="31">
        <v>2.4E-2</v>
      </c>
      <c r="P9" s="31">
        <v>2.4299999999999999E-3</v>
      </c>
      <c r="Q9" s="31">
        <v>0</v>
      </c>
      <c r="R9" s="31" t="s">
        <v>83</v>
      </c>
      <c r="S9" s="34">
        <v>0</v>
      </c>
      <c r="T9" s="31" t="s">
        <v>946</v>
      </c>
      <c r="U9" s="130">
        <v>45681</v>
      </c>
      <c r="V9" s="132">
        <f>-31.655*O9^2+263.05*O9-4.8235</f>
        <v>1.4714667200000004</v>
      </c>
      <c r="W9" s="132" t="s">
        <v>949</v>
      </c>
    </row>
    <row r="10" spans="1:54" s="124" customFormat="1" x14ac:dyDescent="0.3">
      <c r="A10" s="127">
        <v>45680</v>
      </c>
      <c r="B10" s="128">
        <v>0.375</v>
      </c>
      <c r="C10" s="31" t="s">
        <v>70</v>
      </c>
      <c r="D10" s="31" t="s">
        <v>71</v>
      </c>
      <c r="E10" s="31" t="s">
        <v>915</v>
      </c>
      <c r="F10" s="31">
        <v>1</v>
      </c>
      <c r="G10" s="31" t="s">
        <v>72</v>
      </c>
      <c r="H10" s="31" t="s">
        <v>73</v>
      </c>
      <c r="I10" s="31" t="s">
        <v>81</v>
      </c>
      <c r="J10" s="31">
        <v>190</v>
      </c>
      <c r="K10" s="129">
        <v>45681</v>
      </c>
      <c r="L10" s="128">
        <v>0.45626157407407408</v>
      </c>
      <c r="M10" s="31">
        <v>1</v>
      </c>
      <c r="N10" s="31" t="s">
        <v>82</v>
      </c>
      <c r="O10" s="31">
        <v>4.4999999999999998E-2</v>
      </c>
      <c r="P10" s="31">
        <v>3.3300000000000001E-3</v>
      </c>
      <c r="Q10" s="31">
        <v>5</v>
      </c>
      <c r="R10" s="31" t="s">
        <v>83</v>
      </c>
      <c r="S10" s="34">
        <v>5</v>
      </c>
      <c r="T10" s="31" t="s">
        <v>946</v>
      </c>
      <c r="U10" s="130">
        <v>45681</v>
      </c>
      <c r="V10" s="132">
        <f t="shared" ref="V10:V15" si="6">-31.655*O10^2+263.05*O10-4.8235</f>
        <v>6.9496486250000009</v>
      </c>
      <c r="W10" s="132" t="s">
        <v>949</v>
      </c>
    </row>
    <row r="11" spans="1:54" s="124" customFormat="1" x14ac:dyDescent="0.3">
      <c r="A11" s="127">
        <v>45680</v>
      </c>
      <c r="B11" s="128">
        <v>0.375</v>
      </c>
      <c r="C11" s="31" t="s">
        <v>70</v>
      </c>
      <c r="D11" s="31" t="s">
        <v>71</v>
      </c>
      <c r="E11" s="31" t="s">
        <v>916</v>
      </c>
      <c r="F11" s="31">
        <v>1</v>
      </c>
      <c r="G11" s="31" t="s">
        <v>72</v>
      </c>
      <c r="H11" s="31" t="s">
        <v>73</v>
      </c>
      <c r="I11" s="31" t="s">
        <v>81</v>
      </c>
      <c r="J11" s="31">
        <v>191</v>
      </c>
      <c r="K11" s="129">
        <v>45681</v>
      </c>
      <c r="L11" s="128">
        <v>0.4568402777777778</v>
      </c>
      <c r="M11" s="31">
        <v>1</v>
      </c>
      <c r="N11" s="31" t="s">
        <v>82</v>
      </c>
      <c r="O11" s="31">
        <v>8.3299999999999999E-2</v>
      </c>
      <c r="P11" s="31">
        <v>5.4299999999999999E-3</v>
      </c>
      <c r="Q11" s="31">
        <v>15</v>
      </c>
      <c r="R11" s="31" t="s">
        <v>83</v>
      </c>
      <c r="S11" s="34">
        <v>15</v>
      </c>
      <c r="T11" s="31" t="s">
        <v>946</v>
      </c>
      <c r="U11" s="130">
        <v>45681</v>
      </c>
      <c r="V11" s="132">
        <f t="shared" si="6"/>
        <v>16.868914437050002</v>
      </c>
      <c r="W11" s="132" t="s">
        <v>949</v>
      </c>
    </row>
    <row r="12" spans="1:54" s="124" customFormat="1" x14ac:dyDescent="0.3">
      <c r="A12" s="127">
        <v>45680</v>
      </c>
      <c r="B12" s="128">
        <v>0.375</v>
      </c>
      <c r="C12" s="31" t="s">
        <v>70</v>
      </c>
      <c r="D12" s="31" t="s">
        <v>71</v>
      </c>
      <c r="E12" s="31" t="s">
        <v>917</v>
      </c>
      <c r="F12" s="31">
        <v>1</v>
      </c>
      <c r="G12" s="31" t="s">
        <v>72</v>
      </c>
      <c r="H12" s="31" t="s">
        <v>73</v>
      </c>
      <c r="I12" s="31" t="s">
        <v>81</v>
      </c>
      <c r="J12" s="31">
        <v>192</v>
      </c>
      <c r="K12" s="129">
        <v>45681</v>
      </c>
      <c r="L12" s="128">
        <v>0.45741898148148147</v>
      </c>
      <c r="M12" s="31">
        <v>1</v>
      </c>
      <c r="N12" s="31" t="s">
        <v>82</v>
      </c>
      <c r="O12" s="31">
        <v>7.9899999999999999E-2</v>
      </c>
      <c r="P12" s="31">
        <v>5.2399999999999999E-3</v>
      </c>
      <c r="Q12" s="31">
        <v>20</v>
      </c>
      <c r="R12" s="31" t="s">
        <v>83</v>
      </c>
      <c r="S12" s="34">
        <v>20</v>
      </c>
      <c r="T12" s="31" t="s">
        <v>946</v>
      </c>
      <c r="U12" s="130">
        <v>45681</v>
      </c>
      <c r="V12" s="132">
        <f t="shared" si="6"/>
        <v>15.992109163449999</v>
      </c>
      <c r="W12" s="132" t="s">
        <v>949</v>
      </c>
    </row>
    <row r="13" spans="1:54" s="124" customFormat="1" x14ac:dyDescent="0.3">
      <c r="A13" s="127">
        <v>45680</v>
      </c>
      <c r="B13" s="128">
        <v>0.375</v>
      </c>
      <c r="C13" s="31" t="s">
        <v>70</v>
      </c>
      <c r="D13" s="31" t="s">
        <v>71</v>
      </c>
      <c r="E13" s="31" t="s">
        <v>918</v>
      </c>
      <c r="F13" s="31">
        <v>1</v>
      </c>
      <c r="G13" s="31" t="s">
        <v>72</v>
      </c>
      <c r="H13" s="31" t="s">
        <v>73</v>
      </c>
      <c r="I13" s="31" t="s">
        <v>81</v>
      </c>
      <c r="J13" s="31">
        <v>193</v>
      </c>
      <c r="K13" s="129">
        <v>45681</v>
      </c>
      <c r="L13" s="128">
        <v>0.45799768518518519</v>
      </c>
      <c r="M13" s="31">
        <v>1</v>
      </c>
      <c r="N13" s="31" t="s">
        <v>82</v>
      </c>
      <c r="O13" s="31">
        <v>0.30199999999999999</v>
      </c>
      <c r="P13" s="31">
        <v>2.6499999999999999E-2</v>
      </c>
      <c r="Q13" s="31">
        <v>75</v>
      </c>
      <c r="R13" s="31" t="s">
        <v>83</v>
      </c>
      <c r="S13" s="34">
        <v>75</v>
      </c>
      <c r="T13" s="31" t="s">
        <v>946</v>
      </c>
      <c r="U13" s="130">
        <v>45681</v>
      </c>
      <c r="V13" s="132">
        <f t="shared" si="6"/>
        <v>71.730537380000015</v>
      </c>
      <c r="W13" s="132" t="s">
        <v>949</v>
      </c>
    </row>
    <row r="14" spans="1:54" s="124" customFormat="1" x14ac:dyDescent="0.3">
      <c r="A14" s="127">
        <v>45680</v>
      </c>
      <c r="B14" s="128">
        <v>0.375</v>
      </c>
      <c r="C14" s="31" t="s">
        <v>70</v>
      </c>
      <c r="D14" s="31" t="s">
        <v>71</v>
      </c>
      <c r="E14" s="31" t="s">
        <v>919</v>
      </c>
      <c r="F14" s="31">
        <v>1</v>
      </c>
      <c r="G14" s="31" t="s">
        <v>72</v>
      </c>
      <c r="H14" s="31" t="s">
        <v>73</v>
      </c>
      <c r="I14" s="31" t="s">
        <v>81</v>
      </c>
      <c r="J14" s="31">
        <v>194</v>
      </c>
      <c r="K14" s="129">
        <v>45681</v>
      </c>
      <c r="L14" s="128">
        <v>0.45858796296296295</v>
      </c>
      <c r="M14" s="31">
        <v>1</v>
      </c>
      <c r="N14" s="31" t="s">
        <v>82</v>
      </c>
      <c r="O14" s="31">
        <v>0.64800000000000002</v>
      </c>
      <c r="P14" s="31">
        <v>5.7700000000000001E-2</v>
      </c>
      <c r="Q14" s="31">
        <v>150</v>
      </c>
      <c r="R14" s="31" t="s">
        <v>83</v>
      </c>
      <c r="S14" s="34">
        <v>150</v>
      </c>
      <c r="T14" s="31" t="s">
        <v>946</v>
      </c>
      <c r="U14" s="130">
        <v>45681</v>
      </c>
      <c r="V14" s="132">
        <f t="shared" si="6"/>
        <v>152.34083888000001</v>
      </c>
      <c r="W14" s="132" t="s">
        <v>949</v>
      </c>
    </row>
    <row r="15" spans="1:54" s="124" customFormat="1" x14ac:dyDescent="0.3">
      <c r="A15" s="127">
        <v>45680</v>
      </c>
      <c r="B15" s="128">
        <v>0.375</v>
      </c>
      <c r="C15" s="31" t="s">
        <v>70</v>
      </c>
      <c r="D15" s="31" t="s">
        <v>71</v>
      </c>
      <c r="E15" s="31" t="s">
        <v>920</v>
      </c>
      <c r="F15" s="31">
        <v>1</v>
      </c>
      <c r="G15" s="31" t="s">
        <v>72</v>
      </c>
      <c r="H15" s="31" t="s">
        <v>73</v>
      </c>
      <c r="I15" s="31" t="s">
        <v>81</v>
      </c>
      <c r="J15" s="31">
        <v>195</v>
      </c>
      <c r="K15" s="129">
        <v>45681</v>
      </c>
      <c r="L15" s="128">
        <v>0.45915509259259263</v>
      </c>
      <c r="M15" s="31">
        <v>1</v>
      </c>
      <c r="N15" s="31" t="s">
        <v>82</v>
      </c>
      <c r="O15" s="31">
        <v>1.39</v>
      </c>
      <c r="P15" s="31">
        <v>0.128</v>
      </c>
      <c r="Q15" s="31">
        <v>300</v>
      </c>
      <c r="R15" s="31" t="s">
        <v>83</v>
      </c>
      <c r="S15" s="34">
        <v>300</v>
      </c>
      <c r="T15" s="31" t="s">
        <v>946</v>
      </c>
      <c r="U15" s="130">
        <v>45681</v>
      </c>
      <c r="V15" s="132">
        <f t="shared" si="6"/>
        <v>299.65537449999999</v>
      </c>
      <c r="W15" s="132" t="s">
        <v>949</v>
      </c>
    </row>
    <row r="16" spans="1:54" s="124" customFormat="1" x14ac:dyDescent="0.3">
      <c r="A16" s="32">
        <v>45685</v>
      </c>
      <c r="B16" s="33">
        <v>0.375</v>
      </c>
      <c r="C16" s="10" t="s">
        <v>70</v>
      </c>
      <c r="D16" s="10" t="s">
        <v>71</v>
      </c>
      <c r="E16" s="10" t="s">
        <v>914</v>
      </c>
      <c r="F16" s="10">
        <v>1</v>
      </c>
      <c r="G16" s="10" t="s">
        <v>72</v>
      </c>
      <c r="H16" s="10" t="s">
        <v>73</v>
      </c>
      <c r="I16" s="10" t="s">
        <v>81</v>
      </c>
      <c r="J16" s="10">
        <v>189</v>
      </c>
      <c r="K16" s="12">
        <v>45686</v>
      </c>
      <c r="L16" s="33">
        <v>0.62340277777777775</v>
      </c>
      <c r="M16" s="10">
        <v>1</v>
      </c>
      <c r="N16" s="10" t="s">
        <v>82</v>
      </c>
      <c r="O16" s="10">
        <v>2.23E-2</v>
      </c>
      <c r="P16" s="10">
        <v>2.5999999999999999E-3</v>
      </c>
      <c r="Q16" s="10">
        <v>0</v>
      </c>
      <c r="R16" s="10" t="s">
        <v>83</v>
      </c>
      <c r="S16" s="123">
        <v>0</v>
      </c>
      <c r="T16" s="10" t="s">
        <v>961</v>
      </c>
      <c r="U16" s="45">
        <v>45686</v>
      </c>
      <c r="V16" s="124">
        <f>-59.51*O16^2+334.39*O16-4.4</f>
        <v>3.0273032720999993</v>
      </c>
      <c r="W16" s="124" t="s">
        <v>965</v>
      </c>
    </row>
    <row r="17" spans="1:23" s="124" customFormat="1" x14ac:dyDescent="0.3">
      <c r="A17" s="32">
        <v>45685</v>
      </c>
      <c r="B17" s="33">
        <v>0.375</v>
      </c>
      <c r="C17" s="10" t="s">
        <v>70</v>
      </c>
      <c r="D17" s="10" t="s">
        <v>71</v>
      </c>
      <c r="E17" s="10" t="s">
        <v>915</v>
      </c>
      <c r="F17" s="10">
        <v>1</v>
      </c>
      <c r="G17" s="10" t="s">
        <v>72</v>
      </c>
      <c r="H17" s="10" t="s">
        <v>73</v>
      </c>
      <c r="I17" s="10" t="s">
        <v>81</v>
      </c>
      <c r="J17" s="10">
        <v>190</v>
      </c>
      <c r="K17" s="12">
        <v>45686</v>
      </c>
      <c r="L17" s="33">
        <v>0.62398148148148147</v>
      </c>
      <c r="M17" s="10">
        <v>1</v>
      </c>
      <c r="N17" s="10" t="s">
        <v>82</v>
      </c>
      <c r="O17" s="10">
        <v>3.7900000000000003E-2</v>
      </c>
      <c r="P17" s="10">
        <v>2.99E-3</v>
      </c>
      <c r="Q17" s="10">
        <v>5</v>
      </c>
      <c r="R17" s="10" t="s">
        <v>83</v>
      </c>
      <c r="S17" s="123">
        <v>5</v>
      </c>
      <c r="T17" s="10" t="s">
        <v>961</v>
      </c>
      <c r="U17" s="45">
        <v>45686</v>
      </c>
      <c r="V17" s="124">
        <f t="shared" ref="V17:V22" si="7">-59.51*O17^2+334.39*O17-4.4</f>
        <v>8.1879002409000012</v>
      </c>
      <c r="W17" s="124" t="s">
        <v>965</v>
      </c>
    </row>
    <row r="18" spans="1:23" s="124" customFormat="1" x14ac:dyDescent="0.3">
      <c r="A18" s="32">
        <v>45685</v>
      </c>
      <c r="B18" s="33">
        <v>0.375</v>
      </c>
      <c r="C18" s="10" t="s">
        <v>70</v>
      </c>
      <c r="D18" s="10" t="s">
        <v>71</v>
      </c>
      <c r="E18" s="10" t="s">
        <v>916</v>
      </c>
      <c r="F18" s="10">
        <v>1</v>
      </c>
      <c r="G18" s="10" t="s">
        <v>72</v>
      </c>
      <c r="H18" s="10" t="s">
        <v>73</v>
      </c>
      <c r="I18" s="10" t="s">
        <v>81</v>
      </c>
      <c r="J18" s="10">
        <v>191</v>
      </c>
      <c r="K18" s="12">
        <v>45686</v>
      </c>
      <c r="L18" s="33">
        <v>0.62457175925925923</v>
      </c>
      <c r="M18" s="10">
        <v>1</v>
      </c>
      <c r="N18" s="10" t="s">
        <v>82</v>
      </c>
      <c r="O18" s="10">
        <v>5.62E-2</v>
      </c>
      <c r="P18" s="10">
        <v>4.5999999999999999E-3</v>
      </c>
      <c r="Q18" s="10">
        <v>15</v>
      </c>
      <c r="R18" s="10" t="s">
        <v>83</v>
      </c>
      <c r="S18" s="123">
        <v>15</v>
      </c>
      <c r="T18" s="10" t="s">
        <v>961</v>
      </c>
      <c r="U18" s="45">
        <v>45686</v>
      </c>
      <c r="V18" s="124">
        <f t="shared" si="7"/>
        <v>14.204759235599999</v>
      </c>
      <c r="W18" s="124" t="s">
        <v>965</v>
      </c>
    </row>
    <row r="19" spans="1:23" s="124" customFormat="1" x14ac:dyDescent="0.3">
      <c r="A19" s="32">
        <v>45685</v>
      </c>
      <c r="B19" s="33">
        <v>0.375</v>
      </c>
      <c r="C19" s="10" t="s">
        <v>70</v>
      </c>
      <c r="D19" s="10" t="s">
        <v>71</v>
      </c>
      <c r="E19" s="10" t="s">
        <v>917</v>
      </c>
      <c r="F19" s="10">
        <v>1</v>
      </c>
      <c r="G19" s="10" t="s">
        <v>72</v>
      </c>
      <c r="H19" s="10" t="s">
        <v>73</v>
      </c>
      <c r="I19" s="10" t="s">
        <v>81</v>
      </c>
      <c r="J19" s="10">
        <v>192</v>
      </c>
      <c r="K19" s="12">
        <v>45686</v>
      </c>
      <c r="L19" s="33">
        <v>0.62515046296296295</v>
      </c>
      <c r="M19" s="10">
        <v>1</v>
      </c>
      <c r="N19" s="10" t="s">
        <v>82</v>
      </c>
      <c r="O19" s="10">
        <v>6.4100000000000004E-2</v>
      </c>
      <c r="P19" s="10">
        <v>5.5199999999999997E-3</v>
      </c>
      <c r="Q19" s="10">
        <v>20</v>
      </c>
      <c r="R19" s="10" t="s">
        <v>83</v>
      </c>
      <c r="S19" s="123">
        <v>20</v>
      </c>
      <c r="T19" s="10" t="s">
        <v>961</v>
      </c>
      <c r="U19" s="45">
        <v>45686</v>
      </c>
      <c r="V19" s="124">
        <f t="shared" si="7"/>
        <v>16.7898837169</v>
      </c>
      <c r="W19" s="124" t="s">
        <v>965</v>
      </c>
    </row>
    <row r="20" spans="1:23" s="124" customFormat="1" x14ac:dyDescent="0.3">
      <c r="A20" s="32">
        <v>45685</v>
      </c>
      <c r="B20" s="33">
        <v>0.375</v>
      </c>
      <c r="C20" s="10" t="s">
        <v>70</v>
      </c>
      <c r="D20" s="10" t="s">
        <v>71</v>
      </c>
      <c r="E20" s="10" t="s">
        <v>918</v>
      </c>
      <c r="F20" s="10">
        <v>1</v>
      </c>
      <c r="G20" s="10" t="s">
        <v>72</v>
      </c>
      <c r="H20" s="10" t="s">
        <v>73</v>
      </c>
      <c r="I20" s="10" t="s">
        <v>81</v>
      </c>
      <c r="J20" s="10">
        <v>193</v>
      </c>
      <c r="K20" s="12">
        <v>45686</v>
      </c>
      <c r="L20" s="33">
        <v>0.62572916666666667</v>
      </c>
      <c r="M20" s="10">
        <v>1</v>
      </c>
      <c r="N20" s="10" t="s">
        <v>82</v>
      </c>
      <c r="O20" s="10">
        <v>0.23100000000000001</v>
      </c>
      <c r="P20" s="10">
        <v>2.58E-2</v>
      </c>
      <c r="Q20" s="10">
        <v>75</v>
      </c>
      <c r="R20" s="10" t="s">
        <v>83</v>
      </c>
      <c r="S20" s="123">
        <v>75</v>
      </c>
      <c r="T20" s="10" t="s">
        <v>961</v>
      </c>
      <c r="U20" s="45">
        <v>45686</v>
      </c>
      <c r="V20" s="124">
        <f t="shared" si="7"/>
        <v>69.668576889999997</v>
      </c>
      <c r="W20" s="124" t="s">
        <v>965</v>
      </c>
    </row>
    <row r="21" spans="1:23" s="124" customFormat="1" x14ac:dyDescent="0.3">
      <c r="A21" s="32">
        <v>45685</v>
      </c>
      <c r="B21" s="33">
        <v>0.375</v>
      </c>
      <c r="C21" s="10" t="s">
        <v>70</v>
      </c>
      <c r="D21" s="10" t="s">
        <v>71</v>
      </c>
      <c r="E21" s="10" t="s">
        <v>919</v>
      </c>
      <c r="F21" s="10">
        <v>1</v>
      </c>
      <c r="G21" s="10" t="s">
        <v>72</v>
      </c>
      <c r="H21" s="10" t="s">
        <v>73</v>
      </c>
      <c r="I21" s="10" t="s">
        <v>81</v>
      </c>
      <c r="J21" s="10">
        <v>194</v>
      </c>
      <c r="K21" s="12">
        <v>45686</v>
      </c>
      <c r="L21" s="33">
        <v>0.62630787037037039</v>
      </c>
      <c r="M21" s="10">
        <v>1</v>
      </c>
      <c r="N21" s="10" t="s">
        <v>82</v>
      </c>
      <c r="O21" s="10">
        <v>0.52100000000000002</v>
      </c>
      <c r="P21" s="10">
        <v>5.7299999999999997E-2</v>
      </c>
      <c r="Q21" s="10">
        <v>150</v>
      </c>
      <c r="R21" s="10" t="s">
        <v>83</v>
      </c>
      <c r="S21" s="123">
        <v>150</v>
      </c>
      <c r="T21" s="10" t="s">
        <v>961</v>
      </c>
      <c r="U21" s="45">
        <v>45686</v>
      </c>
      <c r="V21" s="124">
        <f t="shared" si="7"/>
        <v>153.66373608999999</v>
      </c>
      <c r="W21" s="124" t="s">
        <v>965</v>
      </c>
    </row>
    <row r="22" spans="1:23" s="124" customFormat="1" x14ac:dyDescent="0.3">
      <c r="A22" s="32">
        <v>45685</v>
      </c>
      <c r="B22" s="33">
        <v>0.375</v>
      </c>
      <c r="C22" s="10" t="s">
        <v>70</v>
      </c>
      <c r="D22" s="10" t="s">
        <v>71</v>
      </c>
      <c r="E22" s="10" t="s">
        <v>920</v>
      </c>
      <c r="F22" s="10">
        <v>1</v>
      </c>
      <c r="G22" s="10" t="s">
        <v>72</v>
      </c>
      <c r="H22" s="10" t="s">
        <v>73</v>
      </c>
      <c r="I22" s="10" t="s">
        <v>81</v>
      </c>
      <c r="J22" s="10">
        <v>195</v>
      </c>
      <c r="K22" s="12">
        <v>45686</v>
      </c>
      <c r="L22" s="33">
        <v>0.62689814814814815</v>
      </c>
      <c r="M22" s="10">
        <v>1</v>
      </c>
      <c r="N22" s="10" t="s">
        <v>82</v>
      </c>
      <c r="O22" s="10">
        <v>1.1399999999999999</v>
      </c>
      <c r="P22" s="10">
        <v>0.125</v>
      </c>
      <c r="Q22" s="10">
        <v>300</v>
      </c>
      <c r="R22" s="10" t="s">
        <v>83</v>
      </c>
      <c r="S22" s="123">
        <v>300</v>
      </c>
      <c r="T22" s="10" t="s">
        <v>961</v>
      </c>
      <c r="U22" s="45">
        <v>45686</v>
      </c>
      <c r="V22" s="124">
        <f t="shared" si="7"/>
        <v>299.46540400000004</v>
      </c>
      <c r="W22" s="124" t="s">
        <v>965</v>
      </c>
    </row>
    <row r="23" spans="1:23" s="124" customFormat="1" x14ac:dyDescent="0.3">
      <c r="A23" s="127">
        <v>45692</v>
      </c>
      <c r="B23" s="128">
        <v>0.375</v>
      </c>
      <c r="C23" s="31" t="s">
        <v>70</v>
      </c>
      <c r="D23" s="31" t="s">
        <v>71</v>
      </c>
      <c r="E23" s="31" t="s">
        <v>914</v>
      </c>
      <c r="F23" s="31">
        <v>1</v>
      </c>
      <c r="G23" s="31" t="s">
        <v>72</v>
      </c>
      <c r="H23" s="31" t="s">
        <v>73</v>
      </c>
      <c r="I23" s="31" t="s">
        <v>81</v>
      </c>
      <c r="J23" s="31">
        <v>189</v>
      </c>
      <c r="K23" s="129">
        <v>45692</v>
      </c>
      <c r="L23" s="128">
        <v>0.63512731481481477</v>
      </c>
      <c r="M23" s="31">
        <v>1</v>
      </c>
      <c r="N23" s="31" t="s">
        <v>82</v>
      </c>
      <c r="O23" s="31">
        <v>2.87E-2</v>
      </c>
      <c r="P23" s="31">
        <v>2.7299999999999998E-3</v>
      </c>
      <c r="Q23" s="31">
        <v>0</v>
      </c>
      <c r="R23" s="31" t="s">
        <v>83</v>
      </c>
      <c r="S23" s="34">
        <v>0</v>
      </c>
      <c r="T23" s="31" t="s">
        <v>972</v>
      </c>
      <c r="U23" s="130">
        <v>45692</v>
      </c>
      <c r="V23" s="132">
        <f>-47.205*O23^2+288.15*O23-6.3604</f>
        <v>1.8706227135499987</v>
      </c>
      <c r="W23" s="132" t="s">
        <v>975</v>
      </c>
    </row>
    <row r="24" spans="1:23" s="124" customFormat="1" x14ac:dyDescent="0.3">
      <c r="A24" s="127">
        <v>45692</v>
      </c>
      <c r="B24" s="128">
        <v>0.375</v>
      </c>
      <c r="C24" s="31" t="s">
        <v>70</v>
      </c>
      <c r="D24" s="31" t="s">
        <v>71</v>
      </c>
      <c r="E24" s="31" t="s">
        <v>915</v>
      </c>
      <c r="F24" s="31">
        <v>1</v>
      </c>
      <c r="G24" s="31" t="s">
        <v>72</v>
      </c>
      <c r="H24" s="31" t="s">
        <v>73</v>
      </c>
      <c r="I24" s="31" t="s">
        <v>81</v>
      </c>
      <c r="J24" s="31">
        <v>190</v>
      </c>
      <c r="K24" s="129">
        <v>45692</v>
      </c>
      <c r="L24" s="128">
        <v>0.63571759259259253</v>
      </c>
      <c r="M24" s="31">
        <v>1</v>
      </c>
      <c r="N24" s="31" t="s">
        <v>82</v>
      </c>
      <c r="O24" s="31">
        <v>4.6899999999999997E-2</v>
      </c>
      <c r="P24" s="31">
        <v>5.2199999999999998E-3</v>
      </c>
      <c r="Q24" s="31">
        <v>5</v>
      </c>
      <c r="R24" s="31" t="s">
        <v>83</v>
      </c>
      <c r="S24" s="34">
        <v>5</v>
      </c>
      <c r="T24" s="31" t="s">
        <v>972</v>
      </c>
      <c r="U24" s="130">
        <v>45692</v>
      </c>
      <c r="V24" s="132">
        <f t="shared" ref="V24:V29" si="8">-47.205*O24^2+288.15*O24-6.3604</f>
        <v>7.0500024099499967</v>
      </c>
      <c r="W24" s="132" t="s">
        <v>975</v>
      </c>
    </row>
    <row r="25" spans="1:23" s="124" customFormat="1" x14ac:dyDescent="0.3">
      <c r="A25" s="127">
        <v>45692</v>
      </c>
      <c r="B25" s="128">
        <v>0.375</v>
      </c>
      <c r="C25" s="31" t="s">
        <v>70</v>
      </c>
      <c r="D25" s="31" t="s">
        <v>71</v>
      </c>
      <c r="E25" s="31" t="s">
        <v>916</v>
      </c>
      <c r="F25" s="31">
        <v>1</v>
      </c>
      <c r="G25" s="31" t="s">
        <v>72</v>
      </c>
      <c r="H25" s="31" t="s">
        <v>73</v>
      </c>
      <c r="I25" s="31" t="s">
        <v>81</v>
      </c>
      <c r="J25" s="31">
        <v>191</v>
      </c>
      <c r="K25" s="129">
        <v>45692</v>
      </c>
      <c r="L25" s="128">
        <v>0.63629629629629625</v>
      </c>
      <c r="M25" s="31">
        <v>1</v>
      </c>
      <c r="N25" s="31" t="s">
        <v>82</v>
      </c>
      <c r="O25" s="31">
        <v>6.9900000000000004E-2</v>
      </c>
      <c r="P25" s="31">
        <v>4.2700000000000004E-3</v>
      </c>
      <c r="Q25" s="31">
        <v>15</v>
      </c>
      <c r="R25" s="31" t="s">
        <v>83</v>
      </c>
      <c r="S25" s="34">
        <v>15</v>
      </c>
      <c r="T25" s="31" t="s">
        <v>972</v>
      </c>
      <c r="U25" s="130">
        <v>45692</v>
      </c>
      <c r="V25" s="132">
        <f t="shared" si="8"/>
        <v>13.550640897949998</v>
      </c>
      <c r="W25" s="132" t="s">
        <v>975</v>
      </c>
    </row>
    <row r="26" spans="1:23" s="124" customFormat="1" x14ac:dyDescent="0.3">
      <c r="A26" s="127">
        <v>45692</v>
      </c>
      <c r="B26" s="128">
        <v>0.375</v>
      </c>
      <c r="C26" s="31" t="s">
        <v>70</v>
      </c>
      <c r="D26" s="31" t="s">
        <v>71</v>
      </c>
      <c r="E26" s="31" t="s">
        <v>917</v>
      </c>
      <c r="F26" s="31">
        <v>1</v>
      </c>
      <c r="G26" s="31" t="s">
        <v>72</v>
      </c>
      <c r="H26" s="31" t="s">
        <v>73</v>
      </c>
      <c r="I26" s="31" t="s">
        <v>81</v>
      </c>
      <c r="J26" s="31">
        <v>192</v>
      </c>
      <c r="K26" s="129">
        <v>45692</v>
      </c>
      <c r="L26" s="128">
        <v>0.63687499999999997</v>
      </c>
      <c r="M26" s="31">
        <v>1</v>
      </c>
      <c r="N26" s="31" t="s">
        <v>82</v>
      </c>
      <c r="O26" s="31">
        <v>8.5199999999999998E-2</v>
      </c>
      <c r="P26" s="31">
        <v>5.6899999999999997E-3</v>
      </c>
      <c r="Q26" s="31">
        <v>20</v>
      </c>
      <c r="R26" s="31" t="s">
        <v>83</v>
      </c>
      <c r="S26" s="34">
        <v>20</v>
      </c>
      <c r="T26" s="31" t="s">
        <v>972</v>
      </c>
      <c r="U26" s="130">
        <v>45692</v>
      </c>
      <c r="V26" s="132">
        <f t="shared" si="8"/>
        <v>17.847317016799998</v>
      </c>
      <c r="W26" s="132" t="s">
        <v>975</v>
      </c>
    </row>
    <row r="27" spans="1:23" s="124" customFormat="1" x14ac:dyDescent="0.3">
      <c r="A27" s="127">
        <v>45692</v>
      </c>
      <c r="B27" s="128">
        <v>0.375</v>
      </c>
      <c r="C27" s="31" t="s">
        <v>70</v>
      </c>
      <c r="D27" s="31" t="s">
        <v>71</v>
      </c>
      <c r="E27" s="31" t="s">
        <v>918</v>
      </c>
      <c r="F27" s="31">
        <v>1</v>
      </c>
      <c r="G27" s="31" t="s">
        <v>72</v>
      </c>
      <c r="H27" s="31" t="s">
        <v>73</v>
      </c>
      <c r="I27" s="31" t="s">
        <v>81</v>
      </c>
      <c r="J27" s="31">
        <v>193</v>
      </c>
      <c r="K27" s="129">
        <v>45692</v>
      </c>
      <c r="L27" s="128">
        <v>0.63746527777777773</v>
      </c>
      <c r="M27" s="31">
        <v>1</v>
      </c>
      <c r="N27" s="31" t="s">
        <v>82</v>
      </c>
      <c r="O27" s="31">
        <v>0.29099999999999998</v>
      </c>
      <c r="P27" s="31">
        <v>2.64E-2</v>
      </c>
      <c r="Q27" s="31">
        <v>75</v>
      </c>
      <c r="R27" s="31" t="s">
        <v>83</v>
      </c>
      <c r="S27" s="34">
        <v>75</v>
      </c>
      <c r="T27" s="31" t="s">
        <v>972</v>
      </c>
      <c r="U27" s="130">
        <v>45692</v>
      </c>
      <c r="V27" s="132">
        <f t="shared" si="8"/>
        <v>73.493883394999997</v>
      </c>
      <c r="W27" s="132" t="s">
        <v>975</v>
      </c>
    </row>
    <row r="28" spans="1:23" s="124" customFormat="1" x14ac:dyDescent="0.3">
      <c r="A28" s="127">
        <v>45692</v>
      </c>
      <c r="B28" s="128">
        <v>0.375</v>
      </c>
      <c r="C28" s="31" t="s">
        <v>70</v>
      </c>
      <c r="D28" s="31" t="s">
        <v>71</v>
      </c>
      <c r="E28" s="31" t="s">
        <v>919</v>
      </c>
      <c r="F28" s="31">
        <v>1</v>
      </c>
      <c r="G28" s="31" t="s">
        <v>72</v>
      </c>
      <c r="H28" s="31" t="s">
        <v>73</v>
      </c>
      <c r="I28" s="31" t="s">
        <v>81</v>
      </c>
      <c r="J28" s="31">
        <v>194</v>
      </c>
      <c r="K28" s="129">
        <v>45692</v>
      </c>
      <c r="L28" s="128">
        <v>0.63804398148148145</v>
      </c>
      <c r="M28" s="31">
        <v>1</v>
      </c>
      <c r="N28" s="31" t="s">
        <v>82</v>
      </c>
      <c r="O28" s="31">
        <v>0.60799999999999998</v>
      </c>
      <c r="P28" s="31">
        <v>5.6300000000000003E-2</v>
      </c>
      <c r="Q28" s="31">
        <v>150</v>
      </c>
      <c r="R28" s="31" t="s">
        <v>83</v>
      </c>
      <c r="S28" s="34">
        <v>150</v>
      </c>
      <c r="T28" s="31" t="s">
        <v>972</v>
      </c>
      <c r="U28" s="130">
        <v>45692</v>
      </c>
      <c r="V28" s="132">
        <f t="shared" si="8"/>
        <v>151.38481087999997</v>
      </c>
      <c r="W28" s="132" t="s">
        <v>975</v>
      </c>
    </row>
    <row r="29" spans="1:23" s="124" customFormat="1" x14ac:dyDescent="0.3">
      <c r="A29" s="127">
        <v>45692</v>
      </c>
      <c r="B29" s="128">
        <v>0.375</v>
      </c>
      <c r="C29" s="31" t="s">
        <v>70</v>
      </c>
      <c r="D29" s="31" t="s">
        <v>71</v>
      </c>
      <c r="E29" s="31" t="s">
        <v>920</v>
      </c>
      <c r="F29" s="31">
        <v>1</v>
      </c>
      <c r="G29" s="31" t="s">
        <v>72</v>
      </c>
      <c r="H29" s="31" t="s">
        <v>73</v>
      </c>
      <c r="I29" s="31" t="s">
        <v>81</v>
      </c>
      <c r="J29" s="31">
        <v>195</v>
      </c>
      <c r="K29" s="129">
        <v>45692</v>
      </c>
      <c r="L29" s="128">
        <v>0.63862268518518517</v>
      </c>
      <c r="M29" s="31">
        <v>1</v>
      </c>
      <c r="N29" s="31" t="s">
        <v>82</v>
      </c>
      <c r="O29" s="31">
        <v>1.37</v>
      </c>
      <c r="P29" s="31">
        <v>0.129</v>
      </c>
      <c r="Q29" s="31">
        <v>300</v>
      </c>
      <c r="R29" s="31" t="s">
        <v>83</v>
      </c>
      <c r="S29" s="34">
        <v>300</v>
      </c>
      <c r="T29" s="31" t="s">
        <v>972</v>
      </c>
      <c r="U29" s="130">
        <v>45692</v>
      </c>
      <c r="V29" s="132">
        <f t="shared" si="8"/>
        <v>299.80603549999995</v>
      </c>
      <c r="W29" s="132" t="s">
        <v>975</v>
      </c>
    </row>
    <row r="30" spans="1:23" s="124" customFormat="1" x14ac:dyDescent="0.3">
      <c r="A30" s="32">
        <v>45699</v>
      </c>
      <c r="B30" s="33">
        <v>0.375</v>
      </c>
      <c r="C30" s="10" t="s">
        <v>70</v>
      </c>
      <c r="D30" s="10" t="s">
        <v>71</v>
      </c>
      <c r="E30" s="10" t="s">
        <v>914</v>
      </c>
      <c r="F30" s="10">
        <v>1</v>
      </c>
      <c r="G30" s="10" t="s">
        <v>72</v>
      </c>
      <c r="H30" s="10" t="s">
        <v>73</v>
      </c>
      <c r="I30" s="10" t="s">
        <v>81</v>
      </c>
      <c r="J30" s="10">
        <v>189</v>
      </c>
      <c r="K30" s="12">
        <v>45699</v>
      </c>
      <c r="L30" s="33">
        <v>0.67869212962962966</v>
      </c>
      <c r="M30" s="10">
        <v>1</v>
      </c>
      <c r="N30" s="10" t="s">
        <v>82</v>
      </c>
      <c r="O30" s="10">
        <v>4.9599999999999998E-2</v>
      </c>
      <c r="P30" s="10">
        <v>3.0300000000000001E-3</v>
      </c>
      <c r="Q30" s="10">
        <v>0</v>
      </c>
      <c r="R30" s="10" t="s">
        <v>83</v>
      </c>
      <c r="S30" s="123">
        <v>0</v>
      </c>
      <c r="T30" s="10" t="s">
        <v>980</v>
      </c>
      <c r="U30" s="45">
        <v>45699</v>
      </c>
      <c r="V30" s="124">
        <f>-39.94*O30^2+303.47*O30-11.008</f>
        <v>3.9458532096000027</v>
      </c>
      <c r="W30" s="124" t="s">
        <v>983</v>
      </c>
    </row>
    <row r="31" spans="1:23" s="124" customFormat="1" x14ac:dyDescent="0.3">
      <c r="A31" s="32">
        <v>45699</v>
      </c>
      <c r="B31" s="33">
        <v>0.375</v>
      </c>
      <c r="C31" s="10" t="s">
        <v>70</v>
      </c>
      <c r="D31" s="10" t="s">
        <v>71</v>
      </c>
      <c r="E31" s="10" t="s">
        <v>915</v>
      </c>
      <c r="F31" s="10">
        <v>1</v>
      </c>
      <c r="G31" s="10" t="s">
        <v>72</v>
      </c>
      <c r="H31" s="10" t="s">
        <v>73</v>
      </c>
      <c r="I31" s="10" t="s">
        <v>81</v>
      </c>
      <c r="J31" s="10">
        <v>190</v>
      </c>
      <c r="K31" s="12">
        <v>45699</v>
      </c>
      <c r="L31" s="33">
        <v>0.68449074074074068</v>
      </c>
      <c r="M31" s="10">
        <v>1</v>
      </c>
      <c r="N31" s="10" t="s">
        <v>82</v>
      </c>
      <c r="O31" s="10">
        <v>7.0099999999999996E-2</v>
      </c>
      <c r="P31" s="10">
        <v>4.0200000000000001E-3</v>
      </c>
      <c r="Q31" s="10">
        <v>5</v>
      </c>
      <c r="R31" s="10" t="s">
        <v>83</v>
      </c>
      <c r="S31" s="123">
        <v>5</v>
      </c>
      <c r="T31" s="10" t="s">
        <v>980</v>
      </c>
      <c r="U31" s="45">
        <v>45699</v>
      </c>
      <c r="V31" s="124">
        <f t="shared" ref="V31:V36" si="9">-39.94*O31^2+303.47*O31-11.008</f>
        <v>10.068981440600002</v>
      </c>
      <c r="W31" s="124" t="s">
        <v>983</v>
      </c>
    </row>
    <row r="32" spans="1:23" s="124" customFormat="1" x14ac:dyDescent="0.3">
      <c r="A32" s="32">
        <v>45699</v>
      </c>
      <c r="B32" s="33">
        <v>0.375</v>
      </c>
      <c r="C32" s="10" t="s">
        <v>70</v>
      </c>
      <c r="D32" s="10" t="s">
        <v>71</v>
      </c>
      <c r="E32" s="10" t="s">
        <v>916</v>
      </c>
      <c r="F32" s="10">
        <v>1</v>
      </c>
      <c r="G32" s="10" t="s">
        <v>72</v>
      </c>
      <c r="H32" s="10" t="s">
        <v>73</v>
      </c>
      <c r="I32" s="10" t="s">
        <v>81</v>
      </c>
      <c r="J32" s="10">
        <v>191</v>
      </c>
      <c r="K32" s="12">
        <v>45699</v>
      </c>
      <c r="L32" s="33">
        <v>0.67986111111111114</v>
      </c>
      <c r="M32" s="10">
        <v>1</v>
      </c>
      <c r="N32" s="10" t="s">
        <v>82</v>
      </c>
      <c r="O32" s="10">
        <v>7.4999999999999997E-2</v>
      </c>
      <c r="P32" s="10">
        <v>6.1599999999999997E-3</v>
      </c>
      <c r="Q32" s="10">
        <v>15</v>
      </c>
      <c r="R32" s="10" t="s">
        <v>83</v>
      </c>
      <c r="S32" s="123">
        <v>15</v>
      </c>
      <c r="T32" s="10" t="s">
        <v>980</v>
      </c>
      <c r="U32" s="45">
        <v>45699</v>
      </c>
      <c r="V32" s="124">
        <f t="shared" si="9"/>
        <v>11.527587500000003</v>
      </c>
      <c r="W32" s="124" t="s">
        <v>983</v>
      </c>
    </row>
    <row r="33" spans="1:23" s="124" customFormat="1" x14ac:dyDescent="0.3">
      <c r="A33" s="32">
        <v>45699</v>
      </c>
      <c r="B33" s="33">
        <v>0.375</v>
      </c>
      <c r="C33" s="10" t="s">
        <v>70</v>
      </c>
      <c r="D33" s="10" t="s">
        <v>71</v>
      </c>
      <c r="E33" s="10" t="s">
        <v>917</v>
      </c>
      <c r="F33" s="10">
        <v>1</v>
      </c>
      <c r="G33" s="10" t="s">
        <v>72</v>
      </c>
      <c r="H33" s="10" t="s">
        <v>73</v>
      </c>
      <c r="I33" s="10" t="s">
        <v>81</v>
      </c>
      <c r="J33" s="10">
        <v>192</v>
      </c>
      <c r="K33" s="12">
        <v>45699</v>
      </c>
      <c r="L33" s="33">
        <v>0.68043981481481486</v>
      </c>
      <c r="M33" s="10">
        <v>1</v>
      </c>
      <c r="N33" s="10" t="s">
        <v>82</v>
      </c>
      <c r="O33" s="10">
        <v>8.48E-2</v>
      </c>
      <c r="P33" s="10">
        <v>6.5399999999999998E-3</v>
      </c>
      <c r="Q33" s="10">
        <v>20</v>
      </c>
      <c r="R33" s="10" t="s">
        <v>83</v>
      </c>
      <c r="S33" s="123">
        <v>20</v>
      </c>
      <c r="T33" s="10" t="s">
        <v>980</v>
      </c>
      <c r="U33" s="45">
        <v>45699</v>
      </c>
      <c r="V33" s="124">
        <f t="shared" si="9"/>
        <v>14.439045862400004</v>
      </c>
      <c r="W33" s="124" t="s">
        <v>983</v>
      </c>
    </row>
    <row r="34" spans="1:23" s="124" customFormat="1" x14ac:dyDescent="0.3">
      <c r="A34" s="32">
        <v>45699</v>
      </c>
      <c r="B34" s="33">
        <v>0.375</v>
      </c>
      <c r="C34" s="10" t="s">
        <v>70</v>
      </c>
      <c r="D34" s="10" t="s">
        <v>71</v>
      </c>
      <c r="E34" s="10" t="s">
        <v>918</v>
      </c>
      <c r="F34" s="10">
        <v>1</v>
      </c>
      <c r="G34" s="10" t="s">
        <v>72</v>
      </c>
      <c r="H34" s="10" t="s">
        <v>73</v>
      </c>
      <c r="I34" s="10" t="s">
        <v>81</v>
      </c>
      <c r="J34" s="10">
        <v>193</v>
      </c>
      <c r="K34" s="12">
        <v>45699</v>
      </c>
      <c r="L34" s="33">
        <v>0.68101851851851858</v>
      </c>
      <c r="M34" s="10">
        <v>1</v>
      </c>
      <c r="N34" s="10" t="s">
        <v>82</v>
      </c>
      <c r="O34" s="10">
        <v>0.29099999999999998</v>
      </c>
      <c r="P34" s="10">
        <v>2.87E-2</v>
      </c>
      <c r="Q34" s="10">
        <v>75</v>
      </c>
      <c r="R34" s="10" t="s">
        <v>83</v>
      </c>
      <c r="S34" s="123">
        <v>75</v>
      </c>
      <c r="T34" s="10" t="s">
        <v>980</v>
      </c>
      <c r="U34" s="45">
        <v>45699</v>
      </c>
      <c r="V34" s="124">
        <f t="shared" si="9"/>
        <v>73.919610860000006</v>
      </c>
      <c r="W34" s="124" t="s">
        <v>983</v>
      </c>
    </row>
    <row r="35" spans="1:23" s="124" customFormat="1" x14ac:dyDescent="0.3">
      <c r="A35" s="32">
        <v>45699</v>
      </c>
      <c r="B35" s="33">
        <v>0.375</v>
      </c>
      <c r="C35" s="10" t="s">
        <v>70</v>
      </c>
      <c r="D35" s="10" t="s">
        <v>71</v>
      </c>
      <c r="E35" s="10" t="s">
        <v>919</v>
      </c>
      <c r="F35" s="10">
        <v>1</v>
      </c>
      <c r="G35" s="10" t="s">
        <v>72</v>
      </c>
      <c r="H35" s="10" t="s">
        <v>73</v>
      </c>
      <c r="I35" s="10" t="s">
        <v>81</v>
      </c>
      <c r="J35" s="10">
        <v>194</v>
      </c>
      <c r="K35" s="12">
        <v>45699</v>
      </c>
      <c r="L35" s="33">
        <v>0.6815972222222223</v>
      </c>
      <c r="M35" s="10">
        <v>1</v>
      </c>
      <c r="N35" s="10" t="s">
        <v>82</v>
      </c>
      <c r="O35" s="10">
        <v>0.57899999999999996</v>
      </c>
      <c r="P35" s="10">
        <v>6.1499999999999999E-2</v>
      </c>
      <c r="Q35" s="10">
        <v>150</v>
      </c>
      <c r="R35" s="10" t="s">
        <v>83</v>
      </c>
      <c r="S35" s="123">
        <v>150</v>
      </c>
      <c r="T35" s="10" t="s">
        <v>980</v>
      </c>
      <c r="U35" s="45">
        <v>45699</v>
      </c>
      <c r="V35" s="124">
        <f t="shared" si="9"/>
        <v>151.31160446000001</v>
      </c>
      <c r="W35" s="124" t="s">
        <v>983</v>
      </c>
    </row>
    <row r="36" spans="1:23" s="124" customFormat="1" x14ac:dyDescent="0.3">
      <c r="A36" s="32">
        <v>45699</v>
      </c>
      <c r="B36" s="33">
        <v>0.375</v>
      </c>
      <c r="C36" s="10" t="s">
        <v>70</v>
      </c>
      <c r="D36" s="10" t="s">
        <v>71</v>
      </c>
      <c r="E36" s="10" t="s">
        <v>920</v>
      </c>
      <c r="F36" s="10">
        <v>1</v>
      </c>
      <c r="G36" s="10" t="s">
        <v>72</v>
      </c>
      <c r="H36" s="10" t="s">
        <v>73</v>
      </c>
      <c r="I36" s="10" t="s">
        <v>81</v>
      </c>
      <c r="J36" s="10">
        <v>195</v>
      </c>
      <c r="K36" s="12">
        <v>45699</v>
      </c>
      <c r="L36" s="33">
        <v>0.68218749999999995</v>
      </c>
      <c r="M36" s="10">
        <v>1</v>
      </c>
      <c r="N36" s="10" t="s">
        <v>82</v>
      </c>
      <c r="O36" s="10">
        <v>1.22</v>
      </c>
      <c r="P36" s="10">
        <v>0.13500000000000001</v>
      </c>
      <c r="Q36" s="10">
        <v>300</v>
      </c>
      <c r="R36" s="10" t="s">
        <v>83</v>
      </c>
      <c r="S36" s="123">
        <v>300</v>
      </c>
      <c r="T36" s="10" t="s">
        <v>980</v>
      </c>
      <c r="U36" s="45">
        <v>45699</v>
      </c>
      <c r="V36" s="124">
        <f t="shared" si="9"/>
        <v>299.77870400000006</v>
      </c>
      <c r="W36" s="124" t="s">
        <v>983</v>
      </c>
    </row>
    <row r="37" spans="1:23" s="124" customFormat="1" x14ac:dyDescent="0.3"/>
    <row r="38" spans="1:23" s="124" customFormat="1" x14ac:dyDescent="0.3"/>
    <row r="39" spans="1:23" s="124" customFormat="1" x14ac:dyDescent="0.3"/>
    <row r="40" spans="1:23" s="124" customFormat="1" x14ac:dyDescent="0.3"/>
    <row r="41" spans="1:23" s="124" customFormat="1" x14ac:dyDescent="0.3"/>
    <row r="42" spans="1:23" s="124" customFormat="1" x14ac:dyDescent="0.3"/>
    <row r="43" spans="1:23" s="124" customFormat="1" x14ac:dyDescent="0.3"/>
    <row r="44" spans="1:23" s="124" customFormat="1" x14ac:dyDescent="0.3"/>
    <row r="45" spans="1:23" s="124" customFormat="1" x14ac:dyDescent="0.3"/>
    <row r="46" spans="1:23" s="124" customFormat="1" x14ac:dyDescent="0.3"/>
    <row r="47" spans="1:23" s="124" customFormat="1" x14ac:dyDescent="0.3"/>
    <row r="48" spans="1:23" s="124" customFormat="1" x14ac:dyDescent="0.3"/>
    <row r="49" s="124" customFormat="1" x14ac:dyDescent="0.3"/>
    <row r="50" s="124" customFormat="1" x14ac:dyDescent="0.3"/>
    <row r="51" s="124" customFormat="1" x14ac:dyDescent="0.3"/>
    <row r="52" s="124" customFormat="1" x14ac:dyDescent="0.3"/>
    <row r="53" s="124" customFormat="1" x14ac:dyDescent="0.3"/>
    <row r="54" s="124" customFormat="1" x14ac:dyDescent="0.3"/>
    <row r="55" s="124" customFormat="1" x14ac:dyDescent="0.3"/>
    <row r="56" s="124" customFormat="1" x14ac:dyDescent="0.3"/>
    <row r="57" s="124" customFormat="1" x14ac:dyDescent="0.3"/>
    <row r="58" s="124" customFormat="1" x14ac:dyDescent="0.3"/>
    <row r="59" s="124" customFormat="1" x14ac:dyDescent="0.3"/>
    <row r="60" s="124" customFormat="1" x14ac:dyDescent="0.3"/>
    <row r="61" s="124" customFormat="1" x14ac:dyDescent="0.3"/>
    <row r="62" s="124" customFormat="1" x14ac:dyDescent="0.3"/>
    <row r="63" s="124" customFormat="1" x14ac:dyDescent="0.3"/>
    <row r="64" s="124" customFormat="1" x14ac:dyDescent="0.3"/>
    <row r="65" s="124" customFormat="1" x14ac:dyDescent="0.3"/>
    <row r="66" s="124" customFormat="1" x14ac:dyDescent="0.3"/>
    <row r="67" s="124" customFormat="1" x14ac:dyDescent="0.3"/>
    <row r="68" s="124" customFormat="1" x14ac:dyDescent="0.3"/>
    <row r="69" s="124" customFormat="1" x14ac:dyDescent="0.3"/>
    <row r="70" s="124" customFormat="1" x14ac:dyDescent="0.3"/>
    <row r="71" s="124" customFormat="1" x14ac:dyDescent="0.3"/>
    <row r="72" s="124" customFormat="1" x14ac:dyDescent="0.3"/>
    <row r="73" s="124" customFormat="1" x14ac:dyDescent="0.3"/>
    <row r="74" s="124" customFormat="1" x14ac:dyDescent="0.3"/>
    <row r="75" s="124" customFormat="1" x14ac:dyDescent="0.3"/>
    <row r="76" s="124" customFormat="1" x14ac:dyDescent="0.3"/>
    <row r="77" s="124" customFormat="1" x14ac:dyDescent="0.3"/>
    <row r="78" s="124" customFormat="1" x14ac:dyDescent="0.3"/>
    <row r="79" s="124" customFormat="1" x14ac:dyDescent="0.3"/>
    <row r="80" s="124" customFormat="1" x14ac:dyDescent="0.3"/>
    <row r="81" s="124" customFormat="1" x14ac:dyDescent="0.3"/>
    <row r="82" s="124" customFormat="1" x14ac:dyDescent="0.3"/>
    <row r="83" s="124" customFormat="1" x14ac:dyDescent="0.3"/>
    <row r="84" s="124" customFormat="1" x14ac:dyDescent="0.3"/>
    <row r="85" s="124" customFormat="1" x14ac:dyDescent="0.3"/>
    <row r="86" s="124" customFormat="1" x14ac:dyDescent="0.3"/>
    <row r="87" s="124" customFormat="1" x14ac:dyDescent="0.3"/>
    <row r="88" s="124" customFormat="1" x14ac:dyDescent="0.3"/>
    <row r="89" s="124" customFormat="1" x14ac:dyDescent="0.3"/>
    <row r="90" s="124" customFormat="1" x14ac:dyDescent="0.3"/>
    <row r="91" s="124" customFormat="1" x14ac:dyDescent="0.3"/>
    <row r="92" s="124" customFormat="1" x14ac:dyDescent="0.3"/>
    <row r="93" s="124" customFormat="1" x14ac:dyDescent="0.3"/>
    <row r="94" s="124" customFormat="1" x14ac:dyDescent="0.3"/>
    <row r="95" s="124" customFormat="1" x14ac:dyDescent="0.3"/>
    <row r="96" s="124" customFormat="1" x14ac:dyDescent="0.3"/>
    <row r="97" s="124" customFormat="1" x14ac:dyDescent="0.3"/>
    <row r="98" s="124" customFormat="1" x14ac:dyDescent="0.3"/>
    <row r="99" s="124" customFormat="1" x14ac:dyDescent="0.3"/>
    <row r="100" s="124" customFormat="1" x14ac:dyDescent="0.3"/>
    <row r="101" s="124" customFormat="1" x14ac:dyDescent="0.3"/>
    <row r="102" s="124" customFormat="1" x14ac:dyDescent="0.3"/>
    <row r="103" s="124" customFormat="1" x14ac:dyDescent="0.3"/>
    <row r="104" s="124" customFormat="1" x14ac:dyDescent="0.3"/>
    <row r="105" s="124" customFormat="1" x14ac:dyDescent="0.3"/>
    <row r="106" s="124" customFormat="1" x14ac:dyDescent="0.3"/>
    <row r="107" s="124" customFormat="1" x14ac:dyDescent="0.3"/>
    <row r="108" s="124" customFormat="1" x14ac:dyDescent="0.3"/>
    <row r="109" s="124" customFormat="1" x14ac:dyDescent="0.3"/>
    <row r="110" s="124" customFormat="1" x14ac:dyDescent="0.3"/>
    <row r="111" s="124" customFormat="1" x14ac:dyDescent="0.3"/>
    <row r="112" s="124" customFormat="1" x14ac:dyDescent="0.3"/>
    <row r="113" spans="1:54" x14ac:dyDescent="0.3">
      <c r="A113" s="124"/>
      <c r="B113" s="124"/>
      <c r="C113" s="124"/>
      <c r="D113" s="124"/>
      <c r="E113" s="124"/>
      <c r="F113" s="124"/>
      <c r="G113" s="124"/>
      <c r="H113" s="124"/>
      <c r="I113" s="124"/>
      <c r="J113" s="124"/>
      <c r="K113" s="124"/>
      <c r="L113" s="124"/>
      <c r="M113" s="124"/>
      <c r="N113" s="124"/>
      <c r="O113" s="124"/>
      <c r="P113" s="124"/>
      <c r="Q113" s="124"/>
      <c r="R113" s="124"/>
      <c r="S113" s="124"/>
      <c r="T113" s="124"/>
      <c r="U113" s="124"/>
      <c r="V113" s="124"/>
      <c r="W113" s="124"/>
      <c r="AF113" s="124"/>
      <c r="AG113" s="124"/>
      <c r="AH113" s="124"/>
      <c r="AI113" s="124"/>
      <c r="AJ113" s="124"/>
      <c r="AK113" s="124"/>
      <c r="AL113" s="124"/>
      <c r="AM113" s="124"/>
      <c r="AN113" s="124"/>
      <c r="AO113" s="124"/>
      <c r="AP113" s="124"/>
      <c r="AQ113" s="124"/>
      <c r="AR113" s="124"/>
      <c r="AS113" s="124"/>
      <c r="AT113" s="124"/>
      <c r="AU113" s="124"/>
      <c r="AV113" s="124"/>
      <c r="AW113" s="124"/>
      <c r="AX113" s="124"/>
      <c r="AY113" s="124"/>
      <c r="AZ113" s="124"/>
      <c r="BA113" s="124"/>
      <c r="BB113" s="124"/>
    </row>
    <row r="114" spans="1:54" x14ac:dyDescent="0.3">
      <c r="A114" s="124"/>
      <c r="B114" s="124"/>
      <c r="C114" s="124"/>
      <c r="D114" s="124"/>
      <c r="E114" s="124"/>
      <c r="F114" s="124"/>
      <c r="G114" s="124"/>
      <c r="H114" s="124"/>
      <c r="I114" s="124"/>
      <c r="J114" s="124"/>
      <c r="K114" s="124"/>
      <c r="L114" s="124"/>
      <c r="M114" s="124"/>
      <c r="N114" s="124"/>
      <c r="O114" s="124"/>
      <c r="P114" s="124"/>
      <c r="Q114" s="124"/>
      <c r="R114" s="124"/>
      <c r="S114" s="124"/>
      <c r="T114" s="124"/>
      <c r="U114" s="124"/>
      <c r="V114" s="124"/>
      <c r="W114" s="124"/>
      <c r="AF114" s="124"/>
      <c r="AG114" s="124"/>
      <c r="AH114" s="124"/>
      <c r="AI114" s="124"/>
      <c r="AJ114" s="124"/>
      <c r="AK114" s="124"/>
      <c r="AL114" s="124"/>
      <c r="AM114" s="124"/>
      <c r="AN114" s="124"/>
      <c r="AO114" s="124"/>
      <c r="AP114" s="124"/>
      <c r="AQ114" s="124"/>
      <c r="AR114" s="124"/>
      <c r="AS114" s="124"/>
      <c r="AT114" s="124"/>
      <c r="AU114" s="124"/>
      <c r="AV114" s="124"/>
      <c r="AW114" s="124"/>
      <c r="AX114" s="124"/>
      <c r="AY114" s="124"/>
      <c r="AZ114" s="124"/>
      <c r="BA114" s="124"/>
      <c r="BB114" s="124"/>
    </row>
    <row r="115" spans="1:54" x14ac:dyDescent="0.3">
      <c r="A115" s="124"/>
      <c r="B115" s="124"/>
      <c r="C115" s="124"/>
      <c r="D115" s="124"/>
      <c r="E115" s="124"/>
      <c r="F115" s="124"/>
      <c r="G115" s="124"/>
      <c r="H115" s="124"/>
      <c r="I115" s="124"/>
      <c r="J115" s="124"/>
      <c r="K115" s="124"/>
      <c r="L115" s="124"/>
      <c r="M115" s="124"/>
      <c r="N115" s="124"/>
      <c r="O115" s="124"/>
      <c r="P115" s="124"/>
      <c r="Q115" s="124"/>
      <c r="R115" s="124"/>
      <c r="S115" s="124"/>
      <c r="T115" s="124"/>
      <c r="U115" s="124"/>
      <c r="V115" s="124"/>
      <c r="W115" s="124"/>
      <c r="AF115" s="124"/>
      <c r="AG115" s="124"/>
      <c r="AH115" s="124"/>
      <c r="AI115" s="124"/>
      <c r="AJ115" s="124"/>
      <c r="AK115" s="124"/>
      <c r="AL115" s="124"/>
      <c r="AM115" s="124"/>
      <c r="AN115" s="124"/>
      <c r="AO115" s="124"/>
      <c r="AP115" s="124"/>
      <c r="AQ115" s="124"/>
      <c r="AR115" s="124"/>
      <c r="AS115" s="124"/>
      <c r="AT115" s="124"/>
      <c r="AU115" s="124"/>
      <c r="AV115" s="124"/>
      <c r="AW115" s="124"/>
      <c r="AX115" s="124"/>
      <c r="AY115" s="124"/>
      <c r="AZ115" s="124"/>
      <c r="BA115" s="124"/>
      <c r="BB115" s="124"/>
    </row>
    <row r="116" spans="1:54" x14ac:dyDescent="0.3">
      <c r="A116" s="124"/>
      <c r="B116" s="124"/>
      <c r="C116" s="124"/>
      <c r="D116" s="124"/>
      <c r="E116" s="124"/>
      <c r="F116" s="124"/>
      <c r="G116" s="124"/>
      <c r="H116" s="124"/>
      <c r="I116" s="124"/>
      <c r="J116" s="124"/>
      <c r="K116" s="124"/>
      <c r="L116" s="124"/>
      <c r="M116" s="124"/>
      <c r="N116" s="124"/>
      <c r="O116" s="124"/>
      <c r="P116" s="124"/>
      <c r="Q116" s="124"/>
      <c r="R116" s="124"/>
      <c r="S116" s="124"/>
      <c r="T116" s="124"/>
      <c r="U116" s="124"/>
      <c r="V116" s="124"/>
      <c r="W116" s="124"/>
      <c r="AF116" s="124"/>
      <c r="AG116" s="124"/>
      <c r="AH116" s="124"/>
      <c r="AI116" s="124"/>
      <c r="AJ116" s="124"/>
      <c r="AK116" s="124"/>
      <c r="AL116" s="124"/>
      <c r="AM116" s="124"/>
      <c r="AN116" s="124"/>
      <c r="AO116" s="124"/>
      <c r="AP116" s="124"/>
      <c r="AQ116" s="124"/>
      <c r="AR116" s="124"/>
      <c r="AS116" s="124"/>
      <c r="AT116" s="124"/>
      <c r="AU116" s="124"/>
      <c r="AV116" s="124"/>
      <c r="AW116" s="124"/>
      <c r="AX116" s="124"/>
      <c r="AY116" s="124"/>
      <c r="AZ116" s="124"/>
      <c r="BA116" s="124"/>
      <c r="BB116" s="124"/>
    </row>
    <row r="117" spans="1:54" x14ac:dyDescent="0.3">
      <c r="A117" s="124"/>
      <c r="B117" s="124"/>
      <c r="C117" s="124"/>
      <c r="D117" s="124"/>
      <c r="E117" s="124"/>
      <c r="F117" s="124"/>
      <c r="G117" s="124"/>
      <c r="H117" s="124"/>
      <c r="I117" s="124"/>
      <c r="J117" s="124"/>
      <c r="K117" s="124"/>
      <c r="L117" s="124"/>
      <c r="M117" s="124"/>
      <c r="N117" s="124"/>
      <c r="O117" s="124"/>
      <c r="P117" s="124"/>
      <c r="Q117" s="124"/>
      <c r="R117" s="124"/>
      <c r="S117" s="124"/>
      <c r="T117" s="124"/>
      <c r="U117" s="124"/>
      <c r="V117" s="124"/>
      <c r="W117" s="124"/>
      <c r="AF117" s="124"/>
      <c r="AG117" s="124"/>
      <c r="AH117" s="124"/>
      <c r="AI117" s="124"/>
      <c r="AJ117" s="124"/>
      <c r="AK117" s="124"/>
      <c r="AL117" s="124"/>
      <c r="AM117" s="124"/>
      <c r="AN117" s="124"/>
      <c r="AO117" s="124"/>
      <c r="AP117" s="124"/>
      <c r="AQ117" s="124"/>
      <c r="AR117" s="124"/>
      <c r="AS117" s="124"/>
      <c r="AT117" s="124"/>
      <c r="AU117" s="124"/>
      <c r="AV117" s="124"/>
      <c r="AW117" s="124"/>
      <c r="AX117" s="124"/>
      <c r="AY117" s="124"/>
      <c r="AZ117" s="124"/>
      <c r="BA117" s="124"/>
      <c r="BB117" s="124"/>
    </row>
    <row r="118" spans="1:54" x14ac:dyDescent="0.3">
      <c r="A118" s="124"/>
      <c r="B118" s="124"/>
      <c r="C118" s="124"/>
      <c r="D118" s="124"/>
      <c r="E118" s="124"/>
      <c r="F118" s="124"/>
      <c r="G118" s="124"/>
      <c r="H118" s="124"/>
      <c r="I118" s="124"/>
      <c r="J118" s="124"/>
      <c r="K118" s="124"/>
      <c r="L118" s="124"/>
      <c r="M118" s="124"/>
      <c r="N118" s="124"/>
      <c r="O118" s="124"/>
      <c r="P118" s="124"/>
      <c r="Q118" s="124"/>
      <c r="R118" s="124"/>
      <c r="S118" s="124"/>
      <c r="T118" s="124"/>
      <c r="U118" s="124"/>
      <c r="V118" s="124"/>
      <c r="W118" s="124"/>
      <c r="AF118" s="124"/>
      <c r="AG118" s="124"/>
      <c r="AH118" s="124"/>
      <c r="AI118" s="124"/>
      <c r="AJ118" s="124"/>
      <c r="AK118" s="124"/>
      <c r="AL118" s="124"/>
      <c r="AM118" s="124"/>
      <c r="AN118" s="124"/>
      <c r="AO118" s="124"/>
      <c r="AP118" s="124"/>
      <c r="AQ118" s="124"/>
      <c r="AR118" s="124"/>
      <c r="AS118" s="124"/>
      <c r="AT118" s="124"/>
      <c r="AU118" s="124"/>
      <c r="AV118" s="124"/>
      <c r="AW118" s="124"/>
      <c r="AX118" s="124"/>
      <c r="AY118" s="124"/>
      <c r="AZ118" s="124"/>
      <c r="BA118" s="124"/>
      <c r="BB118" s="124"/>
    </row>
    <row r="119" spans="1:54" x14ac:dyDescent="0.3">
      <c r="A119" s="124"/>
      <c r="B119" s="124"/>
      <c r="C119" s="124"/>
      <c r="D119" s="124"/>
      <c r="E119" s="124"/>
      <c r="F119" s="124"/>
      <c r="G119" s="124"/>
      <c r="H119" s="124"/>
      <c r="I119" s="124"/>
      <c r="J119" s="124"/>
      <c r="K119" s="124"/>
      <c r="L119" s="124"/>
      <c r="M119" s="124"/>
      <c r="N119" s="124"/>
      <c r="O119" s="124"/>
      <c r="P119" s="124"/>
      <c r="Q119" s="124"/>
      <c r="R119" s="124"/>
      <c r="S119" s="124"/>
      <c r="T119" s="124"/>
      <c r="U119" s="124"/>
      <c r="V119" s="124"/>
      <c r="W119" s="124"/>
      <c r="AF119" s="124"/>
      <c r="AG119" s="124"/>
      <c r="AH119" s="124"/>
      <c r="AI119" s="124"/>
      <c r="AJ119" s="124"/>
      <c r="AK119" s="124"/>
      <c r="AL119" s="124"/>
      <c r="AM119" s="124"/>
      <c r="AN119" s="124"/>
      <c r="AO119" s="124"/>
      <c r="AP119" s="124"/>
      <c r="AQ119" s="124"/>
      <c r="AR119" s="124"/>
      <c r="AS119" s="124"/>
      <c r="AT119" s="124"/>
      <c r="AU119" s="124"/>
      <c r="AV119" s="124"/>
      <c r="AW119" s="124"/>
      <c r="AX119" s="124"/>
      <c r="AY119" s="124"/>
      <c r="AZ119" s="124"/>
      <c r="BA119" s="124"/>
      <c r="BB119" s="124"/>
    </row>
    <row r="120" spans="1:54" x14ac:dyDescent="0.3">
      <c r="A120" s="124"/>
      <c r="B120" s="124"/>
      <c r="C120" s="124"/>
      <c r="D120" s="124"/>
      <c r="E120" s="124"/>
      <c r="F120" s="124"/>
      <c r="G120" s="124"/>
      <c r="H120" s="124"/>
      <c r="I120" s="124"/>
      <c r="J120" s="124"/>
      <c r="K120" s="124"/>
      <c r="L120" s="124"/>
      <c r="M120" s="124"/>
      <c r="N120" s="124"/>
      <c r="O120" s="124"/>
      <c r="P120" s="124"/>
      <c r="Q120" s="124"/>
      <c r="R120" s="124"/>
      <c r="S120" s="124"/>
      <c r="T120" s="124"/>
      <c r="U120" s="124"/>
      <c r="V120" s="124"/>
      <c r="W120" s="124"/>
      <c r="AF120" s="124"/>
      <c r="AG120" s="124"/>
      <c r="AH120" s="124"/>
      <c r="AI120" s="124"/>
      <c r="AJ120" s="124"/>
      <c r="AK120" s="124"/>
      <c r="AL120" s="124"/>
      <c r="AM120" s="124"/>
      <c r="AN120" s="124"/>
      <c r="AO120" s="124"/>
      <c r="AP120" s="124"/>
      <c r="AQ120" s="124"/>
      <c r="AR120" s="124"/>
      <c r="AS120" s="124"/>
      <c r="AT120" s="124"/>
      <c r="AU120" s="124"/>
      <c r="AV120" s="124"/>
      <c r="AW120" s="124"/>
      <c r="AX120" s="124"/>
      <c r="AY120" s="124"/>
      <c r="AZ120" s="124"/>
      <c r="BA120" s="124"/>
      <c r="BB120" s="124"/>
    </row>
    <row r="121" spans="1:54" x14ac:dyDescent="0.3">
      <c r="A121" s="124"/>
      <c r="B121" s="124"/>
      <c r="C121" s="124"/>
      <c r="D121" s="124"/>
      <c r="E121" s="124"/>
      <c r="F121" s="124"/>
      <c r="G121" s="124"/>
      <c r="H121" s="124"/>
      <c r="I121" s="124"/>
      <c r="J121" s="124"/>
      <c r="K121" s="124"/>
      <c r="L121" s="124"/>
      <c r="M121" s="124"/>
      <c r="N121" s="124"/>
      <c r="O121" s="124"/>
      <c r="P121" s="124"/>
      <c r="Q121" s="124"/>
      <c r="R121" s="124"/>
      <c r="S121" s="124"/>
      <c r="T121" s="124"/>
      <c r="U121" s="124"/>
      <c r="V121" s="124"/>
      <c r="W121" s="124"/>
      <c r="AF121" s="124"/>
      <c r="AG121" s="124"/>
      <c r="AH121" s="124"/>
      <c r="AI121" s="124"/>
      <c r="AJ121" s="124"/>
      <c r="AK121" s="124"/>
      <c r="AL121" s="124"/>
      <c r="AM121" s="124"/>
      <c r="AN121" s="124"/>
      <c r="AO121" s="124"/>
      <c r="AP121" s="124"/>
      <c r="AQ121" s="124"/>
      <c r="AR121" s="124"/>
      <c r="AS121" s="124"/>
      <c r="AT121" s="124"/>
      <c r="AU121" s="124"/>
      <c r="AV121" s="124"/>
      <c r="AW121" s="124"/>
      <c r="AX121" s="124"/>
      <c r="AY121" s="124"/>
      <c r="AZ121" s="124"/>
      <c r="BA121" s="124"/>
      <c r="BB121" s="124"/>
    </row>
    <row r="122" spans="1:54" x14ac:dyDescent="0.3">
      <c r="A122" s="124"/>
      <c r="B122" s="124"/>
      <c r="C122" s="124"/>
      <c r="D122" s="124"/>
      <c r="E122" s="124"/>
      <c r="F122" s="124"/>
      <c r="G122" s="124"/>
      <c r="H122" s="124"/>
      <c r="I122" s="124"/>
      <c r="J122" s="124"/>
      <c r="K122" s="124"/>
      <c r="L122" s="124"/>
      <c r="M122" s="124"/>
      <c r="N122" s="124"/>
      <c r="O122" s="124"/>
      <c r="P122" s="124"/>
      <c r="Q122" s="124"/>
      <c r="R122" s="124"/>
      <c r="S122" s="124"/>
      <c r="T122" s="124"/>
      <c r="U122" s="124"/>
      <c r="V122" s="124"/>
      <c r="W122" s="124"/>
      <c r="AF122" s="124"/>
      <c r="AG122" s="124"/>
      <c r="AH122" s="124"/>
      <c r="AI122" s="124"/>
      <c r="AJ122" s="124"/>
      <c r="AK122" s="124"/>
      <c r="AL122" s="124"/>
      <c r="AM122" s="124"/>
      <c r="AN122" s="124"/>
      <c r="AO122" s="124"/>
      <c r="AP122" s="124"/>
      <c r="AQ122" s="124"/>
      <c r="AR122" s="124"/>
      <c r="AS122" s="124"/>
      <c r="AT122" s="124"/>
      <c r="AU122" s="124"/>
      <c r="AV122" s="124"/>
      <c r="AW122" s="124"/>
      <c r="AX122" s="124"/>
      <c r="AY122" s="124"/>
      <c r="AZ122" s="124"/>
      <c r="BA122" s="124"/>
      <c r="BB122" s="124"/>
    </row>
    <row r="123" spans="1:54" x14ac:dyDescent="0.3">
      <c r="A123" s="124"/>
      <c r="B123" s="124"/>
      <c r="C123" s="124"/>
      <c r="D123" s="124"/>
      <c r="E123" s="124"/>
      <c r="F123" s="124"/>
      <c r="G123" s="124"/>
      <c r="H123" s="124"/>
      <c r="I123" s="124"/>
      <c r="J123" s="124"/>
      <c r="K123" s="124"/>
      <c r="L123" s="124"/>
      <c r="M123" s="124"/>
      <c r="N123" s="124"/>
      <c r="O123" s="124"/>
      <c r="P123" s="124"/>
      <c r="Q123" s="124"/>
      <c r="R123" s="124"/>
      <c r="S123" s="124"/>
      <c r="T123" s="124"/>
      <c r="U123" s="124"/>
      <c r="V123" s="124"/>
      <c r="W123" s="124"/>
    </row>
    <row r="124" spans="1:54" x14ac:dyDescent="0.3">
      <c r="A124" s="124"/>
      <c r="B124" s="124"/>
      <c r="C124" s="124"/>
      <c r="D124" s="124"/>
      <c r="E124" s="124"/>
      <c r="F124" s="124"/>
      <c r="G124" s="124"/>
      <c r="H124" s="124"/>
      <c r="I124" s="124"/>
      <c r="J124" s="124"/>
      <c r="K124" s="124"/>
      <c r="L124" s="124"/>
      <c r="M124" s="124"/>
      <c r="N124" s="124"/>
      <c r="O124" s="124"/>
      <c r="P124" s="124"/>
      <c r="Q124" s="124"/>
      <c r="R124" s="124"/>
      <c r="S124" s="124"/>
      <c r="T124" s="124"/>
      <c r="U124" s="124"/>
      <c r="V124" s="124"/>
      <c r="W124" s="124"/>
    </row>
    <row r="125" spans="1:54" x14ac:dyDescent="0.3">
      <c r="A125" s="124"/>
      <c r="B125" s="124"/>
      <c r="C125" s="124"/>
      <c r="D125" s="124"/>
      <c r="E125" s="124"/>
      <c r="F125" s="124"/>
      <c r="G125" s="124"/>
      <c r="H125" s="124"/>
      <c r="I125" s="124"/>
      <c r="J125" s="124"/>
      <c r="K125" s="124"/>
      <c r="L125" s="124"/>
      <c r="M125" s="124"/>
      <c r="N125" s="124"/>
      <c r="O125" s="124"/>
      <c r="P125" s="124"/>
      <c r="Q125" s="124"/>
      <c r="R125" s="124"/>
      <c r="S125" s="124"/>
      <c r="T125" s="124"/>
      <c r="U125" s="124"/>
      <c r="V125" s="124"/>
      <c r="W125" s="124"/>
    </row>
    <row r="126" spans="1:54" x14ac:dyDescent="0.3">
      <c r="A126" s="124"/>
      <c r="B126" s="124"/>
      <c r="C126" s="124"/>
      <c r="D126" s="124"/>
      <c r="E126" s="124"/>
      <c r="F126" s="124"/>
      <c r="G126" s="124"/>
      <c r="H126" s="124"/>
      <c r="I126" s="124"/>
      <c r="J126" s="124"/>
      <c r="K126" s="124"/>
      <c r="L126" s="124"/>
      <c r="M126" s="124"/>
      <c r="N126" s="124"/>
      <c r="O126" s="124"/>
      <c r="P126" s="124"/>
      <c r="Q126" s="124"/>
      <c r="R126" s="124"/>
      <c r="S126" s="124"/>
      <c r="T126" s="124"/>
      <c r="U126" s="124"/>
      <c r="V126" s="124"/>
      <c r="W126" s="124"/>
    </row>
    <row r="127" spans="1:54" x14ac:dyDescent="0.3">
      <c r="A127" s="124"/>
      <c r="B127" s="124"/>
      <c r="C127" s="124"/>
      <c r="D127" s="124"/>
      <c r="E127" s="124"/>
      <c r="F127" s="124"/>
      <c r="G127" s="124"/>
      <c r="H127" s="124"/>
      <c r="I127" s="124"/>
      <c r="J127" s="124"/>
      <c r="K127" s="124"/>
      <c r="L127" s="124"/>
      <c r="M127" s="124"/>
      <c r="N127" s="124"/>
      <c r="O127" s="124"/>
      <c r="P127" s="124"/>
      <c r="Q127" s="124"/>
      <c r="R127" s="124"/>
      <c r="S127" s="124"/>
      <c r="T127" s="124"/>
      <c r="U127" s="124"/>
      <c r="V127" s="124"/>
      <c r="W127" s="124"/>
    </row>
    <row r="128" spans="1:54" x14ac:dyDescent="0.3">
      <c r="A128" s="124"/>
      <c r="B128" s="124"/>
      <c r="C128" s="124"/>
      <c r="D128" s="124"/>
      <c r="E128" s="124"/>
      <c r="F128" s="124"/>
      <c r="G128" s="124"/>
      <c r="H128" s="124"/>
      <c r="I128" s="124"/>
      <c r="J128" s="124"/>
      <c r="K128" s="124"/>
      <c r="L128" s="124"/>
      <c r="M128" s="124"/>
      <c r="N128" s="124"/>
      <c r="O128" s="124"/>
      <c r="P128" s="124"/>
      <c r="Q128" s="124"/>
      <c r="R128" s="124"/>
      <c r="S128" s="124"/>
      <c r="T128" s="124"/>
      <c r="U128" s="124"/>
      <c r="V128" s="124"/>
      <c r="W128" s="124"/>
    </row>
    <row r="129" spans="1:23" x14ac:dyDescent="0.3">
      <c r="A129" s="124"/>
      <c r="B129" s="124"/>
      <c r="C129" s="124"/>
      <c r="D129" s="124"/>
      <c r="E129" s="124"/>
      <c r="F129" s="124"/>
      <c r="G129" s="124"/>
      <c r="H129" s="124"/>
      <c r="I129" s="124"/>
      <c r="J129" s="124"/>
      <c r="K129" s="124"/>
      <c r="L129" s="124"/>
      <c r="M129" s="124"/>
      <c r="N129" s="124"/>
      <c r="O129" s="124"/>
      <c r="P129" s="124"/>
      <c r="Q129" s="124"/>
      <c r="R129" s="124"/>
      <c r="S129" s="124"/>
      <c r="T129" s="124"/>
      <c r="U129" s="124"/>
      <c r="V129" s="124"/>
      <c r="W129" s="124"/>
    </row>
    <row r="130" spans="1:23" x14ac:dyDescent="0.3">
      <c r="A130" s="124"/>
      <c r="B130" s="124"/>
      <c r="C130" s="124"/>
      <c r="D130" s="124"/>
      <c r="E130" s="124"/>
      <c r="F130" s="124"/>
      <c r="G130" s="124"/>
      <c r="H130" s="124"/>
      <c r="I130" s="124"/>
      <c r="J130" s="124"/>
      <c r="K130" s="124"/>
      <c r="L130" s="124"/>
      <c r="M130" s="124"/>
      <c r="N130" s="124"/>
      <c r="O130" s="124"/>
      <c r="P130" s="124"/>
      <c r="Q130" s="124"/>
      <c r="R130" s="124"/>
      <c r="S130" s="124"/>
      <c r="T130" s="124"/>
      <c r="U130" s="124"/>
      <c r="V130" s="124"/>
      <c r="W130" s="124"/>
    </row>
    <row r="131" spans="1:23" x14ac:dyDescent="0.3">
      <c r="A131" s="124"/>
      <c r="B131" s="124"/>
      <c r="C131" s="124"/>
      <c r="D131" s="124"/>
      <c r="E131" s="124"/>
      <c r="F131" s="124"/>
      <c r="G131" s="124"/>
      <c r="H131" s="124"/>
      <c r="I131" s="124"/>
      <c r="J131" s="124"/>
      <c r="K131" s="124"/>
      <c r="L131" s="124"/>
      <c r="M131" s="124"/>
      <c r="N131" s="124"/>
      <c r="O131" s="124"/>
      <c r="P131" s="124"/>
      <c r="Q131" s="124"/>
      <c r="R131" s="124"/>
      <c r="S131" s="124"/>
      <c r="T131" s="124"/>
      <c r="U131" s="124"/>
      <c r="V131" s="124"/>
      <c r="W131" s="124"/>
    </row>
    <row r="132" spans="1:23" x14ac:dyDescent="0.3">
      <c r="A132" s="124"/>
      <c r="B132" s="124"/>
      <c r="C132" s="124"/>
      <c r="D132" s="124"/>
      <c r="E132" s="124"/>
      <c r="F132" s="124"/>
      <c r="G132" s="124"/>
      <c r="H132" s="124"/>
      <c r="I132" s="124"/>
      <c r="J132" s="124"/>
      <c r="K132" s="124"/>
      <c r="L132" s="124"/>
      <c r="M132" s="124"/>
      <c r="N132" s="124"/>
      <c r="O132" s="124"/>
      <c r="P132" s="124"/>
      <c r="Q132" s="124"/>
      <c r="R132" s="124"/>
      <c r="S132" s="124"/>
      <c r="T132" s="124"/>
      <c r="U132" s="124"/>
      <c r="V132" s="124"/>
      <c r="W132" s="124"/>
    </row>
    <row r="133" spans="1:23" x14ac:dyDescent="0.3">
      <c r="A133" s="124"/>
      <c r="B133" s="124"/>
      <c r="C133" s="124"/>
      <c r="D133" s="124"/>
      <c r="E133" s="124"/>
      <c r="F133" s="124"/>
      <c r="G133" s="124"/>
      <c r="H133" s="124"/>
      <c r="I133" s="124"/>
      <c r="J133" s="124"/>
      <c r="K133" s="124"/>
      <c r="L133" s="124"/>
      <c r="M133" s="124"/>
      <c r="N133" s="124"/>
      <c r="O133" s="124"/>
      <c r="P133" s="124"/>
      <c r="Q133" s="124"/>
      <c r="R133" s="124"/>
      <c r="S133" s="124"/>
      <c r="T133" s="124"/>
      <c r="U133" s="124"/>
      <c r="V133" s="124"/>
      <c r="W133" s="124"/>
    </row>
    <row r="134" spans="1:23" x14ac:dyDescent="0.3">
      <c r="A134" s="124"/>
      <c r="B134" s="124"/>
      <c r="C134" s="124"/>
      <c r="D134" s="124"/>
      <c r="E134" s="124"/>
      <c r="F134" s="124"/>
      <c r="G134" s="124"/>
      <c r="H134" s="124"/>
      <c r="I134" s="124"/>
      <c r="J134" s="124"/>
      <c r="K134" s="124"/>
      <c r="L134" s="124"/>
      <c r="M134" s="124"/>
      <c r="N134" s="124"/>
      <c r="O134" s="124"/>
      <c r="P134" s="124"/>
      <c r="Q134" s="124"/>
      <c r="R134" s="124"/>
      <c r="S134" s="124"/>
      <c r="T134" s="124"/>
      <c r="U134" s="124"/>
      <c r="V134" s="124"/>
      <c r="W134" s="124"/>
    </row>
    <row r="135" spans="1:23" x14ac:dyDescent="0.3">
      <c r="A135" s="124"/>
      <c r="B135" s="124"/>
      <c r="C135" s="124"/>
      <c r="D135" s="124"/>
      <c r="E135" s="124"/>
      <c r="F135" s="124"/>
      <c r="G135" s="124"/>
      <c r="H135" s="124"/>
      <c r="I135" s="124"/>
      <c r="J135" s="124"/>
      <c r="K135" s="124"/>
      <c r="L135" s="124"/>
      <c r="M135" s="124"/>
      <c r="N135" s="124"/>
      <c r="O135" s="124"/>
      <c r="P135" s="124"/>
      <c r="Q135" s="124"/>
      <c r="R135" s="124"/>
      <c r="S135" s="124"/>
      <c r="T135" s="124"/>
      <c r="U135" s="124"/>
      <c r="V135" s="124"/>
      <c r="W135" s="124"/>
    </row>
    <row r="136" spans="1:23" x14ac:dyDescent="0.3">
      <c r="A136" s="124"/>
      <c r="B136" s="124"/>
      <c r="C136" s="124"/>
      <c r="D136" s="124"/>
      <c r="E136" s="124"/>
      <c r="F136" s="124"/>
      <c r="G136" s="124"/>
      <c r="H136" s="124"/>
      <c r="I136" s="124"/>
      <c r="J136" s="124"/>
      <c r="K136" s="124"/>
      <c r="L136" s="124"/>
      <c r="M136" s="124"/>
      <c r="N136" s="124"/>
      <c r="O136" s="124"/>
      <c r="P136" s="124"/>
      <c r="Q136" s="124"/>
      <c r="R136" s="124"/>
      <c r="S136" s="124"/>
      <c r="T136" s="124"/>
      <c r="U136" s="124"/>
      <c r="V136" s="124"/>
      <c r="W136" s="124"/>
    </row>
    <row r="137" spans="1:23" x14ac:dyDescent="0.3">
      <c r="A137" s="124"/>
      <c r="B137" s="124"/>
      <c r="C137" s="124"/>
      <c r="D137" s="124"/>
      <c r="E137" s="124"/>
      <c r="F137" s="124"/>
      <c r="G137" s="124"/>
      <c r="H137" s="124"/>
      <c r="I137" s="124"/>
      <c r="J137" s="124"/>
      <c r="K137" s="124"/>
      <c r="L137" s="124"/>
      <c r="M137" s="124"/>
      <c r="N137" s="124"/>
      <c r="O137" s="124"/>
      <c r="P137" s="124"/>
      <c r="Q137" s="124"/>
      <c r="R137" s="124"/>
      <c r="S137" s="124"/>
      <c r="T137" s="124"/>
      <c r="U137" s="124"/>
      <c r="V137" s="124"/>
      <c r="W137" s="124"/>
    </row>
    <row r="138" spans="1:23" x14ac:dyDescent="0.3">
      <c r="A138" s="124"/>
      <c r="B138" s="124"/>
      <c r="C138" s="124"/>
      <c r="D138" s="124"/>
      <c r="E138" s="124"/>
      <c r="F138" s="124"/>
      <c r="G138" s="124"/>
      <c r="H138" s="124"/>
      <c r="I138" s="124"/>
      <c r="J138" s="124"/>
      <c r="K138" s="124"/>
      <c r="L138" s="124"/>
      <c r="M138" s="124"/>
      <c r="N138" s="124"/>
      <c r="O138" s="124"/>
      <c r="P138" s="124"/>
      <c r="Q138" s="124"/>
      <c r="R138" s="124"/>
      <c r="S138" s="124"/>
      <c r="T138" s="124"/>
      <c r="U138" s="124"/>
      <c r="V138" s="124"/>
      <c r="W138" s="124"/>
    </row>
    <row r="139" spans="1:23" x14ac:dyDescent="0.3">
      <c r="A139" s="124"/>
      <c r="B139" s="124"/>
      <c r="C139" s="124"/>
      <c r="D139" s="124"/>
      <c r="E139" s="124"/>
      <c r="F139" s="124"/>
      <c r="G139" s="124"/>
      <c r="H139" s="124"/>
      <c r="I139" s="124"/>
      <c r="J139" s="124"/>
      <c r="K139" s="124"/>
      <c r="L139" s="124"/>
      <c r="M139" s="124"/>
      <c r="N139" s="124"/>
      <c r="O139" s="124"/>
      <c r="P139" s="124"/>
      <c r="Q139" s="124"/>
      <c r="R139" s="124"/>
      <c r="S139" s="124"/>
      <c r="T139" s="124"/>
      <c r="U139" s="124"/>
      <c r="V139" s="124"/>
      <c r="W139" s="124"/>
    </row>
    <row r="140" spans="1:23" x14ac:dyDescent="0.3">
      <c r="A140" s="124"/>
      <c r="B140" s="124"/>
      <c r="C140" s="124"/>
      <c r="D140" s="124"/>
      <c r="E140" s="124"/>
      <c r="F140" s="124"/>
      <c r="G140" s="124"/>
      <c r="H140" s="124"/>
      <c r="I140" s="124"/>
      <c r="J140" s="124"/>
      <c r="K140" s="124"/>
      <c r="L140" s="124"/>
      <c r="M140" s="124"/>
      <c r="N140" s="124"/>
      <c r="O140" s="124"/>
      <c r="P140" s="124"/>
      <c r="Q140" s="124"/>
      <c r="R140" s="124"/>
      <c r="S140" s="124"/>
      <c r="T140" s="124"/>
      <c r="U140" s="124"/>
      <c r="V140" s="124"/>
      <c r="W140" s="124"/>
    </row>
    <row r="141" spans="1:23" x14ac:dyDescent="0.3">
      <c r="A141" s="124"/>
      <c r="B141" s="124"/>
      <c r="C141" s="124"/>
      <c r="D141" s="124"/>
      <c r="E141" s="124"/>
      <c r="F141" s="124"/>
      <c r="G141" s="124"/>
      <c r="H141" s="124"/>
      <c r="I141" s="124"/>
      <c r="J141" s="124"/>
      <c r="K141" s="124"/>
      <c r="L141" s="124"/>
      <c r="M141" s="124"/>
      <c r="N141" s="124"/>
      <c r="O141" s="124"/>
      <c r="P141" s="124"/>
      <c r="Q141" s="124"/>
      <c r="R141" s="124"/>
      <c r="S141" s="124"/>
      <c r="T141" s="124"/>
      <c r="U141" s="124"/>
      <c r="V141" s="124"/>
      <c r="W141" s="124"/>
    </row>
    <row r="142" spans="1:23" x14ac:dyDescent="0.3">
      <c r="A142" s="124"/>
      <c r="B142" s="124"/>
      <c r="C142" s="124"/>
      <c r="D142" s="124"/>
      <c r="E142" s="124"/>
      <c r="F142" s="124"/>
      <c r="G142" s="124"/>
      <c r="H142" s="124"/>
      <c r="I142" s="124"/>
      <c r="J142" s="124"/>
      <c r="K142" s="124"/>
      <c r="L142" s="124"/>
      <c r="M142" s="124"/>
      <c r="N142" s="124"/>
      <c r="O142" s="124"/>
      <c r="P142" s="124"/>
      <c r="Q142" s="124"/>
      <c r="R142" s="124"/>
      <c r="S142" s="124"/>
      <c r="T142" s="124"/>
      <c r="U142" s="124"/>
      <c r="V142" s="124"/>
      <c r="W142" s="124"/>
    </row>
    <row r="143" spans="1:23" x14ac:dyDescent="0.3">
      <c r="A143" s="124"/>
      <c r="B143" s="124"/>
      <c r="C143" s="124"/>
      <c r="D143" s="124"/>
      <c r="E143" s="124"/>
      <c r="F143" s="124"/>
      <c r="G143" s="124"/>
      <c r="H143" s="124"/>
      <c r="I143" s="124"/>
      <c r="J143" s="124"/>
      <c r="K143" s="124"/>
      <c r="L143" s="124"/>
      <c r="M143" s="124"/>
      <c r="N143" s="124"/>
      <c r="O143" s="124"/>
      <c r="P143" s="124"/>
      <c r="Q143" s="124"/>
      <c r="R143" s="124"/>
      <c r="S143" s="124"/>
      <c r="T143" s="124"/>
      <c r="U143" s="124"/>
      <c r="V143" s="124"/>
      <c r="W143" s="124"/>
    </row>
    <row r="144" spans="1:23" x14ac:dyDescent="0.3">
      <c r="A144" s="124"/>
      <c r="B144" s="124"/>
      <c r="C144" s="124"/>
      <c r="D144" s="124"/>
      <c r="E144" s="124"/>
      <c r="F144" s="124"/>
      <c r="G144" s="124"/>
      <c r="H144" s="124"/>
      <c r="I144" s="124"/>
      <c r="J144" s="124"/>
      <c r="K144" s="124"/>
      <c r="L144" s="124"/>
      <c r="M144" s="124"/>
      <c r="N144" s="124"/>
      <c r="O144" s="124"/>
      <c r="P144" s="124"/>
      <c r="Q144" s="124"/>
      <c r="R144" s="124"/>
      <c r="S144" s="124"/>
      <c r="T144" s="124"/>
      <c r="U144" s="124"/>
      <c r="V144" s="124"/>
      <c r="W144" s="124"/>
    </row>
    <row r="145" spans="1:23" x14ac:dyDescent="0.3">
      <c r="A145" s="124"/>
      <c r="B145" s="124"/>
      <c r="C145" s="124"/>
      <c r="D145" s="124"/>
      <c r="E145" s="124"/>
      <c r="F145" s="124"/>
      <c r="G145" s="124"/>
      <c r="H145" s="124"/>
      <c r="I145" s="124"/>
      <c r="J145" s="124"/>
      <c r="K145" s="124"/>
      <c r="L145" s="124"/>
      <c r="M145" s="124"/>
      <c r="N145" s="124"/>
      <c r="O145" s="124"/>
      <c r="P145" s="124"/>
      <c r="Q145" s="124"/>
      <c r="R145" s="124"/>
      <c r="S145" s="124"/>
      <c r="T145" s="124"/>
      <c r="U145" s="124"/>
      <c r="V145" s="124"/>
      <c r="W145" s="124"/>
    </row>
    <row r="146" spans="1:23" x14ac:dyDescent="0.3">
      <c r="A146" s="124"/>
      <c r="B146" s="124"/>
      <c r="C146" s="124"/>
      <c r="D146" s="124"/>
      <c r="E146" s="124"/>
      <c r="F146" s="124"/>
      <c r="G146" s="124"/>
      <c r="H146" s="124"/>
      <c r="I146" s="124"/>
      <c r="J146" s="124"/>
      <c r="K146" s="124"/>
      <c r="L146" s="124"/>
      <c r="M146" s="124"/>
      <c r="N146" s="124"/>
      <c r="O146" s="124"/>
      <c r="P146" s="124"/>
      <c r="Q146" s="124"/>
      <c r="R146" s="124"/>
      <c r="S146" s="124"/>
      <c r="T146" s="124"/>
      <c r="U146" s="124"/>
      <c r="V146" s="124"/>
      <c r="W146" s="124"/>
    </row>
    <row r="147" spans="1:23" x14ac:dyDescent="0.3">
      <c r="A147" s="124"/>
      <c r="B147" s="124"/>
      <c r="C147" s="124"/>
      <c r="D147" s="124"/>
      <c r="E147" s="124"/>
      <c r="F147" s="124"/>
      <c r="G147" s="124"/>
      <c r="H147" s="124"/>
      <c r="I147" s="124"/>
      <c r="J147" s="124"/>
      <c r="K147" s="124"/>
      <c r="L147" s="124"/>
      <c r="M147" s="124"/>
      <c r="N147" s="124"/>
      <c r="O147" s="124"/>
      <c r="P147" s="124"/>
      <c r="Q147" s="124"/>
      <c r="R147" s="124"/>
      <c r="S147" s="124"/>
      <c r="T147" s="124"/>
      <c r="U147" s="124"/>
      <c r="V147" s="124"/>
      <c r="W147" s="124"/>
    </row>
  </sheetData>
  <phoneticPr fontId="17" type="noConversion"/>
  <conditionalFormatting sqref="U1">
    <cfRule type="cellIs" dxfId="9" priority="2" operator="lessThan">
      <formula>0</formula>
    </cfRule>
  </conditionalFormatting>
  <conditionalFormatting sqref="AZ1">
    <cfRule type="cellIs" dxfId="8" priority="1" operator="lessThan">
      <formula>0</formula>
    </cfRule>
  </conditionalFormatting>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19E61-4FE8-46FD-A361-07E7E53B13EE}">
  <dimension ref="A1:BD78"/>
  <sheetViews>
    <sheetView topLeftCell="A40" zoomScale="80" zoomScaleNormal="80" workbookViewId="0">
      <selection activeCell="A72" sqref="A72:W77"/>
    </sheetView>
  </sheetViews>
  <sheetFormatPr defaultRowHeight="14.4" x14ac:dyDescent="0.3"/>
  <cols>
    <col min="1" max="1" width="9.33203125" bestFit="1" customWidth="1"/>
    <col min="2" max="2" width="10.5546875" bestFit="1" customWidth="1"/>
    <col min="11" max="11" width="10.33203125" bestFit="1" customWidth="1"/>
    <col min="12" max="12" width="11.88671875" bestFit="1" customWidth="1"/>
    <col min="20" max="20" width="42.6640625" bestFit="1" customWidth="1"/>
    <col min="21" max="21" width="10.33203125" customWidth="1"/>
    <col min="22" max="22" width="12" bestFit="1" customWidth="1"/>
    <col min="23" max="23" width="25.44140625" bestFit="1" customWidth="1"/>
    <col min="24" max="25" width="8.88671875" style="124"/>
    <col min="32" max="32" width="9.33203125" bestFit="1" customWidth="1"/>
    <col min="33" max="33" width="10.5546875" bestFit="1" customWidth="1"/>
    <col min="42" max="42" width="9.6640625" bestFit="1" customWidth="1"/>
    <col min="43" max="43" width="11.5546875" bestFit="1" customWidth="1"/>
    <col min="51" max="51" width="42.6640625" bestFit="1" customWidth="1"/>
    <col min="52" max="52" width="9.88671875" bestFit="1" customWidth="1"/>
    <col min="53" max="53" width="10.6640625" bestFit="1" customWidth="1"/>
    <col min="54" max="54" width="25.44140625" bestFit="1" customWidth="1"/>
    <col min="55" max="56" width="8.88671875" style="124"/>
  </cols>
  <sheetData>
    <row r="1" spans="1:54" ht="100.8" x14ac:dyDescent="0.3">
      <c r="A1" s="17" t="s">
        <v>0</v>
      </c>
      <c r="B1" s="35" t="s">
        <v>23</v>
      </c>
      <c r="C1" s="19" t="s">
        <v>24</v>
      </c>
      <c r="D1" s="19" t="s">
        <v>25</v>
      </c>
      <c r="E1" s="19" t="s">
        <v>26</v>
      </c>
      <c r="F1" s="19" t="s">
        <v>27</v>
      </c>
      <c r="G1" s="19" t="s">
        <v>28</v>
      </c>
      <c r="H1" s="19" t="s">
        <v>29</v>
      </c>
      <c r="I1" s="19" t="s">
        <v>30</v>
      </c>
      <c r="J1" s="19" t="s">
        <v>31</v>
      </c>
      <c r="K1" s="20" t="s">
        <v>32</v>
      </c>
      <c r="L1" s="21" t="s">
        <v>33</v>
      </c>
      <c r="M1" s="22" t="s">
        <v>34</v>
      </c>
      <c r="N1" s="19" t="s">
        <v>35</v>
      </c>
      <c r="O1" s="23" t="s">
        <v>36</v>
      </c>
      <c r="P1" s="23" t="s">
        <v>37</v>
      </c>
      <c r="Q1" s="24" t="s">
        <v>38</v>
      </c>
      <c r="R1" s="19" t="s">
        <v>39</v>
      </c>
      <c r="S1" s="36" t="s">
        <v>40</v>
      </c>
      <c r="T1" s="19" t="s">
        <v>46</v>
      </c>
      <c r="U1" s="20" t="s">
        <v>77</v>
      </c>
      <c r="V1" s="9" t="s">
        <v>78</v>
      </c>
      <c r="W1" s="3" t="s">
        <v>79</v>
      </c>
      <c r="AF1" s="37" t="s">
        <v>0</v>
      </c>
      <c r="AG1" s="35" t="s">
        <v>23</v>
      </c>
      <c r="AH1" s="38" t="s">
        <v>24</v>
      </c>
      <c r="AI1" s="38" t="s">
        <v>25</v>
      </c>
      <c r="AJ1" s="38" t="s">
        <v>26</v>
      </c>
      <c r="AK1" s="38" t="s">
        <v>27</v>
      </c>
      <c r="AL1" s="38" t="s">
        <v>28</v>
      </c>
      <c r="AM1" s="38" t="s">
        <v>29</v>
      </c>
      <c r="AN1" s="38" t="s">
        <v>30</v>
      </c>
      <c r="AO1" s="38" t="s">
        <v>31</v>
      </c>
      <c r="AP1" s="39" t="s">
        <v>32</v>
      </c>
      <c r="AQ1" s="40" t="s">
        <v>33</v>
      </c>
      <c r="AR1" s="22" t="s">
        <v>34</v>
      </c>
      <c r="AS1" s="38" t="s">
        <v>35</v>
      </c>
      <c r="AT1" s="41" t="s">
        <v>36</v>
      </c>
      <c r="AU1" s="41" t="s">
        <v>37</v>
      </c>
      <c r="AV1" s="42" t="s">
        <v>38</v>
      </c>
      <c r="AW1" s="38" t="s">
        <v>39</v>
      </c>
      <c r="AX1" s="43" t="s">
        <v>40</v>
      </c>
      <c r="AY1" s="38" t="s">
        <v>46</v>
      </c>
      <c r="AZ1" s="39" t="s">
        <v>80</v>
      </c>
      <c r="BA1" s="44" t="s">
        <v>78</v>
      </c>
      <c r="BB1" s="44" t="s">
        <v>79</v>
      </c>
    </row>
    <row r="2" spans="1:54" s="124" customFormat="1" x14ac:dyDescent="0.3">
      <c r="A2" s="32">
        <v>45678</v>
      </c>
      <c r="B2" s="33">
        <v>0.375</v>
      </c>
      <c r="C2" s="10" t="s">
        <v>70</v>
      </c>
      <c r="D2" s="10" t="s">
        <v>71</v>
      </c>
      <c r="E2" s="10" t="s">
        <v>906</v>
      </c>
      <c r="F2" s="10">
        <v>1</v>
      </c>
      <c r="G2" s="10" t="s">
        <v>72</v>
      </c>
      <c r="H2" s="10" t="s">
        <v>73</v>
      </c>
      <c r="I2" s="10" t="s">
        <v>81</v>
      </c>
      <c r="J2" s="10">
        <v>181</v>
      </c>
      <c r="K2" s="12">
        <v>45679</v>
      </c>
      <c r="L2" s="33">
        <v>0.56641203703703702</v>
      </c>
      <c r="M2" s="10">
        <v>1</v>
      </c>
      <c r="N2" s="10" t="s">
        <v>82</v>
      </c>
      <c r="O2" s="10">
        <v>1.8599999999999998E-2</v>
      </c>
      <c r="P2" s="10">
        <v>2.3999999999999998E-3</v>
      </c>
      <c r="Q2" s="10">
        <v>0</v>
      </c>
      <c r="R2" s="10" t="s">
        <v>83</v>
      </c>
      <c r="S2" s="34">
        <v>0</v>
      </c>
      <c r="T2" s="10" t="s">
        <v>937</v>
      </c>
      <c r="U2" s="45">
        <v>45679</v>
      </c>
      <c r="V2">
        <f>-15.223*O2^2+247.15*O2-2.155</f>
        <v>2.4367234509200002</v>
      </c>
      <c r="W2" t="s">
        <v>939</v>
      </c>
      <c r="AF2" s="32">
        <v>45678</v>
      </c>
      <c r="AG2" s="33">
        <v>0.375</v>
      </c>
      <c r="AH2" s="10" t="s">
        <v>70</v>
      </c>
      <c r="AI2" s="10" t="s">
        <v>71</v>
      </c>
      <c r="AJ2" s="10" t="s">
        <v>921</v>
      </c>
      <c r="AK2" s="10">
        <v>1</v>
      </c>
      <c r="AL2" s="10" t="s">
        <v>72</v>
      </c>
      <c r="AM2" s="10" t="s">
        <v>73</v>
      </c>
      <c r="AN2" s="10" t="s">
        <v>81</v>
      </c>
      <c r="AO2" s="10">
        <v>196</v>
      </c>
      <c r="AP2" s="12">
        <v>45679</v>
      </c>
      <c r="AQ2" s="33">
        <v>0.57513888888888887</v>
      </c>
      <c r="AR2" s="10">
        <v>1</v>
      </c>
      <c r="AS2" s="10" t="s">
        <v>82</v>
      </c>
      <c r="AT2" s="10">
        <v>2.41</v>
      </c>
      <c r="AU2" s="10">
        <v>0.23400000000000001</v>
      </c>
      <c r="AV2" s="10">
        <v>500</v>
      </c>
      <c r="AW2" s="10" t="s">
        <v>83</v>
      </c>
      <c r="AX2" s="34">
        <v>500</v>
      </c>
      <c r="AY2" s="10" t="s">
        <v>937</v>
      </c>
      <c r="AZ2" s="45">
        <v>45679</v>
      </c>
      <c r="BA2">
        <f t="shared" ref="BA2" si="0">-15.223*AT2^2+247.15*AT2-2.155</f>
        <v>505.05979370000011</v>
      </c>
      <c r="BB2" t="s">
        <v>939</v>
      </c>
    </row>
    <row r="3" spans="1:54" s="124" customFormat="1" x14ac:dyDescent="0.3">
      <c r="A3" s="32">
        <v>45678</v>
      </c>
      <c r="B3" s="33">
        <v>0.375</v>
      </c>
      <c r="C3" s="10" t="s">
        <v>70</v>
      </c>
      <c r="D3" s="10" t="s">
        <v>71</v>
      </c>
      <c r="E3" s="10" t="s">
        <v>907</v>
      </c>
      <c r="F3" s="10">
        <v>1</v>
      </c>
      <c r="G3" s="10" t="s">
        <v>72</v>
      </c>
      <c r="H3" s="10" t="s">
        <v>73</v>
      </c>
      <c r="I3" s="10" t="s">
        <v>81</v>
      </c>
      <c r="J3" s="10">
        <v>182</v>
      </c>
      <c r="K3" s="12">
        <v>45679</v>
      </c>
      <c r="L3" s="33">
        <v>0.56699074074074074</v>
      </c>
      <c r="M3" s="10">
        <v>1</v>
      </c>
      <c r="N3" s="10" t="s">
        <v>82</v>
      </c>
      <c r="O3" s="10">
        <v>5.33E-2</v>
      </c>
      <c r="P3" s="10">
        <v>3.5400000000000002E-3</v>
      </c>
      <c r="Q3" s="10">
        <v>12</v>
      </c>
      <c r="R3" s="10" t="s">
        <v>83</v>
      </c>
      <c r="S3" s="34">
        <v>12</v>
      </c>
      <c r="T3" s="10" t="s">
        <v>937</v>
      </c>
      <c r="U3" s="45">
        <v>45679</v>
      </c>
      <c r="V3">
        <f t="shared" ref="V3:V14" si="1">-15.223*O3^2+247.15*O3-2.155</f>
        <v>10.974848131530001</v>
      </c>
      <c r="W3" t="s">
        <v>939</v>
      </c>
      <c r="AF3" s="127">
        <v>45680</v>
      </c>
      <c r="AG3" s="128">
        <v>0.375</v>
      </c>
      <c r="AH3" s="31" t="s">
        <v>70</v>
      </c>
      <c r="AI3" s="31" t="s">
        <v>71</v>
      </c>
      <c r="AJ3" s="31" t="s">
        <v>921</v>
      </c>
      <c r="AK3" s="31">
        <v>1</v>
      </c>
      <c r="AL3" s="31" t="s">
        <v>72</v>
      </c>
      <c r="AM3" s="31" t="s">
        <v>73</v>
      </c>
      <c r="AN3" s="31" t="s">
        <v>81</v>
      </c>
      <c r="AO3" s="31">
        <v>196</v>
      </c>
      <c r="AP3" s="129">
        <v>45681</v>
      </c>
      <c r="AQ3" s="128">
        <v>0.45973379629629635</v>
      </c>
      <c r="AR3" s="31">
        <v>1</v>
      </c>
      <c r="AS3" s="31" t="s">
        <v>82</v>
      </c>
      <c r="AT3" s="31">
        <v>2.4</v>
      </c>
      <c r="AU3" s="31">
        <v>0.22700000000000001</v>
      </c>
      <c r="AV3" s="31">
        <v>500</v>
      </c>
      <c r="AW3" s="31" t="s">
        <v>83</v>
      </c>
      <c r="AX3" s="34">
        <v>500</v>
      </c>
      <c r="AY3" s="31" t="s">
        <v>946</v>
      </c>
      <c r="AZ3" s="130">
        <v>45681</v>
      </c>
      <c r="BA3" s="132">
        <f t="shared" ref="BA3" si="2">-7.6709*AT3^2+230.25*AT3-0.0652</f>
        <v>508.350416</v>
      </c>
      <c r="BB3" s="132" t="s">
        <v>948</v>
      </c>
    </row>
    <row r="4" spans="1:54" s="124" customFormat="1" x14ac:dyDescent="0.3">
      <c r="A4" s="32">
        <v>45678</v>
      </c>
      <c r="B4" s="33">
        <v>0.375</v>
      </c>
      <c r="C4" s="10" t="s">
        <v>70</v>
      </c>
      <c r="D4" s="10" t="s">
        <v>71</v>
      </c>
      <c r="E4" s="10" t="s">
        <v>908</v>
      </c>
      <c r="F4" s="10">
        <v>1</v>
      </c>
      <c r="G4" s="10" t="s">
        <v>72</v>
      </c>
      <c r="H4" s="10" t="s">
        <v>73</v>
      </c>
      <c r="I4" s="10" t="s">
        <v>81</v>
      </c>
      <c r="J4" s="10">
        <v>183</v>
      </c>
      <c r="K4" s="12">
        <v>45679</v>
      </c>
      <c r="L4" s="33">
        <v>0.5675810185185185</v>
      </c>
      <c r="M4" s="10">
        <v>1</v>
      </c>
      <c r="N4" s="10" t="s">
        <v>82</v>
      </c>
      <c r="O4" s="10">
        <v>0.19900000000000001</v>
      </c>
      <c r="P4" s="10">
        <v>1.78E-2</v>
      </c>
      <c r="Q4" s="10">
        <v>50</v>
      </c>
      <c r="R4" s="10" t="s">
        <v>83</v>
      </c>
      <c r="S4" s="34">
        <v>50</v>
      </c>
      <c r="T4" s="10" t="s">
        <v>937</v>
      </c>
      <c r="U4" s="45">
        <v>45679</v>
      </c>
      <c r="V4">
        <f t="shared" si="1"/>
        <v>46.425003977000003</v>
      </c>
      <c r="W4" t="s">
        <v>939</v>
      </c>
      <c r="AF4" s="32">
        <v>45685</v>
      </c>
      <c r="AG4" s="33">
        <v>0.375</v>
      </c>
      <c r="AH4" s="10" t="s">
        <v>70</v>
      </c>
      <c r="AI4" s="10" t="s">
        <v>71</v>
      </c>
      <c r="AJ4" s="10" t="s">
        <v>921</v>
      </c>
      <c r="AK4" s="10">
        <v>1</v>
      </c>
      <c r="AL4" s="10" t="s">
        <v>72</v>
      </c>
      <c r="AM4" s="10" t="s">
        <v>73</v>
      </c>
      <c r="AN4" s="10" t="s">
        <v>81</v>
      </c>
      <c r="AO4" s="10">
        <v>196</v>
      </c>
      <c r="AP4" s="12">
        <v>45686</v>
      </c>
      <c r="AQ4" s="33">
        <v>0.62747685185185187</v>
      </c>
      <c r="AR4" s="10">
        <v>1</v>
      </c>
      <c r="AS4" s="10" t="s">
        <v>82</v>
      </c>
      <c r="AT4" s="10">
        <v>1.98</v>
      </c>
      <c r="AU4" s="10">
        <v>0.223</v>
      </c>
      <c r="AV4" s="10">
        <v>500</v>
      </c>
      <c r="AW4" s="10" t="s">
        <v>83</v>
      </c>
      <c r="AX4" s="123">
        <v>500</v>
      </c>
      <c r="AY4" s="10" t="s">
        <v>961</v>
      </c>
      <c r="AZ4" s="45">
        <v>45686</v>
      </c>
      <c r="BA4" s="124">
        <f t="shared" ref="BA4" si="3">-17.314*AT4^2+288.71*AT4+0.4726</f>
        <v>504.24059440000002</v>
      </c>
      <c r="BB4" s="124" t="s">
        <v>964</v>
      </c>
    </row>
    <row r="5" spans="1:54" s="124" customFormat="1" x14ac:dyDescent="0.3">
      <c r="A5" s="32">
        <v>45678</v>
      </c>
      <c r="B5" s="33">
        <v>0.375</v>
      </c>
      <c r="C5" s="10" t="s">
        <v>70</v>
      </c>
      <c r="D5" s="10" t="s">
        <v>71</v>
      </c>
      <c r="E5" s="10" t="s">
        <v>909</v>
      </c>
      <c r="F5" s="10">
        <v>1</v>
      </c>
      <c r="G5" s="10" t="s">
        <v>72</v>
      </c>
      <c r="H5" s="10" t="s">
        <v>73</v>
      </c>
      <c r="I5" s="10" t="s">
        <v>81</v>
      </c>
      <c r="J5" s="10">
        <v>184</v>
      </c>
      <c r="K5" s="12">
        <v>45679</v>
      </c>
      <c r="L5" s="33">
        <v>0.56815972222222222</v>
      </c>
      <c r="M5" s="10">
        <v>1</v>
      </c>
      <c r="N5" s="10" t="s">
        <v>82</v>
      </c>
      <c r="O5" s="10">
        <v>0.91900000000000004</v>
      </c>
      <c r="P5" s="10">
        <v>0.125</v>
      </c>
      <c r="Q5" s="10">
        <v>200</v>
      </c>
      <c r="R5" s="10" t="s">
        <v>83</v>
      </c>
      <c r="S5" s="34">
        <v>200</v>
      </c>
      <c r="T5" s="10" t="s">
        <v>937</v>
      </c>
      <c r="U5" s="45">
        <v>45679</v>
      </c>
      <c r="V5">
        <f t="shared" si="1"/>
        <v>212.11909789700002</v>
      </c>
      <c r="W5" t="s">
        <v>939</v>
      </c>
      <c r="AF5" s="127">
        <v>45692</v>
      </c>
      <c r="AG5" s="128">
        <v>0.375</v>
      </c>
      <c r="AH5" s="31" t="s">
        <v>70</v>
      </c>
      <c r="AI5" s="31" t="s">
        <v>71</v>
      </c>
      <c r="AJ5" s="31" t="s">
        <v>921</v>
      </c>
      <c r="AK5" s="31">
        <v>1</v>
      </c>
      <c r="AL5" s="31" t="s">
        <v>72</v>
      </c>
      <c r="AM5" s="31" t="s">
        <v>73</v>
      </c>
      <c r="AN5" s="31" t="s">
        <v>81</v>
      </c>
      <c r="AO5" s="31">
        <v>196</v>
      </c>
      <c r="AP5" s="129">
        <v>45692</v>
      </c>
      <c r="AQ5" s="128">
        <v>0.63920138888888889</v>
      </c>
      <c r="AR5" s="31">
        <v>1</v>
      </c>
      <c r="AS5" s="31" t="s">
        <v>82</v>
      </c>
      <c r="AT5" s="31">
        <v>2.37</v>
      </c>
      <c r="AU5" s="31">
        <v>0.22900000000000001</v>
      </c>
      <c r="AV5" s="31">
        <v>500</v>
      </c>
      <c r="AW5" s="31" t="s">
        <v>83</v>
      </c>
      <c r="AX5" s="34">
        <v>500</v>
      </c>
      <c r="AY5" s="31" t="s">
        <v>972</v>
      </c>
      <c r="AZ5" s="130">
        <v>45692</v>
      </c>
      <c r="BA5" s="132">
        <f t="shared" ref="BA5" si="4">-16.641*AT5^2+252.95*AT5-1.0931</f>
        <v>504.92756709999998</v>
      </c>
      <c r="BB5" s="132" t="s">
        <v>974</v>
      </c>
    </row>
    <row r="6" spans="1:54" s="124" customFormat="1" x14ac:dyDescent="0.3">
      <c r="A6" s="32">
        <v>45678</v>
      </c>
      <c r="B6" s="33">
        <v>0.375</v>
      </c>
      <c r="C6" s="10" t="s">
        <v>70</v>
      </c>
      <c r="D6" s="10" t="s">
        <v>71</v>
      </c>
      <c r="E6" s="10" t="s">
        <v>910</v>
      </c>
      <c r="F6" s="10">
        <v>1</v>
      </c>
      <c r="G6" s="10" t="s">
        <v>72</v>
      </c>
      <c r="H6" s="10" t="s">
        <v>73</v>
      </c>
      <c r="I6" s="10" t="s">
        <v>81</v>
      </c>
      <c r="J6" s="10">
        <v>185</v>
      </c>
      <c r="K6" s="12">
        <v>45679</v>
      </c>
      <c r="L6" s="33">
        <v>0.56873842592592594</v>
      </c>
      <c r="M6" s="10">
        <v>1</v>
      </c>
      <c r="N6" s="10" t="s">
        <v>82</v>
      </c>
      <c r="O6" s="10">
        <v>2.35</v>
      </c>
      <c r="P6" s="10">
        <v>0.224</v>
      </c>
      <c r="Q6" s="10">
        <v>500</v>
      </c>
      <c r="R6" s="10" t="s">
        <v>83</v>
      </c>
      <c r="S6" s="34">
        <v>500</v>
      </c>
      <c r="T6" s="10" t="s">
        <v>937</v>
      </c>
      <c r="U6" s="45">
        <v>45679</v>
      </c>
      <c r="V6">
        <f t="shared" si="1"/>
        <v>494.57848250000001</v>
      </c>
      <c r="W6" t="s">
        <v>939</v>
      </c>
      <c r="AF6" s="32">
        <v>45699</v>
      </c>
      <c r="AG6" s="33">
        <v>0.375</v>
      </c>
      <c r="AH6" s="10" t="s">
        <v>70</v>
      </c>
      <c r="AI6" s="10" t="s">
        <v>71</v>
      </c>
      <c r="AJ6" s="10" t="s">
        <v>921</v>
      </c>
      <c r="AK6" s="10">
        <v>1</v>
      </c>
      <c r="AL6" s="10" t="s">
        <v>72</v>
      </c>
      <c r="AM6" s="10" t="s">
        <v>73</v>
      </c>
      <c r="AN6" s="10" t="s">
        <v>81</v>
      </c>
      <c r="AO6" s="10">
        <v>196</v>
      </c>
      <c r="AP6" s="12">
        <v>45699</v>
      </c>
      <c r="AQ6" s="33">
        <v>0.68276620370370367</v>
      </c>
      <c r="AR6" s="10">
        <v>1</v>
      </c>
      <c r="AS6" s="10" t="s">
        <v>82</v>
      </c>
      <c r="AT6" s="10">
        <v>2.08</v>
      </c>
      <c r="AU6" s="10">
        <v>0.23599999999999999</v>
      </c>
      <c r="AV6" s="10">
        <v>500</v>
      </c>
      <c r="AW6" s="10" t="s">
        <v>83</v>
      </c>
      <c r="AX6" s="123">
        <v>500</v>
      </c>
      <c r="AY6" s="10" t="s">
        <v>980</v>
      </c>
      <c r="AZ6" s="45">
        <v>45699</v>
      </c>
      <c r="BA6" s="124">
        <f t="shared" ref="BA6" si="5">-14.932*AT6^2+275.41*AT6-8.012</f>
        <v>500.23899520000009</v>
      </c>
      <c r="BB6" s="124" t="s">
        <v>982</v>
      </c>
    </row>
    <row r="7" spans="1:54" s="124" customFormat="1" x14ac:dyDescent="0.3">
      <c r="A7" s="32">
        <v>45678</v>
      </c>
      <c r="B7" s="33">
        <v>0.375</v>
      </c>
      <c r="C7" s="10" t="s">
        <v>70</v>
      </c>
      <c r="D7" s="10" t="s">
        <v>71</v>
      </c>
      <c r="E7" s="10" t="s">
        <v>914</v>
      </c>
      <c r="F7" s="10">
        <v>1</v>
      </c>
      <c r="G7" s="10" t="s">
        <v>72</v>
      </c>
      <c r="H7" s="10" t="s">
        <v>73</v>
      </c>
      <c r="I7" s="10" t="s">
        <v>81</v>
      </c>
      <c r="J7" s="10">
        <v>189</v>
      </c>
      <c r="K7" s="12">
        <v>45679</v>
      </c>
      <c r="L7" s="33">
        <v>0.57105324074074071</v>
      </c>
      <c r="M7" s="10">
        <v>1</v>
      </c>
      <c r="N7" s="10" t="s">
        <v>82</v>
      </c>
      <c r="O7" s="10">
        <v>2.92E-2</v>
      </c>
      <c r="P7" s="10">
        <v>2.8800000000000002E-3</v>
      </c>
      <c r="Q7" s="10">
        <v>0</v>
      </c>
      <c r="R7" s="10" t="s">
        <v>83</v>
      </c>
      <c r="S7" s="34">
        <v>0</v>
      </c>
      <c r="T7" s="10" t="s">
        <v>937</v>
      </c>
      <c r="U7" s="45">
        <v>45679</v>
      </c>
      <c r="V7">
        <f t="shared" si="1"/>
        <v>5.0488002612800003</v>
      </c>
      <c r="W7" t="s">
        <v>939</v>
      </c>
      <c r="AF7" s="127">
        <v>45707</v>
      </c>
      <c r="AG7" s="128">
        <v>0.375</v>
      </c>
      <c r="AH7" s="31" t="s">
        <v>70</v>
      </c>
      <c r="AI7" s="31" t="s">
        <v>71</v>
      </c>
      <c r="AJ7" s="31" t="s">
        <v>921</v>
      </c>
      <c r="AK7" s="31">
        <v>1</v>
      </c>
      <c r="AL7" s="31" t="s">
        <v>72</v>
      </c>
      <c r="AM7" s="31" t="s">
        <v>73</v>
      </c>
      <c r="AN7" s="31" t="s">
        <v>81</v>
      </c>
      <c r="AO7" s="31">
        <v>196</v>
      </c>
      <c r="AP7" s="129">
        <v>45708</v>
      </c>
      <c r="AQ7" s="128">
        <v>0.61539351851851853</v>
      </c>
      <c r="AR7" s="31">
        <v>1</v>
      </c>
      <c r="AS7" s="31" t="s">
        <v>82</v>
      </c>
      <c r="AT7" s="31">
        <v>3.4</v>
      </c>
      <c r="AU7" s="31">
        <v>0.32200000000000001</v>
      </c>
      <c r="AV7" s="31">
        <v>500</v>
      </c>
      <c r="AW7" s="31" t="s">
        <v>83</v>
      </c>
      <c r="AX7" s="34">
        <v>500</v>
      </c>
      <c r="AY7" s="31" t="s">
        <v>988</v>
      </c>
      <c r="AZ7" s="130">
        <v>45708</v>
      </c>
      <c r="BA7" s="132">
        <f t="shared" ref="BA7" si="6">-47.52*AT7^2+316.83*AT7-12.892</f>
        <v>514.99879999999996</v>
      </c>
      <c r="BB7" s="132" t="s">
        <v>990</v>
      </c>
    </row>
    <row r="8" spans="1:54" s="124" customFormat="1" x14ac:dyDescent="0.3">
      <c r="A8" s="32">
        <v>45678</v>
      </c>
      <c r="B8" s="33">
        <v>0.375</v>
      </c>
      <c r="C8" s="10" t="s">
        <v>70</v>
      </c>
      <c r="D8" s="10" t="s">
        <v>71</v>
      </c>
      <c r="E8" s="10" t="s">
        <v>915</v>
      </c>
      <c r="F8" s="10">
        <v>1</v>
      </c>
      <c r="G8" s="10" t="s">
        <v>72</v>
      </c>
      <c r="H8" s="10" t="s">
        <v>73</v>
      </c>
      <c r="I8" s="10" t="s">
        <v>81</v>
      </c>
      <c r="J8" s="10">
        <v>190</v>
      </c>
      <c r="K8" s="12">
        <v>45679</v>
      </c>
      <c r="L8" s="33">
        <v>0.57164351851851858</v>
      </c>
      <c r="M8" s="10">
        <v>1</v>
      </c>
      <c r="N8" s="10" t="s">
        <v>82</v>
      </c>
      <c r="O8" s="10">
        <v>4.6399999999999997E-2</v>
      </c>
      <c r="P8" s="10">
        <v>2.9099999999999998E-3</v>
      </c>
      <c r="Q8" s="10">
        <v>5</v>
      </c>
      <c r="R8" s="10" t="s">
        <v>83</v>
      </c>
      <c r="S8" s="34">
        <v>5</v>
      </c>
      <c r="T8" s="10" t="s">
        <v>937</v>
      </c>
      <c r="U8" s="45">
        <v>45679</v>
      </c>
      <c r="V8">
        <f t="shared" si="1"/>
        <v>9.2799854899200014</v>
      </c>
      <c r="W8" t="s">
        <v>939</v>
      </c>
    </row>
    <row r="9" spans="1:54" s="124" customFormat="1" x14ac:dyDescent="0.3">
      <c r="A9" s="32">
        <v>45678</v>
      </c>
      <c r="B9" s="33">
        <v>0.375</v>
      </c>
      <c r="C9" s="10" t="s">
        <v>70</v>
      </c>
      <c r="D9" s="10" t="s">
        <v>71</v>
      </c>
      <c r="E9" s="10" t="s">
        <v>916</v>
      </c>
      <c r="F9" s="10">
        <v>1</v>
      </c>
      <c r="G9" s="10" t="s">
        <v>72</v>
      </c>
      <c r="H9" s="10" t="s">
        <v>73</v>
      </c>
      <c r="I9" s="10" t="s">
        <v>81</v>
      </c>
      <c r="J9" s="10">
        <v>191</v>
      </c>
      <c r="K9" s="12">
        <v>45679</v>
      </c>
      <c r="L9" s="33">
        <v>0.57222222222222219</v>
      </c>
      <c r="M9" s="10">
        <v>1</v>
      </c>
      <c r="N9" s="10" t="s">
        <v>82</v>
      </c>
      <c r="O9" s="10">
        <v>6.4000000000000001E-2</v>
      </c>
      <c r="P9" s="10">
        <v>4.0699999999999998E-3</v>
      </c>
      <c r="Q9" s="10">
        <v>15</v>
      </c>
      <c r="R9" s="10" t="s">
        <v>83</v>
      </c>
      <c r="S9" s="34">
        <v>15</v>
      </c>
      <c r="T9" s="10" t="s">
        <v>937</v>
      </c>
      <c r="U9" s="45">
        <v>45679</v>
      </c>
      <c r="V9">
        <f t="shared" si="1"/>
        <v>13.600246592000001</v>
      </c>
      <c r="W9" t="s">
        <v>939</v>
      </c>
    </row>
    <row r="10" spans="1:54" x14ac:dyDescent="0.3">
      <c r="A10" s="32">
        <v>45678</v>
      </c>
      <c r="B10" s="33">
        <v>0.375</v>
      </c>
      <c r="C10" s="10" t="s">
        <v>70</v>
      </c>
      <c r="D10" s="10" t="s">
        <v>71</v>
      </c>
      <c r="E10" s="10" t="s">
        <v>917</v>
      </c>
      <c r="F10" s="10">
        <v>1</v>
      </c>
      <c r="G10" s="10" t="s">
        <v>72</v>
      </c>
      <c r="H10" s="10" t="s">
        <v>73</v>
      </c>
      <c r="I10" s="10" t="s">
        <v>81</v>
      </c>
      <c r="J10" s="10">
        <v>192</v>
      </c>
      <c r="K10" s="12">
        <v>45679</v>
      </c>
      <c r="L10" s="33">
        <v>0.57280092592592591</v>
      </c>
      <c r="M10" s="10">
        <v>1</v>
      </c>
      <c r="N10" s="10" t="s">
        <v>82</v>
      </c>
      <c r="O10" s="10">
        <v>7.85E-2</v>
      </c>
      <c r="P10" s="10">
        <v>5.77E-3</v>
      </c>
      <c r="Q10" s="10">
        <v>20</v>
      </c>
      <c r="R10" s="10" t="s">
        <v>83</v>
      </c>
      <c r="S10" s="34">
        <v>20</v>
      </c>
      <c r="T10" s="10" t="s">
        <v>937</v>
      </c>
      <c r="U10" s="45">
        <v>45679</v>
      </c>
      <c r="V10">
        <f t="shared" si="1"/>
        <v>17.152467068250001</v>
      </c>
      <c r="W10" t="s">
        <v>939</v>
      </c>
      <c r="AF10" s="124"/>
      <c r="AG10" s="124"/>
      <c r="AH10" s="124"/>
      <c r="AI10" s="124"/>
      <c r="AJ10" s="124"/>
      <c r="AK10" s="124"/>
      <c r="AL10" s="124"/>
      <c r="AM10" s="124"/>
      <c r="AN10" s="124"/>
      <c r="AO10" s="124"/>
      <c r="AP10" s="124"/>
      <c r="AQ10" s="124"/>
      <c r="AR10" s="124"/>
      <c r="AS10" s="124"/>
      <c r="AT10" s="124"/>
      <c r="AU10" s="124"/>
      <c r="AV10" s="124"/>
      <c r="AW10" s="124"/>
      <c r="AX10" s="124"/>
      <c r="AY10" s="124"/>
      <c r="AZ10" s="124"/>
      <c r="BA10" s="124"/>
      <c r="BB10" s="124"/>
    </row>
    <row r="11" spans="1:54" x14ac:dyDescent="0.3">
      <c r="A11" s="32">
        <v>45678</v>
      </c>
      <c r="B11" s="33">
        <v>0.375</v>
      </c>
      <c r="C11" s="10" t="s">
        <v>70</v>
      </c>
      <c r="D11" s="10" t="s">
        <v>71</v>
      </c>
      <c r="E11" s="10" t="s">
        <v>918</v>
      </c>
      <c r="F11" s="10">
        <v>1</v>
      </c>
      <c r="G11" s="10" t="s">
        <v>72</v>
      </c>
      <c r="H11" s="10" t="s">
        <v>73</v>
      </c>
      <c r="I11" s="10" t="s">
        <v>81</v>
      </c>
      <c r="J11" s="10">
        <v>193</v>
      </c>
      <c r="K11" s="12">
        <v>45679</v>
      </c>
      <c r="L11" s="33">
        <v>0.57337962962962963</v>
      </c>
      <c r="M11" s="10">
        <v>1</v>
      </c>
      <c r="N11" s="10" t="s">
        <v>82</v>
      </c>
      <c r="O11" s="10">
        <v>0.28899999999999998</v>
      </c>
      <c r="P11" s="10">
        <v>2.6499999999999999E-2</v>
      </c>
      <c r="Q11" s="10">
        <v>75</v>
      </c>
      <c r="R11" s="10" t="s">
        <v>83</v>
      </c>
      <c r="S11" s="34">
        <v>75</v>
      </c>
      <c r="T11" s="10" t="s">
        <v>937</v>
      </c>
      <c r="U11" s="45">
        <v>45679</v>
      </c>
      <c r="V11">
        <f t="shared" si="1"/>
        <v>67.999909817000002</v>
      </c>
      <c r="W11" t="s">
        <v>939</v>
      </c>
      <c r="AF11" s="124"/>
      <c r="AG11" s="124"/>
      <c r="AH11" s="124"/>
      <c r="AI11" s="124"/>
      <c r="AJ11" s="124"/>
      <c r="AK11" s="124"/>
      <c r="AL11" s="124"/>
      <c r="AM11" s="124"/>
      <c r="AN11" s="124"/>
      <c r="AO11" s="124"/>
      <c r="AP11" s="124"/>
      <c r="AQ11" s="124"/>
      <c r="AR11" s="124"/>
      <c r="AS11" s="124"/>
      <c r="AT11" s="124"/>
      <c r="AU11" s="124"/>
      <c r="AV11" s="124"/>
      <c r="AW11" s="124"/>
      <c r="AX11" s="124"/>
      <c r="AY11" s="124"/>
      <c r="AZ11" s="124"/>
      <c r="BA11" s="124"/>
      <c r="BB11" s="124"/>
    </row>
    <row r="12" spans="1:54" x14ac:dyDescent="0.3">
      <c r="A12" s="32">
        <v>45678</v>
      </c>
      <c r="B12" s="33">
        <v>0.375</v>
      </c>
      <c r="C12" s="10" t="s">
        <v>70</v>
      </c>
      <c r="D12" s="10" t="s">
        <v>71</v>
      </c>
      <c r="E12" s="10" t="s">
        <v>919</v>
      </c>
      <c r="F12" s="10">
        <v>1</v>
      </c>
      <c r="G12" s="10" t="s">
        <v>72</v>
      </c>
      <c r="H12" s="10" t="s">
        <v>73</v>
      </c>
      <c r="I12" s="10" t="s">
        <v>81</v>
      </c>
      <c r="J12" s="10">
        <v>194</v>
      </c>
      <c r="K12" s="12">
        <v>45679</v>
      </c>
      <c r="L12" s="33">
        <v>0.57395833333333335</v>
      </c>
      <c r="M12" s="10">
        <v>1</v>
      </c>
      <c r="N12" s="10" t="s">
        <v>82</v>
      </c>
      <c r="O12" s="10">
        <v>0.627</v>
      </c>
      <c r="P12" s="10">
        <v>5.7200000000000001E-2</v>
      </c>
      <c r="Q12" s="10">
        <v>150</v>
      </c>
      <c r="R12" s="10" t="s">
        <v>83</v>
      </c>
      <c r="S12" s="34">
        <v>150</v>
      </c>
      <c r="T12" s="10" t="s">
        <v>937</v>
      </c>
      <c r="U12" s="45">
        <v>45679</v>
      </c>
      <c r="V12">
        <f t="shared" si="1"/>
        <v>146.823447233</v>
      </c>
      <c r="W12" t="s">
        <v>939</v>
      </c>
      <c r="AF12" s="124"/>
      <c r="AG12" s="124"/>
      <c r="AH12" s="124"/>
      <c r="AI12" s="124"/>
      <c r="AJ12" s="124"/>
      <c r="AK12" s="124"/>
      <c r="AL12" s="124"/>
      <c r="AM12" s="124"/>
      <c r="AN12" s="124"/>
      <c r="AO12" s="124"/>
      <c r="AP12" s="124"/>
      <c r="AQ12" s="124"/>
      <c r="AR12" s="124"/>
      <c r="AS12" s="124"/>
      <c r="AT12" s="124"/>
      <c r="AU12" s="124"/>
      <c r="AV12" s="124"/>
      <c r="AW12" s="124"/>
      <c r="AX12" s="124"/>
      <c r="AY12" s="124"/>
      <c r="AZ12" s="124"/>
      <c r="BA12" s="124"/>
      <c r="BB12" s="124"/>
    </row>
    <row r="13" spans="1:54" x14ac:dyDescent="0.3">
      <c r="A13" s="32">
        <v>45678</v>
      </c>
      <c r="B13" s="33">
        <v>0.375</v>
      </c>
      <c r="C13" s="10" t="s">
        <v>70</v>
      </c>
      <c r="D13" s="10" t="s">
        <v>71</v>
      </c>
      <c r="E13" s="10" t="s">
        <v>920</v>
      </c>
      <c r="F13" s="10">
        <v>1</v>
      </c>
      <c r="G13" s="10" t="s">
        <v>72</v>
      </c>
      <c r="H13" s="10" t="s">
        <v>73</v>
      </c>
      <c r="I13" s="10" t="s">
        <v>81</v>
      </c>
      <c r="J13" s="10">
        <v>195</v>
      </c>
      <c r="K13" s="12">
        <v>45679</v>
      </c>
      <c r="L13" s="33">
        <v>0.57453703703703707</v>
      </c>
      <c r="M13" s="10">
        <v>1</v>
      </c>
      <c r="N13" s="10" t="s">
        <v>82</v>
      </c>
      <c r="O13" s="10">
        <v>1.31</v>
      </c>
      <c r="P13" s="10">
        <v>0.125</v>
      </c>
      <c r="Q13" s="10">
        <v>300</v>
      </c>
      <c r="R13" s="10" t="s">
        <v>83</v>
      </c>
      <c r="S13" s="34">
        <v>300</v>
      </c>
      <c r="T13" s="10" t="s">
        <v>937</v>
      </c>
      <c r="U13" s="45">
        <v>45679</v>
      </c>
      <c r="V13">
        <f t="shared" si="1"/>
        <v>295.48730970000003</v>
      </c>
      <c r="W13" t="s">
        <v>939</v>
      </c>
      <c r="AF13" s="124"/>
      <c r="AG13" s="124"/>
      <c r="AH13" s="124"/>
      <c r="AI13" s="124"/>
      <c r="AJ13" s="124"/>
      <c r="AK13" s="124"/>
      <c r="AL13" s="124"/>
      <c r="AM13" s="124"/>
      <c r="AN13" s="124"/>
      <c r="AO13" s="124"/>
      <c r="AP13" s="124"/>
      <c r="AQ13" s="124"/>
      <c r="AR13" s="124"/>
      <c r="AS13" s="124"/>
      <c r="AT13" s="124"/>
      <c r="AU13" s="124"/>
      <c r="AV13" s="124"/>
      <c r="AW13" s="124"/>
      <c r="AX13" s="124"/>
      <c r="AY13" s="124"/>
      <c r="AZ13" s="124"/>
      <c r="BA13" s="124"/>
      <c r="BB13" s="124"/>
    </row>
    <row r="14" spans="1:54" x14ac:dyDescent="0.3">
      <c r="A14" s="32">
        <v>45678</v>
      </c>
      <c r="B14" s="33">
        <v>0.375</v>
      </c>
      <c r="C14" s="10" t="s">
        <v>70</v>
      </c>
      <c r="D14" s="10" t="s">
        <v>71</v>
      </c>
      <c r="E14" s="10" t="s">
        <v>921</v>
      </c>
      <c r="F14" s="10">
        <v>1</v>
      </c>
      <c r="G14" s="10" t="s">
        <v>72</v>
      </c>
      <c r="H14" s="10" t="s">
        <v>73</v>
      </c>
      <c r="I14" s="10" t="s">
        <v>81</v>
      </c>
      <c r="J14" s="10">
        <v>196</v>
      </c>
      <c r="K14" s="12">
        <v>45679</v>
      </c>
      <c r="L14" s="33">
        <v>0.57513888888888887</v>
      </c>
      <c r="M14" s="10">
        <v>1</v>
      </c>
      <c r="N14" s="10" t="s">
        <v>82</v>
      </c>
      <c r="O14" s="10">
        <v>2.41</v>
      </c>
      <c r="P14" s="10">
        <v>0.23400000000000001</v>
      </c>
      <c r="Q14" s="10">
        <v>500</v>
      </c>
      <c r="R14" s="10" t="s">
        <v>83</v>
      </c>
      <c r="S14" s="34">
        <v>500</v>
      </c>
      <c r="T14" s="10" t="s">
        <v>937</v>
      </c>
      <c r="U14" s="45">
        <v>45679</v>
      </c>
      <c r="V14">
        <f t="shared" si="1"/>
        <v>505.05979370000011</v>
      </c>
      <c r="W14" t="s">
        <v>939</v>
      </c>
      <c r="AF14" s="124"/>
      <c r="AG14" s="124"/>
      <c r="AH14" s="124"/>
      <c r="AI14" s="124"/>
      <c r="AJ14" s="124"/>
      <c r="AK14" s="124"/>
      <c r="AL14" s="124"/>
      <c r="AM14" s="124"/>
      <c r="AN14" s="124"/>
      <c r="AO14" s="124"/>
      <c r="AP14" s="124"/>
      <c r="AQ14" s="124"/>
      <c r="AR14" s="124"/>
      <c r="AS14" s="124"/>
      <c r="AT14" s="124"/>
      <c r="AU14" s="124"/>
      <c r="AV14" s="124"/>
      <c r="AW14" s="124"/>
      <c r="AX14" s="124"/>
      <c r="AY14" s="124"/>
      <c r="AZ14" s="124"/>
      <c r="BA14" s="124"/>
      <c r="BB14" s="124"/>
    </row>
    <row r="15" spans="1:54" x14ac:dyDescent="0.3">
      <c r="A15" s="127">
        <v>45680</v>
      </c>
      <c r="B15" s="128">
        <v>0.375</v>
      </c>
      <c r="C15" s="31" t="s">
        <v>70</v>
      </c>
      <c r="D15" s="31" t="s">
        <v>71</v>
      </c>
      <c r="E15" s="31" t="s">
        <v>906</v>
      </c>
      <c r="F15" s="31">
        <v>1</v>
      </c>
      <c r="G15" s="31" t="s">
        <v>72</v>
      </c>
      <c r="H15" s="31" t="s">
        <v>73</v>
      </c>
      <c r="I15" s="31" t="s">
        <v>81</v>
      </c>
      <c r="J15" s="31">
        <v>181</v>
      </c>
      <c r="K15" s="129">
        <v>45681</v>
      </c>
      <c r="L15" s="128">
        <v>0.45101851851851849</v>
      </c>
      <c r="M15" s="31">
        <v>1</v>
      </c>
      <c r="N15" s="31" t="s">
        <v>82</v>
      </c>
      <c r="O15" s="31">
        <v>-8.0000000000000002E-3</v>
      </c>
      <c r="P15" s="31">
        <v>7.2000000000000005E-4</v>
      </c>
      <c r="Q15" s="31">
        <v>0</v>
      </c>
      <c r="R15" s="31" t="s">
        <v>83</v>
      </c>
      <c r="S15" s="34">
        <v>0</v>
      </c>
      <c r="T15" s="31" t="s">
        <v>946</v>
      </c>
      <c r="U15" s="130">
        <v>45681</v>
      </c>
      <c r="V15" s="132">
        <f>-7.6709*O15^2+230.25*O15-0.0652</f>
        <v>-1.9076909376</v>
      </c>
      <c r="W15" s="132" t="s">
        <v>948</v>
      </c>
      <c r="AF15" s="124"/>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row>
    <row r="16" spans="1:54" x14ac:dyDescent="0.3">
      <c r="A16" s="127">
        <v>45680</v>
      </c>
      <c r="B16" s="128">
        <v>0.375</v>
      </c>
      <c r="C16" s="31" t="s">
        <v>70</v>
      </c>
      <c r="D16" s="31" t="s">
        <v>71</v>
      </c>
      <c r="E16" s="31" t="s">
        <v>907</v>
      </c>
      <c r="F16" s="31">
        <v>1</v>
      </c>
      <c r="G16" s="31" t="s">
        <v>72</v>
      </c>
      <c r="H16" s="31" t="s">
        <v>73</v>
      </c>
      <c r="I16" s="31" t="s">
        <v>81</v>
      </c>
      <c r="J16" s="31">
        <v>182</v>
      </c>
      <c r="K16" s="129">
        <v>45681</v>
      </c>
      <c r="L16" s="128">
        <v>0.4516087962962963</v>
      </c>
      <c r="M16" s="31">
        <v>1</v>
      </c>
      <c r="N16" s="31" t="s">
        <v>82</v>
      </c>
      <c r="O16" s="31">
        <v>4.3499999999999997E-2</v>
      </c>
      <c r="P16" s="31">
        <v>3.0500000000000002E-3</v>
      </c>
      <c r="Q16" s="31">
        <v>12</v>
      </c>
      <c r="R16" s="31" t="s">
        <v>83</v>
      </c>
      <c r="S16" s="34">
        <v>12</v>
      </c>
      <c r="T16" s="31" t="s">
        <v>946</v>
      </c>
      <c r="U16" s="130">
        <v>45681</v>
      </c>
      <c r="V16" s="132">
        <f t="shared" ref="V16:V27" si="7">-7.6709*O16^2+230.25*O16-0.0652</f>
        <v>9.9361597394749985</v>
      </c>
      <c r="W16" s="132" t="s">
        <v>948</v>
      </c>
      <c r="AF16" s="124"/>
      <c r="AG16" s="124"/>
      <c r="AH16" s="124"/>
      <c r="AI16" s="124"/>
      <c r="AJ16" s="124"/>
      <c r="AK16" s="124"/>
      <c r="AL16" s="124"/>
      <c r="AM16" s="124"/>
      <c r="AN16" s="124"/>
      <c r="AO16" s="124"/>
      <c r="AP16" s="124"/>
      <c r="AQ16" s="124"/>
      <c r="AR16" s="124"/>
      <c r="AS16" s="124"/>
      <c r="AT16" s="124"/>
      <c r="AU16" s="124"/>
      <c r="AV16" s="124"/>
      <c r="AW16" s="124"/>
      <c r="AX16" s="124"/>
      <c r="AY16" s="124"/>
      <c r="AZ16" s="124"/>
      <c r="BA16" s="124"/>
      <c r="BB16" s="124"/>
    </row>
    <row r="17" spans="1:54" x14ac:dyDescent="0.3">
      <c r="A17" s="127">
        <v>45680</v>
      </c>
      <c r="B17" s="128">
        <v>0.375</v>
      </c>
      <c r="C17" s="31" t="s">
        <v>70</v>
      </c>
      <c r="D17" s="31" t="s">
        <v>71</v>
      </c>
      <c r="E17" s="31" t="s">
        <v>908</v>
      </c>
      <c r="F17" s="31">
        <v>1</v>
      </c>
      <c r="G17" s="31" t="s">
        <v>72</v>
      </c>
      <c r="H17" s="31" t="s">
        <v>73</v>
      </c>
      <c r="I17" s="31" t="s">
        <v>81</v>
      </c>
      <c r="J17" s="31">
        <v>183</v>
      </c>
      <c r="K17" s="129">
        <v>45681</v>
      </c>
      <c r="L17" s="128">
        <v>0.45218749999999996</v>
      </c>
      <c r="M17" s="31">
        <v>1</v>
      </c>
      <c r="N17" s="31" t="s">
        <v>82</v>
      </c>
      <c r="O17" s="31">
        <v>0.19800000000000001</v>
      </c>
      <c r="P17" s="31">
        <v>1.6799999999999999E-2</v>
      </c>
      <c r="Q17" s="31">
        <v>50</v>
      </c>
      <c r="R17" s="31" t="s">
        <v>83</v>
      </c>
      <c r="S17" s="34">
        <v>50</v>
      </c>
      <c r="T17" s="31" t="s">
        <v>946</v>
      </c>
      <c r="U17" s="130">
        <v>45681</v>
      </c>
      <c r="V17" s="132">
        <f t="shared" si="7"/>
        <v>45.223570036400005</v>
      </c>
      <c r="W17" s="132" t="s">
        <v>948</v>
      </c>
      <c r="AF17" s="124"/>
      <c r="AG17" s="124"/>
      <c r="AH17" s="124"/>
      <c r="AI17" s="124"/>
      <c r="AJ17" s="124"/>
      <c r="AK17" s="124"/>
      <c r="AL17" s="124"/>
      <c r="AM17" s="124"/>
      <c r="AN17" s="124"/>
      <c r="AO17" s="124"/>
      <c r="AP17" s="124"/>
      <c r="AQ17" s="124"/>
      <c r="AR17" s="124"/>
      <c r="AS17" s="124"/>
      <c r="AT17" s="124"/>
      <c r="AU17" s="124"/>
      <c r="AV17" s="124"/>
      <c r="AW17" s="124"/>
      <c r="AX17" s="124"/>
      <c r="AY17" s="124"/>
      <c r="AZ17" s="124"/>
      <c r="BA17" s="124"/>
      <c r="BB17" s="124"/>
    </row>
    <row r="18" spans="1:54" x14ac:dyDescent="0.3">
      <c r="A18" s="127">
        <v>45680</v>
      </c>
      <c r="B18" s="128">
        <v>0.375</v>
      </c>
      <c r="C18" s="31" t="s">
        <v>70</v>
      </c>
      <c r="D18" s="31" t="s">
        <v>71</v>
      </c>
      <c r="E18" s="31" t="s">
        <v>909</v>
      </c>
      <c r="F18" s="31">
        <v>1</v>
      </c>
      <c r="G18" s="31" t="s">
        <v>72</v>
      </c>
      <c r="H18" s="31" t="s">
        <v>73</v>
      </c>
      <c r="I18" s="31" t="s">
        <v>81</v>
      </c>
      <c r="J18" s="31">
        <v>184</v>
      </c>
      <c r="K18" s="129">
        <v>45681</v>
      </c>
      <c r="L18" s="128">
        <v>0.45277777777777778</v>
      </c>
      <c r="M18" s="31">
        <v>1</v>
      </c>
      <c r="N18" s="31" t="s">
        <v>82</v>
      </c>
      <c r="O18" s="31">
        <v>0.91200000000000003</v>
      </c>
      <c r="P18" s="31">
        <v>8.3699999999999997E-2</v>
      </c>
      <c r="Q18" s="31">
        <v>200</v>
      </c>
      <c r="R18" s="31" t="s">
        <v>83</v>
      </c>
      <c r="S18" s="34">
        <v>200</v>
      </c>
      <c r="T18" s="31" t="s">
        <v>946</v>
      </c>
      <c r="U18" s="130">
        <v>45681</v>
      </c>
      <c r="V18" s="132">
        <f t="shared" si="7"/>
        <v>203.5425749504</v>
      </c>
      <c r="W18" s="132" t="s">
        <v>948</v>
      </c>
      <c r="AF18" s="124"/>
      <c r="AG18" s="124"/>
      <c r="AH18" s="124"/>
      <c r="AI18" s="124"/>
      <c r="AJ18" s="124"/>
      <c r="AK18" s="124"/>
      <c r="AL18" s="124"/>
      <c r="AM18" s="124"/>
      <c r="AN18" s="124"/>
      <c r="AO18" s="124"/>
      <c r="AP18" s="124"/>
      <c r="AQ18" s="124"/>
      <c r="AR18" s="124"/>
      <c r="AS18" s="124"/>
      <c r="AT18" s="124"/>
      <c r="AU18" s="124"/>
      <c r="AV18" s="124"/>
      <c r="AW18" s="124"/>
      <c r="AX18" s="124"/>
      <c r="AY18" s="124"/>
      <c r="AZ18" s="124"/>
      <c r="BA18" s="124"/>
      <c r="BB18" s="124"/>
    </row>
    <row r="19" spans="1:54" x14ac:dyDescent="0.3">
      <c r="A19" s="127">
        <v>45680</v>
      </c>
      <c r="B19" s="128">
        <v>0.375</v>
      </c>
      <c r="C19" s="31" t="s">
        <v>70</v>
      </c>
      <c r="D19" s="31" t="s">
        <v>71</v>
      </c>
      <c r="E19" s="31" t="s">
        <v>910</v>
      </c>
      <c r="F19" s="31">
        <v>1</v>
      </c>
      <c r="G19" s="31" t="s">
        <v>72</v>
      </c>
      <c r="H19" s="31" t="s">
        <v>73</v>
      </c>
      <c r="I19" s="31" t="s">
        <v>81</v>
      </c>
      <c r="J19" s="31">
        <v>185</v>
      </c>
      <c r="K19" s="129">
        <v>45681</v>
      </c>
      <c r="L19" s="128">
        <v>0.4533564814814815</v>
      </c>
      <c r="M19" s="31">
        <v>1</v>
      </c>
      <c r="N19" s="31" t="s">
        <v>82</v>
      </c>
      <c r="O19" s="31">
        <v>2.2999999999999998</v>
      </c>
      <c r="P19" s="31">
        <v>0.216</v>
      </c>
      <c r="Q19" s="31">
        <v>500</v>
      </c>
      <c r="R19" s="31" t="s">
        <v>83</v>
      </c>
      <c r="S19" s="34">
        <v>500</v>
      </c>
      <c r="T19" s="31" t="s">
        <v>946</v>
      </c>
      <c r="U19" s="130">
        <v>45681</v>
      </c>
      <c r="V19" s="132">
        <f t="shared" si="7"/>
        <v>488.93073899999996</v>
      </c>
      <c r="W19" s="132" t="s">
        <v>948</v>
      </c>
    </row>
    <row r="20" spans="1:54" x14ac:dyDescent="0.3">
      <c r="A20" s="127">
        <v>45680</v>
      </c>
      <c r="B20" s="128">
        <v>0.375</v>
      </c>
      <c r="C20" s="31" t="s">
        <v>70</v>
      </c>
      <c r="D20" s="31" t="s">
        <v>71</v>
      </c>
      <c r="E20" s="31" t="s">
        <v>914</v>
      </c>
      <c r="F20" s="31">
        <v>1</v>
      </c>
      <c r="G20" s="31" t="s">
        <v>72</v>
      </c>
      <c r="H20" s="31" t="s">
        <v>73</v>
      </c>
      <c r="I20" s="31" t="s">
        <v>81</v>
      </c>
      <c r="J20" s="31">
        <v>189</v>
      </c>
      <c r="K20" s="129">
        <v>45681</v>
      </c>
      <c r="L20" s="128">
        <v>0.45568287037037036</v>
      </c>
      <c r="M20" s="31">
        <v>1</v>
      </c>
      <c r="N20" s="31" t="s">
        <v>82</v>
      </c>
      <c r="O20" s="31">
        <v>2.4E-2</v>
      </c>
      <c r="P20" s="31">
        <v>2.4299999999999999E-3</v>
      </c>
      <c r="Q20" s="31">
        <v>0</v>
      </c>
      <c r="R20" s="31" t="s">
        <v>83</v>
      </c>
      <c r="S20" s="34">
        <v>0</v>
      </c>
      <c r="T20" s="31" t="s">
        <v>946</v>
      </c>
      <c r="U20" s="130">
        <v>45681</v>
      </c>
      <c r="V20" s="132">
        <f t="shared" si="7"/>
        <v>5.4563815615999998</v>
      </c>
      <c r="W20" s="132" t="s">
        <v>948</v>
      </c>
    </row>
    <row r="21" spans="1:54" x14ac:dyDescent="0.3">
      <c r="A21" s="127">
        <v>45680</v>
      </c>
      <c r="B21" s="128">
        <v>0.375</v>
      </c>
      <c r="C21" s="31" t="s">
        <v>70</v>
      </c>
      <c r="D21" s="31" t="s">
        <v>71</v>
      </c>
      <c r="E21" s="31" t="s">
        <v>915</v>
      </c>
      <c r="F21" s="31">
        <v>1</v>
      </c>
      <c r="G21" s="31" t="s">
        <v>72</v>
      </c>
      <c r="H21" s="31" t="s">
        <v>73</v>
      </c>
      <c r="I21" s="31" t="s">
        <v>81</v>
      </c>
      <c r="J21" s="31">
        <v>190</v>
      </c>
      <c r="K21" s="129">
        <v>45681</v>
      </c>
      <c r="L21" s="128">
        <v>0.45626157407407408</v>
      </c>
      <c r="M21" s="31">
        <v>1</v>
      </c>
      <c r="N21" s="31" t="s">
        <v>82</v>
      </c>
      <c r="O21" s="31">
        <v>4.4999999999999998E-2</v>
      </c>
      <c r="P21" s="31">
        <v>3.3300000000000001E-3</v>
      </c>
      <c r="Q21" s="31">
        <v>5</v>
      </c>
      <c r="R21" s="31" t="s">
        <v>83</v>
      </c>
      <c r="S21" s="34">
        <v>5</v>
      </c>
      <c r="T21" s="31" t="s">
        <v>946</v>
      </c>
      <c r="U21" s="130">
        <v>45681</v>
      </c>
      <c r="V21" s="132">
        <f t="shared" si="7"/>
        <v>10.280516427499998</v>
      </c>
      <c r="W21" s="132" t="s">
        <v>948</v>
      </c>
    </row>
    <row r="22" spans="1:54" x14ac:dyDescent="0.3">
      <c r="A22" s="127">
        <v>45680</v>
      </c>
      <c r="B22" s="128">
        <v>0.375</v>
      </c>
      <c r="C22" s="31" t="s">
        <v>70</v>
      </c>
      <c r="D22" s="31" t="s">
        <v>71</v>
      </c>
      <c r="E22" s="31" t="s">
        <v>916</v>
      </c>
      <c r="F22" s="31">
        <v>1</v>
      </c>
      <c r="G22" s="31" t="s">
        <v>72</v>
      </c>
      <c r="H22" s="31" t="s">
        <v>73</v>
      </c>
      <c r="I22" s="31" t="s">
        <v>81</v>
      </c>
      <c r="J22" s="31">
        <v>191</v>
      </c>
      <c r="K22" s="129">
        <v>45681</v>
      </c>
      <c r="L22" s="128">
        <v>0.4568402777777778</v>
      </c>
      <c r="M22" s="31">
        <v>1</v>
      </c>
      <c r="N22" s="31" t="s">
        <v>82</v>
      </c>
      <c r="O22" s="31">
        <v>8.3299999999999999E-2</v>
      </c>
      <c r="P22" s="31">
        <v>5.4299999999999999E-3</v>
      </c>
      <c r="Q22" s="31">
        <v>15</v>
      </c>
      <c r="R22" s="31" t="s">
        <v>83</v>
      </c>
      <c r="S22" s="34">
        <v>15</v>
      </c>
      <c r="T22" s="31" t="s">
        <v>946</v>
      </c>
      <c r="U22" s="130">
        <v>45681</v>
      </c>
      <c r="V22" s="132">
        <f t="shared" si="7"/>
        <v>19.061397468698999</v>
      </c>
      <c r="W22" s="132" t="s">
        <v>948</v>
      </c>
    </row>
    <row r="23" spans="1:54" x14ac:dyDescent="0.3">
      <c r="A23" s="127">
        <v>45680</v>
      </c>
      <c r="B23" s="128">
        <v>0.375</v>
      </c>
      <c r="C23" s="31" t="s">
        <v>70</v>
      </c>
      <c r="D23" s="31" t="s">
        <v>71</v>
      </c>
      <c r="E23" s="31" t="s">
        <v>917</v>
      </c>
      <c r="F23" s="31">
        <v>1</v>
      </c>
      <c r="G23" s="31" t="s">
        <v>72</v>
      </c>
      <c r="H23" s="31" t="s">
        <v>73</v>
      </c>
      <c r="I23" s="31" t="s">
        <v>81</v>
      </c>
      <c r="J23" s="31">
        <v>192</v>
      </c>
      <c r="K23" s="129">
        <v>45681</v>
      </c>
      <c r="L23" s="128">
        <v>0.45741898148148147</v>
      </c>
      <c r="M23" s="31">
        <v>1</v>
      </c>
      <c r="N23" s="31" t="s">
        <v>82</v>
      </c>
      <c r="O23" s="31">
        <v>7.9899999999999999E-2</v>
      </c>
      <c r="P23" s="31">
        <v>5.2399999999999999E-3</v>
      </c>
      <c r="Q23" s="31">
        <v>20</v>
      </c>
      <c r="R23" s="31" t="s">
        <v>83</v>
      </c>
      <c r="S23" s="34">
        <v>20</v>
      </c>
      <c r="T23" s="31" t="s">
        <v>946</v>
      </c>
      <c r="U23" s="130">
        <v>45681</v>
      </c>
      <c r="V23" s="132">
        <f t="shared" si="7"/>
        <v>18.282803897691</v>
      </c>
      <c r="W23" s="132" t="s">
        <v>948</v>
      </c>
    </row>
    <row r="24" spans="1:54" x14ac:dyDescent="0.3">
      <c r="A24" s="127">
        <v>45680</v>
      </c>
      <c r="B24" s="128">
        <v>0.375</v>
      </c>
      <c r="C24" s="31" t="s">
        <v>70</v>
      </c>
      <c r="D24" s="31" t="s">
        <v>71</v>
      </c>
      <c r="E24" s="31" t="s">
        <v>918</v>
      </c>
      <c r="F24" s="31">
        <v>1</v>
      </c>
      <c r="G24" s="31" t="s">
        <v>72</v>
      </c>
      <c r="H24" s="31" t="s">
        <v>73</v>
      </c>
      <c r="I24" s="31" t="s">
        <v>81</v>
      </c>
      <c r="J24" s="31">
        <v>193</v>
      </c>
      <c r="K24" s="129">
        <v>45681</v>
      </c>
      <c r="L24" s="128">
        <v>0.45799768518518519</v>
      </c>
      <c r="M24" s="31">
        <v>1</v>
      </c>
      <c r="N24" s="31" t="s">
        <v>82</v>
      </c>
      <c r="O24" s="31">
        <v>0.30199999999999999</v>
      </c>
      <c r="P24" s="31">
        <v>2.6499999999999999E-2</v>
      </c>
      <c r="Q24" s="31">
        <v>75</v>
      </c>
      <c r="R24" s="31" t="s">
        <v>83</v>
      </c>
      <c r="S24" s="34">
        <v>75</v>
      </c>
      <c r="T24" s="31" t="s">
        <v>946</v>
      </c>
      <c r="U24" s="130">
        <v>45681</v>
      </c>
      <c r="V24" s="132">
        <f t="shared" si="7"/>
        <v>68.770683236399989</v>
      </c>
      <c r="W24" s="132" t="s">
        <v>948</v>
      </c>
    </row>
    <row r="25" spans="1:54" x14ac:dyDescent="0.3">
      <c r="A25" s="127">
        <v>45680</v>
      </c>
      <c r="B25" s="128">
        <v>0.375</v>
      </c>
      <c r="C25" s="31" t="s">
        <v>70</v>
      </c>
      <c r="D25" s="31" t="s">
        <v>71</v>
      </c>
      <c r="E25" s="31" t="s">
        <v>919</v>
      </c>
      <c r="F25" s="31">
        <v>1</v>
      </c>
      <c r="G25" s="31" t="s">
        <v>72</v>
      </c>
      <c r="H25" s="31" t="s">
        <v>73</v>
      </c>
      <c r="I25" s="31" t="s">
        <v>81</v>
      </c>
      <c r="J25" s="31">
        <v>194</v>
      </c>
      <c r="K25" s="129">
        <v>45681</v>
      </c>
      <c r="L25" s="128">
        <v>0.45858796296296295</v>
      </c>
      <c r="M25" s="31">
        <v>1</v>
      </c>
      <c r="N25" s="31" t="s">
        <v>82</v>
      </c>
      <c r="O25" s="31">
        <v>0.64800000000000002</v>
      </c>
      <c r="P25" s="31">
        <v>5.7700000000000001E-2</v>
      </c>
      <c r="Q25" s="31">
        <v>150</v>
      </c>
      <c r="R25" s="31" t="s">
        <v>83</v>
      </c>
      <c r="S25" s="34">
        <v>150</v>
      </c>
      <c r="T25" s="31" t="s">
        <v>946</v>
      </c>
      <c r="U25" s="130">
        <v>45681</v>
      </c>
      <c r="V25" s="132">
        <f t="shared" si="7"/>
        <v>145.91575840639999</v>
      </c>
      <c r="W25" s="132" t="s">
        <v>948</v>
      </c>
    </row>
    <row r="26" spans="1:54" x14ac:dyDescent="0.3">
      <c r="A26" s="127">
        <v>45680</v>
      </c>
      <c r="B26" s="128">
        <v>0.375</v>
      </c>
      <c r="C26" s="31" t="s">
        <v>70</v>
      </c>
      <c r="D26" s="31" t="s">
        <v>71</v>
      </c>
      <c r="E26" s="31" t="s">
        <v>920</v>
      </c>
      <c r="F26" s="31">
        <v>1</v>
      </c>
      <c r="G26" s="31" t="s">
        <v>72</v>
      </c>
      <c r="H26" s="31" t="s">
        <v>73</v>
      </c>
      <c r="I26" s="31" t="s">
        <v>81</v>
      </c>
      <c r="J26" s="31">
        <v>195</v>
      </c>
      <c r="K26" s="129">
        <v>45681</v>
      </c>
      <c r="L26" s="128">
        <v>0.45915509259259263</v>
      </c>
      <c r="M26" s="31">
        <v>1</v>
      </c>
      <c r="N26" s="31" t="s">
        <v>82</v>
      </c>
      <c r="O26" s="31">
        <v>1.39</v>
      </c>
      <c r="P26" s="31">
        <v>0.128</v>
      </c>
      <c r="Q26" s="31">
        <v>300</v>
      </c>
      <c r="R26" s="31" t="s">
        <v>83</v>
      </c>
      <c r="S26" s="34">
        <v>300</v>
      </c>
      <c r="T26" s="31" t="s">
        <v>946</v>
      </c>
      <c r="U26" s="130">
        <v>45681</v>
      </c>
      <c r="V26" s="132">
        <f t="shared" si="7"/>
        <v>305.16135410999993</v>
      </c>
      <c r="W26" s="132" t="s">
        <v>948</v>
      </c>
    </row>
    <row r="27" spans="1:54" x14ac:dyDescent="0.3">
      <c r="A27" s="127">
        <v>45680</v>
      </c>
      <c r="B27" s="128">
        <v>0.375</v>
      </c>
      <c r="C27" s="31" t="s">
        <v>70</v>
      </c>
      <c r="D27" s="31" t="s">
        <v>71</v>
      </c>
      <c r="E27" s="31" t="s">
        <v>921</v>
      </c>
      <c r="F27" s="31">
        <v>1</v>
      </c>
      <c r="G27" s="31" t="s">
        <v>72</v>
      </c>
      <c r="H27" s="31" t="s">
        <v>73</v>
      </c>
      <c r="I27" s="31" t="s">
        <v>81</v>
      </c>
      <c r="J27" s="31">
        <v>196</v>
      </c>
      <c r="K27" s="129">
        <v>45681</v>
      </c>
      <c r="L27" s="128">
        <v>0.45973379629629635</v>
      </c>
      <c r="M27" s="31">
        <v>1</v>
      </c>
      <c r="N27" s="31" t="s">
        <v>82</v>
      </c>
      <c r="O27" s="31">
        <v>2.4</v>
      </c>
      <c r="P27" s="31">
        <v>0.22700000000000001</v>
      </c>
      <c r="Q27" s="31">
        <v>500</v>
      </c>
      <c r="R27" s="31" t="s">
        <v>83</v>
      </c>
      <c r="S27" s="34">
        <v>500</v>
      </c>
      <c r="T27" s="31" t="s">
        <v>946</v>
      </c>
      <c r="U27" s="130">
        <v>45681</v>
      </c>
      <c r="V27" s="132">
        <f t="shared" si="7"/>
        <v>508.350416</v>
      </c>
      <c r="W27" s="132" t="s">
        <v>948</v>
      </c>
    </row>
    <row r="28" spans="1:54" x14ac:dyDescent="0.3">
      <c r="A28" s="32">
        <v>45685</v>
      </c>
      <c r="B28" s="33">
        <v>0.375</v>
      </c>
      <c r="C28" s="10" t="s">
        <v>70</v>
      </c>
      <c r="D28" s="10" t="s">
        <v>71</v>
      </c>
      <c r="E28" s="10" t="s">
        <v>906</v>
      </c>
      <c r="F28" s="10">
        <v>1</v>
      </c>
      <c r="G28" s="10" t="s">
        <v>72</v>
      </c>
      <c r="H28" s="10" t="s">
        <v>73</v>
      </c>
      <c r="I28" s="10" t="s">
        <v>81</v>
      </c>
      <c r="J28" s="10">
        <v>181</v>
      </c>
      <c r="K28" s="12">
        <v>45686</v>
      </c>
      <c r="L28" s="33">
        <v>0.6181712962962963</v>
      </c>
      <c r="M28" s="10">
        <v>1</v>
      </c>
      <c r="N28" s="10" t="s">
        <v>82</v>
      </c>
      <c r="O28" s="10">
        <v>7.5100000000000002E-3</v>
      </c>
      <c r="P28" s="10">
        <v>1.1900000000000001E-3</v>
      </c>
      <c r="Q28" s="10">
        <v>0</v>
      </c>
      <c r="R28" s="10" t="s">
        <v>83</v>
      </c>
      <c r="S28" s="123">
        <v>0</v>
      </c>
      <c r="T28" s="10" t="s">
        <v>961</v>
      </c>
      <c r="U28" s="45">
        <v>45686</v>
      </c>
      <c r="V28" s="124">
        <f>-17.314*O28^2+288.71*O28+0.4726</f>
        <v>2.6398355886685998</v>
      </c>
      <c r="W28" s="124" t="s">
        <v>964</v>
      </c>
    </row>
    <row r="29" spans="1:54" x14ac:dyDescent="0.3">
      <c r="A29" s="32">
        <v>45685</v>
      </c>
      <c r="B29" s="33">
        <v>0.375</v>
      </c>
      <c r="C29" s="10" t="s">
        <v>70</v>
      </c>
      <c r="D29" s="10" t="s">
        <v>71</v>
      </c>
      <c r="E29" s="10" t="s">
        <v>907</v>
      </c>
      <c r="F29" s="10">
        <v>1</v>
      </c>
      <c r="G29" s="10" t="s">
        <v>72</v>
      </c>
      <c r="H29" s="10" t="s">
        <v>73</v>
      </c>
      <c r="I29" s="10" t="s">
        <v>81</v>
      </c>
      <c r="J29" s="10">
        <v>182</v>
      </c>
      <c r="K29" s="12">
        <v>45686</v>
      </c>
      <c r="L29" s="33">
        <v>0.61409722222222218</v>
      </c>
      <c r="M29" s="10">
        <v>1</v>
      </c>
      <c r="N29" s="10" t="s">
        <v>82</v>
      </c>
      <c r="O29" s="10">
        <v>3.8600000000000002E-2</v>
      </c>
      <c r="P29" s="10">
        <v>2.8800000000000002E-3</v>
      </c>
      <c r="Q29" s="10">
        <v>12</v>
      </c>
      <c r="R29" s="10" t="s">
        <v>83</v>
      </c>
      <c r="S29" s="123">
        <v>12</v>
      </c>
      <c r="T29" s="10" t="s">
        <v>961</v>
      </c>
      <c r="U29" s="45">
        <v>45686</v>
      </c>
      <c r="V29" s="124">
        <f t="shared" ref="V29:V40" si="8">-17.314*O29^2+288.71*O29+0.4726</f>
        <v>11.59100883256</v>
      </c>
      <c r="W29" s="124" t="s">
        <v>964</v>
      </c>
    </row>
    <row r="30" spans="1:54" x14ac:dyDescent="0.3">
      <c r="A30" s="32">
        <v>45685</v>
      </c>
      <c r="B30" s="33">
        <v>0.375</v>
      </c>
      <c r="C30" s="10" t="s">
        <v>70</v>
      </c>
      <c r="D30" s="10" t="s">
        <v>71</v>
      </c>
      <c r="E30" s="10" t="s">
        <v>908</v>
      </c>
      <c r="F30" s="10">
        <v>1</v>
      </c>
      <c r="G30" s="10" t="s">
        <v>72</v>
      </c>
      <c r="H30" s="10" t="s">
        <v>73</v>
      </c>
      <c r="I30" s="10" t="s">
        <v>81</v>
      </c>
      <c r="J30" s="10">
        <v>183</v>
      </c>
      <c r="K30" s="12">
        <v>45686</v>
      </c>
      <c r="L30" s="33">
        <v>0.6146759259259259</v>
      </c>
      <c r="M30" s="10">
        <v>1</v>
      </c>
      <c r="N30" s="10" t="s">
        <v>82</v>
      </c>
      <c r="O30" s="10">
        <v>0.13700000000000001</v>
      </c>
      <c r="P30" s="10">
        <v>1.4800000000000001E-2</v>
      </c>
      <c r="Q30" s="10">
        <v>50</v>
      </c>
      <c r="R30" s="10" t="s">
        <v>83</v>
      </c>
      <c r="S30" s="123">
        <v>50</v>
      </c>
      <c r="T30" s="10" t="s">
        <v>961</v>
      </c>
      <c r="U30" s="45">
        <v>45686</v>
      </c>
      <c r="V30" s="124">
        <f t="shared" si="8"/>
        <v>39.700903533999998</v>
      </c>
      <c r="W30" s="124" t="s">
        <v>964</v>
      </c>
    </row>
    <row r="31" spans="1:54" x14ac:dyDescent="0.3">
      <c r="A31" s="32">
        <v>45685</v>
      </c>
      <c r="B31" s="33">
        <v>0.375</v>
      </c>
      <c r="C31" s="10" t="s">
        <v>70</v>
      </c>
      <c r="D31" s="10" t="s">
        <v>71</v>
      </c>
      <c r="E31" s="10" t="s">
        <v>909</v>
      </c>
      <c r="F31" s="10">
        <v>1</v>
      </c>
      <c r="G31" s="10" t="s">
        <v>72</v>
      </c>
      <c r="H31" s="10" t="s">
        <v>73</v>
      </c>
      <c r="I31" s="10" t="s">
        <v>81</v>
      </c>
      <c r="J31" s="10">
        <v>184</v>
      </c>
      <c r="K31" s="12">
        <v>45686</v>
      </c>
      <c r="L31" s="33">
        <v>0.61525462962962962</v>
      </c>
      <c r="M31" s="10">
        <v>1</v>
      </c>
      <c r="N31" s="10" t="s">
        <v>82</v>
      </c>
      <c r="O31" s="10">
        <v>0.73099999999999998</v>
      </c>
      <c r="P31" s="10">
        <v>8.0799999999999997E-2</v>
      </c>
      <c r="Q31" s="10">
        <v>200</v>
      </c>
      <c r="R31" s="10" t="s">
        <v>83</v>
      </c>
      <c r="S31" s="123">
        <v>200</v>
      </c>
      <c r="T31" s="10" t="s">
        <v>961</v>
      </c>
      <c r="U31" s="45">
        <v>45686</v>
      </c>
      <c r="V31" s="124">
        <f t="shared" si="8"/>
        <v>202.26768364599997</v>
      </c>
      <c r="W31" s="124" t="s">
        <v>964</v>
      </c>
    </row>
    <row r="32" spans="1:54" x14ac:dyDescent="0.3">
      <c r="A32" s="32">
        <v>45685</v>
      </c>
      <c r="B32" s="33">
        <v>0.375</v>
      </c>
      <c r="C32" s="10" t="s">
        <v>70</v>
      </c>
      <c r="D32" s="10" t="s">
        <v>71</v>
      </c>
      <c r="E32" s="10" t="s">
        <v>910</v>
      </c>
      <c r="F32" s="10">
        <v>1</v>
      </c>
      <c r="G32" s="10" t="s">
        <v>72</v>
      </c>
      <c r="H32" s="10" t="s">
        <v>73</v>
      </c>
      <c r="I32" s="10" t="s">
        <v>81</v>
      </c>
      <c r="J32" s="10">
        <v>185</v>
      </c>
      <c r="K32" s="12">
        <v>45686</v>
      </c>
      <c r="L32" s="33">
        <v>0.61584490740740738</v>
      </c>
      <c r="M32" s="10">
        <v>1</v>
      </c>
      <c r="N32" s="10" t="s">
        <v>82</v>
      </c>
      <c r="O32" s="10">
        <v>1.93</v>
      </c>
      <c r="P32" s="10">
        <v>0.217</v>
      </c>
      <c r="Q32" s="10">
        <v>500</v>
      </c>
      <c r="R32" s="10" t="s">
        <v>83</v>
      </c>
      <c r="S32" s="123">
        <v>500</v>
      </c>
      <c r="T32" s="10" t="s">
        <v>961</v>
      </c>
      <c r="U32" s="45">
        <v>45686</v>
      </c>
      <c r="V32" s="124">
        <f t="shared" si="8"/>
        <v>493.18998139999997</v>
      </c>
      <c r="W32" s="124" t="s">
        <v>964</v>
      </c>
    </row>
    <row r="33" spans="1:23" x14ac:dyDescent="0.3">
      <c r="A33" s="32">
        <v>45685</v>
      </c>
      <c r="B33" s="33">
        <v>0.375</v>
      </c>
      <c r="C33" s="10" t="s">
        <v>70</v>
      </c>
      <c r="D33" s="10" t="s">
        <v>71</v>
      </c>
      <c r="E33" s="10" t="s">
        <v>914</v>
      </c>
      <c r="F33" s="10">
        <v>1</v>
      </c>
      <c r="G33" s="10" t="s">
        <v>72</v>
      </c>
      <c r="H33" s="10" t="s">
        <v>73</v>
      </c>
      <c r="I33" s="10" t="s">
        <v>81</v>
      </c>
      <c r="J33" s="10">
        <v>189</v>
      </c>
      <c r="K33" s="12">
        <v>45686</v>
      </c>
      <c r="L33" s="33">
        <v>0.62340277777777775</v>
      </c>
      <c r="M33" s="10">
        <v>1</v>
      </c>
      <c r="N33" s="10" t="s">
        <v>82</v>
      </c>
      <c r="O33" s="10">
        <v>2.23E-2</v>
      </c>
      <c r="P33" s="10">
        <v>2.5999999999999999E-3</v>
      </c>
      <c r="Q33" s="10">
        <v>0</v>
      </c>
      <c r="R33" s="10" t="s">
        <v>83</v>
      </c>
      <c r="S33" s="123">
        <v>0</v>
      </c>
      <c r="T33" s="10" t="s">
        <v>961</v>
      </c>
      <c r="U33" s="45">
        <v>45686</v>
      </c>
      <c r="V33" s="124">
        <f t="shared" si="8"/>
        <v>6.902222920939999</v>
      </c>
      <c r="W33" s="124" t="s">
        <v>964</v>
      </c>
    </row>
    <row r="34" spans="1:23" x14ac:dyDescent="0.3">
      <c r="A34" s="32">
        <v>45685</v>
      </c>
      <c r="B34" s="33">
        <v>0.375</v>
      </c>
      <c r="C34" s="10" t="s">
        <v>70</v>
      </c>
      <c r="D34" s="10" t="s">
        <v>71</v>
      </c>
      <c r="E34" s="10" t="s">
        <v>915</v>
      </c>
      <c r="F34" s="10">
        <v>1</v>
      </c>
      <c r="G34" s="10" t="s">
        <v>72</v>
      </c>
      <c r="H34" s="10" t="s">
        <v>73</v>
      </c>
      <c r="I34" s="10" t="s">
        <v>81</v>
      </c>
      <c r="J34" s="10">
        <v>190</v>
      </c>
      <c r="K34" s="12">
        <v>45686</v>
      </c>
      <c r="L34" s="33">
        <v>0.62398148148148147</v>
      </c>
      <c r="M34" s="10">
        <v>1</v>
      </c>
      <c r="N34" s="10" t="s">
        <v>82</v>
      </c>
      <c r="O34" s="10">
        <v>3.7900000000000003E-2</v>
      </c>
      <c r="P34" s="10">
        <v>2.99E-3</v>
      </c>
      <c r="Q34" s="10">
        <v>5</v>
      </c>
      <c r="R34" s="10" t="s">
        <v>83</v>
      </c>
      <c r="S34" s="123">
        <v>5</v>
      </c>
      <c r="T34" s="10" t="s">
        <v>961</v>
      </c>
      <c r="U34" s="45">
        <v>45686</v>
      </c>
      <c r="V34" s="124">
        <f t="shared" si="8"/>
        <v>11.38983899726</v>
      </c>
      <c r="W34" s="124" t="s">
        <v>964</v>
      </c>
    </row>
    <row r="35" spans="1:23" x14ac:dyDescent="0.3">
      <c r="A35" s="32">
        <v>45685</v>
      </c>
      <c r="B35" s="33">
        <v>0.375</v>
      </c>
      <c r="C35" s="10" t="s">
        <v>70</v>
      </c>
      <c r="D35" s="10" t="s">
        <v>71</v>
      </c>
      <c r="E35" s="10" t="s">
        <v>916</v>
      </c>
      <c r="F35" s="10">
        <v>1</v>
      </c>
      <c r="G35" s="10" t="s">
        <v>72</v>
      </c>
      <c r="H35" s="10" t="s">
        <v>73</v>
      </c>
      <c r="I35" s="10" t="s">
        <v>81</v>
      </c>
      <c r="J35" s="10">
        <v>191</v>
      </c>
      <c r="K35" s="12">
        <v>45686</v>
      </c>
      <c r="L35" s="33">
        <v>0.62457175925925923</v>
      </c>
      <c r="M35" s="10">
        <v>1</v>
      </c>
      <c r="N35" s="10" t="s">
        <v>82</v>
      </c>
      <c r="O35" s="10">
        <v>5.62E-2</v>
      </c>
      <c r="P35" s="10">
        <v>4.5999999999999999E-3</v>
      </c>
      <c r="Q35" s="10">
        <v>15</v>
      </c>
      <c r="R35" s="10" t="s">
        <v>83</v>
      </c>
      <c r="S35" s="123">
        <v>15</v>
      </c>
      <c r="T35" s="10" t="s">
        <v>961</v>
      </c>
      <c r="U35" s="45">
        <v>45686</v>
      </c>
      <c r="V35" s="124">
        <f t="shared" si="8"/>
        <v>16.643416769839998</v>
      </c>
      <c r="W35" s="124" t="s">
        <v>964</v>
      </c>
    </row>
    <row r="36" spans="1:23" x14ac:dyDescent="0.3">
      <c r="A36" s="32">
        <v>45685</v>
      </c>
      <c r="B36" s="33">
        <v>0.375</v>
      </c>
      <c r="C36" s="10" t="s">
        <v>70</v>
      </c>
      <c r="D36" s="10" t="s">
        <v>71</v>
      </c>
      <c r="E36" s="10" t="s">
        <v>917</v>
      </c>
      <c r="F36" s="10">
        <v>1</v>
      </c>
      <c r="G36" s="10" t="s">
        <v>72</v>
      </c>
      <c r="H36" s="10" t="s">
        <v>73</v>
      </c>
      <c r="I36" s="10" t="s">
        <v>81</v>
      </c>
      <c r="J36" s="10">
        <v>192</v>
      </c>
      <c r="K36" s="12">
        <v>45686</v>
      </c>
      <c r="L36" s="33">
        <v>0.62515046296296295</v>
      </c>
      <c r="M36" s="10">
        <v>1</v>
      </c>
      <c r="N36" s="10" t="s">
        <v>82</v>
      </c>
      <c r="O36" s="10">
        <v>6.4100000000000004E-2</v>
      </c>
      <c r="P36" s="10">
        <v>5.5199999999999997E-3</v>
      </c>
      <c r="Q36" s="10">
        <v>20</v>
      </c>
      <c r="R36" s="10" t="s">
        <v>83</v>
      </c>
      <c r="S36" s="123">
        <v>20</v>
      </c>
      <c r="T36" s="10" t="s">
        <v>961</v>
      </c>
      <c r="U36" s="45">
        <v>45686</v>
      </c>
      <c r="V36" s="124">
        <f t="shared" si="8"/>
        <v>18.90777106366</v>
      </c>
      <c r="W36" s="124" t="s">
        <v>964</v>
      </c>
    </row>
    <row r="37" spans="1:23" x14ac:dyDescent="0.3">
      <c r="A37" s="32">
        <v>45685</v>
      </c>
      <c r="B37" s="33">
        <v>0.375</v>
      </c>
      <c r="C37" s="10" t="s">
        <v>70</v>
      </c>
      <c r="D37" s="10" t="s">
        <v>71</v>
      </c>
      <c r="E37" s="10" t="s">
        <v>918</v>
      </c>
      <c r="F37" s="10">
        <v>1</v>
      </c>
      <c r="G37" s="10" t="s">
        <v>72</v>
      </c>
      <c r="H37" s="10" t="s">
        <v>73</v>
      </c>
      <c r="I37" s="10" t="s">
        <v>81</v>
      </c>
      <c r="J37" s="10">
        <v>193</v>
      </c>
      <c r="K37" s="12">
        <v>45686</v>
      </c>
      <c r="L37" s="33">
        <v>0.62572916666666667</v>
      </c>
      <c r="M37" s="10">
        <v>1</v>
      </c>
      <c r="N37" s="10" t="s">
        <v>82</v>
      </c>
      <c r="O37" s="10">
        <v>0.23100000000000001</v>
      </c>
      <c r="P37" s="10">
        <v>2.58E-2</v>
      </c>
      <c r="Q37" s="10">
        <v>75</v>
      </c>
      <c r="R37" s="10" t="s">
        <v>83</v>
      </c>
      <c r="S37" s="123">
        <v>75</v>
      </c>
      <c r="T37" s="10" t="s">
        <v>961</v>
      </c>
      <c r="U37" s="45">
        <v>45686</v>
      </c>
      <c r="V37" s="124">
        <f t="shared" si="8"/>
        <v>66.240717645999993</v>
      </c>
      <c r="W37" s="124" t="s">
        <v>964</v>
      </c>
    </row>
    <row r="38" spans="1:23" x14ac:dyDescent="0.3">
      <c r="A38" s="32">
        <v>45685</v>
      </c>
      <c r="B38" s="33">
        <v>0.375</v>
      </c>
      <c r="C38" s="10" t="s">
        <v>70</v>
      </c>
      <c r="D38" s="10" t="s">
        <v>71</v>
      </c>
      <c r="E38" s="10" t="s">
        <v>919</v>
      </c>
      <c r="F38" s="10">
        <v>1</v>
      </c>
      <c r="G38" s="10" t="s">
        <v>72</v>
      </c>
      <c r="H38" s="10" t="s">
        <v>73</v>
      </c>
      <c r="I38" s="10" t="s">
        <v>81</v>
      </c>
      <c r="J38" s="10">
        <v>194</v>
      </c>
      <c r="K38" s="12">
        <v>45686</v>
      </c>
      <c r="L38" s="33">
        <v>0.62630787037037039</v>
      </c>
      <c r="M38" s="10">
        <v>1</v>
      </c>
      <c r="N38" s="10" t="s">
        <v>82</v>
      </c>
      <c r="O38" s="10">
        <v>0.52100000000000002</v>
      </c>
      <c r="P38" s="10">
        <v>5.7299999999999997E-2</v>
      </c>
      <c r="Q38" s="10">
        <v>150</v>
      </c>
      <c r="R38" s="10" t="s">
        <v>83</v>
      </c>
      <c r="S38" s="123">
        <v>150</v>
      </c>
      <c r="T38" s="10" t="s">
        <v>961</v>
      </c>
      <c r="U38" s="45">
        <v>45686</v>
      </c>
      <c r="V38" s="124">
        <f t="shared" si="8"/>
        <v>146.190780526</v>
      </c>
      <c r="W38" s="124" t="s">
        <v>964</v>
      </c>
    </row>
    <row r="39" spans="1:23" x14ac:dyDescent="0.3">
      <c r="A39" s="32">
        <v>45685</v>
      </c>
      <c r="B39" s="33">
        <v>0.375</v>
      </c>
      <c r="C39" s="10" t="s">
        <v>70</v>
      </c>
      <c r="D39" s="10" t="s">
        <v>71</v>
      </c>
      <c r="E39" s="10" t="s">
        <v>920</v>
      </c>
      <c r="F39" s="10">
        <v>1</v>
      </c>
      <c r="G39" s="10" t="s">
        <v>72</v>
      </c>
      <c r="H39" s="10" t="s">
        <v>73</v>
      </c>
      <c r="I39" s="10" t="s">
        <v>81</v>
      </c>
      <c r="J39" s="10">
        <v>195</v>
      </c>
      <c r="K39" s="12">
        <v>45686</v>
      </c>
      <c r="L39" s="33">
        <v>0.62689814814814815</v>
      </c>
      <c r="M39" s="10">
        <v>1</v>
      </c>
      <c r="N39" s="10" t="s">
        <v>82</v>
      </c>
      <c r="O39" s="10">
        <v>1.1399999999999999</v>
      </c>
      <c r="P39" s="10">
        <v>0.125</v>
      </c>
      <c r="Q39" s="10">
        <v>300</v>
      </c>
      <c r="R39" s="10" t="s">
        <v>83</v>
      </c>
      <c r="S39" s="123">
        <v>300</v>
      </c>
      <c r="T39" s="10" t="s">
        <v>961</v>
      </c>
      <c r="U39" s="45">
        <v>45686</v>
      </c>
      <c r="V39" s="124">
        <f t="shared" si="8"/>
        <v>307.10072559999998</v>
      </c>
      <c r="W39" s="124" t="s">
        <v>964</v>
      </c>
    </row>
    <row r="40" spans="1:23" x14ac:dyDescent="0.3">
      <c r="A40" s="32">
        <v>45685</v>
      </c>
      <c r="B40" s="33">
        <v>0.375</v>
      </c>
      <c r="C40" s="10" t="s">
        <v>70</v>
      </c>
      <c r="D40" s="10" t="s">
        <v>71</v>
      </c>
      <c r="E40" s="10" t="s">
        <v>921</v>
      </c>
      <c r="F40" s="10">
        <v>1</v>
      </c>
      <c r="G40" s="10" t="s">
        <v>72</v>
      </c>
      <c r="H40" s="10" t="s">
        <v>73</v>
      </c>
      <c r="I40" s="10" t="s">
        <v>81</v>
      </c>
      <c r="J40" s="10">
        <v>196</v>
      </c>
      <c r="K40" s="12">
        <v>45686</v>
      </c>
      <c r="L40" s="33">
        <v>0.62747685185185187</v>
      </c>
      <c r="M40" s="10">
        <v>1</v>
      </c>
      <c r="N40" s="10" t="s">
        <v>82</v>
      </c>
      <c r="O40" s="10">
        <v>1.98</v>
      </c>
      <c r="P40" s="10">
        <v>0.223</v>
      </c>
      <c r="Q40" s="10">
        <v>500</v>
      </c>
      <c r="R40" s="10" t="s">
        <v>83</v>
      </c>
      <c r="S40" s="123">
        <v>500</v>
      </c>
      <c r="T40" s="10" t="s">
        <v>961</v>
      </c>
      <c r="U40" s="45">
        <v>45686</v>
      </c>
      <c r="V40" s="124">
        <f t="shared" si="8"/>
        <v>504.24059440000002</v>
      </c>
      <c r="W40" s="124" t="s">
        <v>964</v>
      </c>
    </row>
    <row r="41" spans="1:23" x14ac:dyDescent="0.3">
      <c r="A41" s="127">
        <v>45692</v>
      </c>
      <c r="B41" s="128">
        <v>0.375</v>
      </c>
      <c r="C41" s="31" t="s">
        <v>70</v>
      </c>
      <c r="D41" s="31" t="s">
        <v>71</v>
      </c>
      <c r="E41" s="31" t="s">
        <v>906</v>
      </c>
      <c r="F41" s="31">
        <v>1</v>
      </c>
      <c r="G41" s="31" t="s">
        <v>72</v>
      </c>
      <c r="H41" s="31" t="s">
        <v>73</v>
      </c>
      <c r="I41" s="31" t="s">
        <v>81</v>
      </c>
      <c r="J41" s="31">
        <v>181</v>
      </c>
      <c r="K41" s="129">
        <v>45692</v>
      </c>
      <c r="L41" s="128">
        <v>0.63047453703703704</v>
      </c>
      <c r="M41" s="31">
        <v>1</v>
      </c>
      <c r="N41" s="31" t="s">
        <v>82</v>
      </c>
      <c r="O41" s="31">
        <v>1.7399999999999999E-2</v>
      </c>
      <c r="P41" s="31">
        <v>2.0200000000000001E-3</v>
      </c>
      <c r="Q41" s="31">
        <v>0</v>
      </c>
      <c r="R41" s="31" t="s">
        <v>83</v>
      </c>
      <c r="S41" s="34">
        <v>0</v>
      </c>
      <c r="T41" s="31" t="s">
        <v>972</v>
      </c>
      <c r="U41" s="130">
        <v>45692</v>
      </c>
      <c r="V41" s="132">
        <f>-16.641*O41^2+252.95*O41-1.0931</f>
        <v>3.3031917708399998</v>
      </c>
      <c r="W41" s="132" t="s">
        <v>974</v>
      </c>
    </row>
    <row r="42" spans="1:23" x14ac:dyDescent="0.3">
      <c r="A42" s="127">
        <v>45692</v>
      </c>
      <c r="B42" s="128">
        <v>0.375</v>
      </c>
      <c r="C42" s="31" t="s">
        <v>70</v>
      </c>
      <c r="D42" s="31" t="s">
        <v>71</v>
      </c>
      <c r="E42" s="31" t="s">
        <v>907</v>
      </c>
      <c r="F42" s="31">
        <v>1</v>
      </c>
      <c r="G42" s="31" t="s">
        <v>72</v>
      </c>
      <c r="H42" s="31" t="s">
        <v>73</v>
      </c>
      <c r="I42" s="31" t="s">
        <v>81</v>
      </c>
      <c r="J42" s="31">
        <v>182</v>
      </c>
      <c r="K42" s="129">
        <v>45692</v>
      </c>
      <c r="L42" s="128">
        <v>0.63105324074074076</v>
      </c>
      <c r="M42" s="31">
        <v>1</v>
      </c>
      <c r="N42" s="31" t="s">
        <v>82</v>
      </c>
      <c r="O42" s="31">
        <v>4.4600000000000001E-2</v>
      </c>
      <c r="P42" s="31">
        <v>2.98E-3</v>
      </c>
      <c r="Q42" s="31">
        <v>12</v>
      </c>
      <c r="R42" s="31" t="s">
        <v>83</v>
      </c>
      <c r="S42" s="34">
        <v>12</v>
      </c>
      <c r="T42" s="31" t="s">
        <v>972</v>
      </c>
      <c r="U42" s="130">
        <v>45692</v>
      </c>
      <c r="V42" s="132">
        <f t="shared" ref="V42:V53" si="9">-16.641*O42^2+252.95*O42-1.0931</f>
        <v>10.155368388440001</v>
      </c>
      <c r="W42" s="132" t="s">
        <v>974</v>
      </c>
    </row>
    <row r="43" spans="1:23" x14ac:dyDescent="0.3">
      <c r="A43" s="127">
        <v>45692</v>
      </c>
      <c r="B43" s="128">
        <v>0.375</v>
      </c>
      <c r="C43" s="31" t="s">
        <v>70</v>
      </c>
      <c r="D43" s="31" t="s">
        <v>71</v>
      </c>
      <c r="E43" s="31" t="s">
        <v>908</v>
      </c>
      <c r="F43" s="31">
        <v>1</v>
      </c>
      <c r="G43" s="31" t="s">
        <v>72</v>
      </c>
      <c r="H43" s="31" t="s">
        <v>73</v>
      </c>
      <c r="I43" s="31" t="s">
        <v>81</v>
      </c>
      <c r="J43" s="31">
        <v>183</v>
      </c>
      <c r="K43" s="129">
        <v>45692</v>
      </c>
      <c r="L43" s="128">
        <v>0.63164351851851852</v>
      </c>
      <c r="M43" s="31">
        <v>1</v>
      </c>
      <c r="N43" s="31" t="s">
        <v>82</v>
      </c>
      <c r="O43" s="31">
        <v>0.16200000000000001</v>
      </c>
      <c r="P43" s="31">
        <v>1.47E-2</v>
      </c>
      <c r="Q43" s="31">
        <v>50</v>
      </c>
      <c r="R43" s="31" t="s">
        <v>83</v>
      </c>
      <c r="S43" s="34">
        <v>50</v>
      </c>
      <c r="T43" s="31" t="s">
        <v>972</v>
      </c>
      <c r="U43" s="130">
        <v>45692</v>
      </c>
      <c r="V43" s="132">
        <f t="shared" si="9"/>
        <v>39.448073596</v>
      </c>
      <c r="W43" s="132" t="s">
        <v>974</v>
      </c>
    </row>
    <row r="44" spans="1:23" x14ac:dyDescent="0.3">
      <c r="A44" s="127">
        <v>45692</v>
      </c>
      <c r="B44" s="128">
        <v>0.375</v>
      </c>
      <c r="C44" s="31" t="s">
        <v>70</v>
      </c>
      <c r="D44" s="31" t="s">
        <v>71</v>
      </c>
      <c r="E44" s="31" t="s">
        <v>909</v>
      </c>
      <c r="F44" s="31">
        <v>1</v>
      </c>
      <c r="G44" s="31" t="s">
        <v>72</v>
      </c>
      <c r="H44" s="31" t="s">
        <v>73</v>
      </c>
      <c r="I44" s="31" t="s">
        <v>81</v>
      </c>
      <c r="J44" s="31">
        <v>184</v>
      </c>
      <c r="K44" s="129">
        <v>45692</v>
      </c>
      <c r="L44" s="128">
        <v>0.63223379629629628</v>
      </c>
      <c r="M44" s="31">
        <v>1</v>
      </c>
      <c r="N44" s="31" t="s">
        <v>82</v>
      </c>
      <c r="O44" s="31">
        <v>0.80900000000000005</v>
      </c>
      <c r="P44" s="31">
        <v>7.7499999999999999E-2</v>
      </c>
      <c r="Q44" s="31">
        <v>200</v>
      </c>
      <c r="R44" s="31" t="s">
        <v>83</v>
      </c>
      <c r="S44" s="34">
        <v>200</v>
      </c>
      <c r="T44" s="31" t="s">
        <v>972</v>
      </c>
      <c r="U44" s="130">
        <v>45692</v>
      </c>
      <c r="V44" s="132">
        <f t="shared" si="9"/>
        <v>192.65223167900001</v>
      </c>
      <c r="W44" s="132" t="s">
        <v>974</v>
      </c>
    </row>
    <row r="45" spans="1:23" x14ac:dyDescent="0.3">
      <c r="A45" s="127">
        <v>45692</v>
      </c>
      <c r="B45" s="128">
        <v>0.375</v>
      </c>
      <c r="C45" s="31" t="s">
        <v>70</v>
      </c>
      <c r="D45" s="31" t="s">
        <v>71</v>
      </c>
      <c r="E45" s="31" t="s">
        <v>910</v>
      </c>
      <c r="F45" s="31">
        <v>1</v>
      </c>
      <c r="G45" s="31" t="s">
        <v>72</v>
      </c>
      <c r="H45" s="31" t="s">
        <v>73</v>
      </c>
      <c r="I45" s="31" t="s">
        <v>81</v>
      </c>
      <c r="J45" s="31">
        <v>185</v>
      </c>
      <c r="K45" s="129">
        <v>45692</v>
      </c>
      <c r="L45" s="128">
        <v>0.6328125</v>
      </c>
      <c r="M45" s="31">
        <v>1</v>
      </c>
      <c r="N45" s="31" t="s">
        <v>82</v>
      </c>
      <c r="O45" s="31">
        <v>2.29</v>
      </c>
      <c r="P45" s="31">
        <v>0.22</v>
      </c>
      <c r="Q45" s="31">
        <v>500</v>
      </c>
      <c r="R45" s="31" t="s">
        <v>83</v>
      </c>
      <c r="S45" s="34">
        <v>500</v>
      </c>
      <c r="T45" s="31" t="s">
        <v>972</v>
      </c>
      <c r="U45" s="130">
        <v>45692</v>
      </c>
      <c r="V45" s="132">
        <f t="shared" si="9"/>
        <v>490.89533189999997</v>
      </c>
      <c r="W45" s="132" t="s">
        <v>974</v>
      </c>
    </row>
    <row r="46" spans="1:23" x14ac:dyDescent="0.3">
      <c r="A46" s="127">
        <v>45692</v>
      </c>
      <c r="B46" s="128">
        <v>0.375</v>
      </c>
      <c r="C46" s="31" t="s">
        <v>70</v>
      </c>
      <c r="D46" s="31" t="s">
        <v>71</v>
      </c>
      <c r="E46" s="31" t="s">
        <v>914</v>
      </c>
      <c r="F46" s="31">
        <v>1</v>
      </c>
      <c r="G46" s="31" t="s">
        <v>72</v>
      </c>
      <c r="H46" s="31" t="s">
        <v>73</v>
      </c>
      <c r="I46" s="31" t="s">
        <v>81</v>
      </c>
      <c r="J46" s="31">
        <v>189</v>
      </c>
      <c r="K46" s="129">
        <v>45692</v>
      </c>
      <c r="L46" s="128">
        <v>0.63512731481481477</v>
      </c>
      <c r="M46" s="31">
        <v>1</v>
      </c>
      <c r="N46" s="31" t="s">
        <v>82</v>
      </c>
      <c r="O46" s="31">
        <v>2.87E-2</v>
      </c>
      <c r="P46" s="31">
        <v>2.7299999999999998E-3</v>
      </c>
      <c r="Q46" s="31">
        <v>0</v>
      </c>
      <c r="R46" s="31" t="s">
        <v>83</v>
      </c>
      <c r="S46" s="34">
        <v>0</v>
      </c>
      <c r="T46" s="31" t="s">
        <v>972</v>
      </c>
      <c r="U46" s="130">
        <v>45692</v>
      </c>
      <c r="V46" s="132">
        <f t="shared" si="9"/>
        <v>6.1528579747100007</v>
      </c>
      <c r="W46" s="132" t="s">
        <v>974</v>
      </c>
    </row>
    <row r="47" spans="1:23" x14ac:dyDescent="0.3">
      <c r="A47" s="127">
        <v>45692</v>
      </c>
      <c r="B47" s="128">
        <v>0.375</v>
      </c>
      <c r="C47" s="31" t="s">
        <v>70</v>
      </c>
      <c r="D47" s="31" t="s">
        <v>71</v>
      </c>
      <c r="E47" s="31" t="s">
        <v>915</v>
      </c>
      <c r="F47" s="31">
        <v>1</v>
      </c>
      <c r="G47" s="31" t="s">
        <v>72</v>
      </c>
      <c r="H47" s="31" t="s">
        <v>73</v>
      </c>
      <c r="I47" s="31" t="s">
        <v>81</v>
      </c>
      <c r="J47" s="31">
        <v>190</v>
      </c>
      <c r="K47" s="129">
        <v>45692</v>
      </c>
      <c r="L47" s="128">
        <v>0.63571759259259253</v>
      </c>
      <c r="M47" s="31">
        <v>1</v>
      </c>
      <c r="N47" s="31" t="s">
        <v>82</v>
      </c>
      <c r="O47" s="31">
        <v>4.6899999999999997E-2</v>
      </c>
      <c r="P47" s="31">
        <v>5.2199999999999998E-3</v>
      </c>
      <c r="Q47" s="31">
        <v>5</v>
      </c>
      <c r="R47" s="31" t="s">
        <v>83</v>
      </c>
      <c r="S47" s="34">
        <v>5</v>
      </c>
      <c r="T47" s="31" t="s">
        <v>972</v>
      </c>
      <c r="U47" s="130">
        <v>45692</v>
      </c>
      <c r="V47" s="132">
        <f t="shared" si="9"/>
        <v>10.733651289989998</v>
      </c>
      <c r="W47" s="132" t="s">
        <v>974</v>
      </c>
    </row>
    <row r="48" spans="1:23" x14ac:dyDescent="0.3">
      <c r="A48" s="127">
        <v>45692</v>
      </c>
      <c r="B48" s="128">
        <v>0.375</v>
      </c>
      <c r="C48" s="31" t="s">
        <v>70</v>
      </c>
      <c r="D48" s="31" t="s">
        <v>71</v>
      </c>
      <c r="E48" s="31" t="s">
        <v>916</v>
      </c>
      <c r="F48" s="31">
        <v>1</v>
      </c>
      <c r="G48" s="31" t="s">
        <v>72</v>
      </c>
      <c r="H48" s="31" t="s">
        <v>73</v>
      </c>
      <c r="I48" s="31" t="s">
        <v>81</v>
      </c>
      <c r="J48" s="31">
        <v>191</v>
      </c>
      <c r="K48" s="129">
        <v>45692</v>
      </c>
      <c r="L48" s="128">
        <v>0.63629629629629625</v>
      </c>
      <c r="M48" s="31">
        <v>1</v>
      </c>
      <c r="N48" s="31" t="s">
        <v>82</v>
      </c>
      <c r="O48" s="31">
        <v>6.9900000000000004E-2</v>
      </c>
      <c r="P48" s="31">
        <v>4.2700000000000004E-3</v>
      </c>
      <c r="Q48" s="31">
        <v>15</v>
      </c>
      <c r="R48" s="31" t="s">
        <v>83</v>
      </c>
      <c r="S48" s="34">
        <v>15</v>
      </c>
      <c r="T48" s="31" t="s">
        <v>972</v>
      </c>
      <c r="U48" s="130">
        <v>45692</v>
      </c>
      <c r="V48" s="132">
        <f t="shared" si="9"/>
        <v>16.506796907589997</v>
      </c>
      <c r="W48" s="132" t="s">
        <v>974</v>
      </c>
    </row>
    <row r="49" spans="1:23" x14ac:dyDescent="0.3">
      <c r="A49" s="127">
        <v>45692</v>
      </c>
      <c r="B49" s="128">
        <v>0.375</v>
      </c>
      <c r="C49" s="31" t="s">
        <v>70</v>
      </c>
      <c r="D49" s="31" t="s">
        <v>71</v>
      </c>
      <c r="E49" s="31" t="s">
        <v>917</v>
      </c>
      <c r="F49" s="31">
        <v>1</v>
      </c>
      <c r="G49" s="31" t="s">
        <v>72</v>
      </c>
      <c r="H49" s="31" t="s">
        <v>73</v>
      </c>
      <c r="I49" s="31" t="s">
        <v>81</v>
      </c>
      <c r="J49" s="31">
        <v>192</v>
      </c>
      <c r="K49" s="129">
        <v>45692</v>
      </c>
      <c r="L49" s="128">
        <v>0.63687499999999997</v>
      </c>
      <c r="M49" s="31">
        <v>1</v>
      </c>
      <c r="N49" s="31" t="s">
        <v>82</v>
      </c>
      <c r="O49" s="31">
        <v>8.5199999999999998E-2</v>
      </c>
      <c r="P49" s="31">
        <v>5.6899999999999997E-3</v>
      </c>
      <c r="Q49" s="31">
        <v>20</v>
      </c>
      <c r="R49" s="31" t="s">
        <v>83</v>
      </c>
      <c r="S49" s="34">
        <v>20</v>
      </c>
      <c r="T49" s="31" t="s">
        <v>972</v>
      </c>
      <c r="U49" s="130">
        <v>45692</v>
      </c>
      <c r="V49" s="132">
        <f t="shared" si="9"/>
        <v>20.337442315360001</v>
      </c>
      <c r="W49" s="132" t="s">
        <v>974</v>
      </c>
    </row>
    <row r="50" spans="1:23" x14ac:dyDescent="0.3">
      <c r="A50" s="127">
        <v>45692</v>
      </c>
      <c r="B50" s="128">
        <v>0.375</v>
      </c>
      <c r="C50" s="31" t="s">
        <v>70</v>
      </c>
      <c r="D50" s="31" t="s">
        <v>71</v>
      </c>
      <c r="E50" s="31" t="s">
        <v>918</v>
      </c>
      <c r="F50" s="31">
        <v>1</v>
      </c>
      <c r="G50" s="31" t="s">
        <v>72</v>
      </c>
      <c r="H50" s="31" t="s">
        <v>73</v>
      </c>
      <c r="I50" s="31" t="s">
        <v>81</v>
      </c>
      <c r="J50" s="31">
        <v>193</v>
      </c>
      <c r="K50" s="129">
        <v>45692</v>
      </c>
      <c r="L50" s="128">
        <v>0.63746527777777773</v>
      </c>
      <c r="M50" s="31">
        <v>1</v>
      </c>
      <c r="N50" s="31" t="s">
        <v>82</v>
      </c>
      <c r="O50" s="31">
        <v>0.29099999999999998</v>
      </c>
      <c r="P50" s="31">
        <v>2.64E-2</v>
      </c>
      <c r="Q50" s="31">
        <v>75</v>
      </c>
      <c r="R50" s="31" t="s">
        <v>83</v>
      </c>
      <c r="S50" s="34">
        <v>75</v>
      </c>
      <c r="T50" s="31" t="s">
        <v>972</v>
      </c>
      <c r="U50" s="130">
        <v>45692</v>
      </c>
      <c r="V50" s="132">
        <f t="shared" si="9"/>
        <v>71.106173478999978</v>
      </c>
      <c r="W50" s="132" t="s">
        <v>974</v>
      </c>
    </row>
    <row r="51" spans="1:23" x14ac:dyDescent="0.3">
      <c r="A51" s="127">
        <v>45692</v>
      </c>
      <c r="B51" s="128">
        <v>0.375</v>
      </c>
      <c r="C51" s="31" t="s">
        <v>70</v>
      </c>
      <c r="D51" s="31" t="s">
        <v>71</v>
      </c>
      <c r="E51" s="31" t="s">
        <v>919</v>
      </c>
      <c r="F51" s="31">
        <v>1</v>
      </c>
      <c r="G51" s="31" t="s">
        <v>72</v>
      </c>
      <c r="H51" s="31" t="s">
        <v>73</v>
      </c>
      <c r="I51" s="31" t="s">
        <v>81</v>
      </c>
      <c r="J51" s="31">
        <v>194</v>
      </c>
      <c r="K51" s="129">
        <v>45692</v>
      </c>
      <c r="L51" s="128">
        <v>0.63804398148148145</v>
      </c>
      <c r="M51" s="31">
        <v>1</v>
      </c>
      <c r="N51" s="31" t="s">
        <v>82</v>
      </c>
      <c r="O51" s="31">
        <v>0.60799999999999998</v>
      </c>
      <c r="P51" s="31">
        <v>5.6300000000000003E-2</v>
      </c>
      <c r="Q51" s="31">
        <v>150</v>
      </c>
      <c r="R51" s="31" t="s">
        <v>83</v>
      </c>
      <c r="S51" s="34">
        <v>150</v>
      </c>
      <c r="T51" s="31" t="s">
        <v>972</v>
      </c>
      <c r="U51" s="130">
        <v>45692</v>
      </c>
      <c r="V51" s="132">
        <f t="shared" si="9"/>
        <v>146.54892137600001</v>
      </c>
      <c r="W51" s="132" t="s">
        <v>974</v>
      </c>
    </row>
    <row r="52" spans="1:23" x14ac:dyDescent="0.3">
      <c r="A52" s="127">
        <v>45692</v>
      </c>
      <c r="B52" s="128">
        <v>0.375</v>
      </c>
      <c r="C52" s="31" t="s">
        <v>70</v>
      </c>
      <c r="D52" s="31" t="s">
        <v>71</v>
      </c>
      <c r="E52" s="31" t="s">
        <v>920</v>
      </c>
      <c r="F52" s="31">
        <v>1</v>
      </c>
      <c r="G52" s="31" t="s">
        <v>72</v>
      </c>
      <c r="H52" s="31" t="s">
        <v>73</v>
      </c>
      <c r="I52" s="31" t="s">
        <v>81</v>
      </c>
      <c r="J52" s="31">
        <v>195</v>
      </c>
      <c r="K52" s="129">
        <v>45692</v>
      </c>
      <c r="L52" s="128">
        <v>0.63862268518518517</v>
      </c>
      <c r="M52" s="31">
        <v>1</v>
      </c>
      <c r="N52" s="31" t="s">
        <v>82</v>
      </c>
      <c r="O52" s="31">
        <v>1.37</v>
      </c>
      <c r="P52" s="31">
        <v>0.129</v>
      </c>
      <c r="Q52" s="31">
        <v>300</v>
      </c>
      <c r="R52" s="31" t="s">
        <v>83</v>
      </c>
      <c r="S52" s="34">
        <v>300</v>
      </c>
      <c r="T52" s="31" t="s">
        <v>972</v>
      </c>
      <c r="U52" s="130">
        <v>45692</v>
      </c>
      <c r="V52" s="132">
        <f t="shared" si="9"/>
        <v>314.2149071</v>
      </c>
      <c r="W52" s="132" t="s">
        <v>974</v>
      </c>
    </row>
    <row r="53" spans="1:23" x14ac:dyDescent="0.3">
      <c r="A53" s="127">
        <v>45692</v>
      </c>
      <c r="B53" s="128">
        <v>0.375</v>
      </c>
      <c r="C53" s="31" t="s">
        <v>70</v>
      </c>
      <c r="D53" s="31" t="s">
        <v>71</v>
      </c>
      <c r="E53" s="31" t="s">
        <v>921</v>
      </c>
      <c r="F53" s="31">
        <v>1</v>
      </c>
      <c r="G53" s="31" t="s">
        <v>72</v>
      </c>
      <c r="H53" s="31" t="s">
        <v>73</v>
      </c>
      <c r="I53" s="31" t="s">
        <v>81</v>
      </c>
      <c r="J53" s="31">
        <v>196</v>
      </c>
      <c r="K53" s="129">
        <v>45692</v>
      </c>
      <c r="L53" s="128">
        <v>0.63920138888888889</v>
      </c>
      <c r="M53" s="31">
        <v>1</v>
      </c>
      <c r="N53" s="31" t="s">
        <v>82</v>
      </c>
      <c r="O53" s="31">
        <v>2.37</v>
      </c>
      <c r="P53" s="31">
        <v>0.22900000000000001</v>
      </c>
      <c r="Q53" s="31">
        <v>500</v>
      </c>
      <c r="R53" s="31" t="s">
        <v>83</v>
      </c>
      <c r="S53" s="34">
        <v>500</v>
      </c>
      <c r="T53" s="31" t="s">
        <v>972</v>
      </c>
      <c r="U53" s="130">
        <v>45692</v>
      </c>
      <c r="V53" s="132">
        <f t="shared" si="9"/>
        <v>504.92756709999998</v>
      </c>
      <c r="W53" s="132" t="s">
        <v>974</v>
      </c>
    </row>
    <row r="54" spans="1:23" x14ac:dyDescent="0.3">
      <c r="A54" s="32">
        <v>45699</v>
      </c>
      <c r="B54" s="33">
        <v>0.375</v>
      </c>
      <c r="C54" s="10" t="s">
        <v>70</v>
      </c>
      <c r="D54" s="10" t="s">
        <v>71</v>
      </c>
      <c r="E54" s="10" t="s">
        <v>906</v>
      </c>
      <c r="F54" s="10">
        <v>1</v>
      </c>
      <c r="G54" s="10" t="s">
        <v>72</v>
      </c>
      <c r="H54" s="10" t="s">
        <v>73</v>
      </c>
      <c r="I54" s="10" t="s">
        <v>81</v>
      </c>
      <c r="J54" s="10">
        <v>181</v>
      </c>
      <c r="K54" s="12">
        <v>45699</v>
      </c>
      <c r="L54" s="33">
        <v>0.67402777777777778</v>
      </c>
      <c r="M54" s="10">
        <v>1</v>
      </c>
      <c r="N54" s="10" t="s">
        <v>82</v>
      </c>
      <c r="O54" s="10">
        <v>5.1299999999999998E-2</v>
      </c>
      <c r="P54" s="10">
        <v>3.9500000000000004E-3</v>
      </c>
      <c r="Q54" s="10">
        <v>0</v>
      </c>
      <c r="R54" s="10" t="s">
        <v>83</v>
      </c>
      <c r="S54" s="123">
        <v>0</v>
      </c>
      <c r="T54" s="10" t="s">
        <v>980</v>
      </c>
      <c r="U54" s="45">
        <v>45699</v>
      </c>
      <c r="V54" s="124">
        <f>-14.932*O54^2+275.41*O54-8.012</f>
        <v>6.0772366049200013</v>
      </c>
      <c r="W54" s="124" t="s">
        <v>982</v>
      </c>
    </row>
    <row r="55" spans="1:23" x14ac:dyDescent="0.3">
      <c r="A55" s="32">
        <v>45699</v>
      </c>
      <c r="B55" s="33">
        <v>0.375</v>
      </c>
      <c r="C55" s="10" t="s">
        <v>70</v>
      </c>
      <c r="D55" s="10" t="s">
        <v>71</v>
      </c>
      <c r="E55" s="10" t="s">
        <v>907</v>
      </c>
      <c r="F55" s="10">
        <v>1</v>
      </c>
      <c r="G55" s="10" t="s">
        <v>72</v>
      </c>
      <c r="H55" s="10" t="s">
        <v>73</v>
      </c>
      <c r="I55" s="10" t="s">
        <v>81</v>
      </c>
      <c r="J55" s="10">
        <v>182</v>
      </c>
      <c r="K55" s="12">
        <v>45699</v>
      </c>
      <c r="L55" s="33">
        <v>0.67461805555555554</v>
      </c>
      <c r="M55" s="10">
        <v>1</v>
      </c>
      <c r="N55" s="10" t="s">
        <v>82</v>
      </c>
      <c r="O55" s="10">
        <v>6.08E-2</v>
      </c>
      <c r="P55" s="10">
        <v>4.0899999999999999E-3</v>
      </c>
      <c r="Q55" s="10">
        <v>12</v>
      </c>
      <c r="R55" s="10" t="s">
        <v>83</v>
      </c>
      <c r="S55" s="123">
        <v>12</v>
      </c>
      <c r="T55" s="10" t="s">
        <v>980</v>
      </c>
      <c r="U55" s="45">
        <v>45699</v>
      </c>
      <c r="V55" s="124">
        <f t="shared" ref="V55:V66" si="10">-14.932*O55^2+275.41*O55-8.012</f>
        <v>8.6777297715200028</v>
      </c>
      <c r="W55" s="124" t="s">
        <v>982</v>
      </c>
    </row>
    <row r="56" spans="1:23" x14ac:dyDescent="0.3">
      <c r="A56" s="32">
        <v>45699</v>
      </c>
      <c r="B56" s="33">
        <v>0.375</v>
      </c>
      <c r="C56" s="10" t="s">
        <v>70</v>
      </c>
      <c r="D56" s="10" t="s">
        <v>71</v>
      </c>
      <c r="E56" s="10" t="s">
        <v>908</v>
      </c>
      <c r="F56" s="10">
        <v>1</v>
      </c>
      <c r="G56" s="10" t="s">
        <v>72</v>
      </c>
      <c r="H56" s="10" t="s">
        <v>73</v>
      </c>
      <c r="I56" s="10" t="s">
        <v>81</v>
      </c>
      <c r="J56" s="10">
        <v>183</v>
      </c>
      <c r="K56" s="12">
        <v>45699</v>
      </c>
      <c r="L56" s="33">
        <v>0.68391203703703696</v>
      </c>
      <c r="M56" s="10">
        <v>1</v>
      </c>
      <c r="N56" s="10" t="s">
        <v>82</v>
      </c>
      <c r="O56" s="10">
        <v>0.19800000000000001</v>
      </c>
      <c r="P56" s="10">
        <v>1.89E-2</v>
      </c>
      <c r="Q56" s="10">
        <v>50</v>
      </c>
      <c r="R56" s="10" t="s">
        <v>83</v>
      </c>
      <c r="S56" s="123">
        <v>50</v>
      </c>
      <c r="T56" s="10" t="s">
        <v>980</v>
      </c>
      <c r="U56" s="45">
        <v>45699</v>
      </c>
      <c r="V56" s="124">
        <f t="shared" si="10"/>
        <v>45.933785872000009</v>
      </c>
      <c r="W56" s="124" t="s">
        <v>982</v>
      </c>
    </row>
    <row r="57" spans="1:23" x14ac:dyDescent="0.3">
      <c r="A57" s="32">
        <v>45699</v>
      </c>
      <c r="B57" s="33">
        <v>0.375</v>
      </c>
      <c r="C57" s="10" t="s">
        <v>70</v>
      </c>
      <c r="D57" s="10" t="s">
        <v>71</v>
      </c>
      <c r="E57" s="10" t="s">
        <v>909</v>
      </c>
      <c r="F57" s="10">
        <v>1</v>
      </c>
      <c r="G57" s="10" t="s">
        <v>72</v>
      </c>
      <c r="H57" s="10" t="s">
        <v>73</v>
      </c>
      <c r="I57" s="10" t="s">
        <v>81</v>
      </c>
      <c r="J57" s="10">
        <v>184</v>
      </c>
      <c r="K57" s="12">
        <v>45699</v>
      </c>
      <c r="L57" s="33">
        <v>0.67578703703703702</v>
      </c>
      <c r="M57" s="10">
        <v>1</v>
      </c>
      <c r="N57" s="10" t="s">
        <v>82</v>
      </c>
      <c r="O57" s="10">
        <v>0.79</v>
      </c>
      <c r="P57" s="10">
        <v>8.6499999999999994E-2</v>
      </c>
      <c r="Q57" s="10">
        <v>200</v>
      </c>
      <c r="R57" s="10" t="s">
        <v>83</v>
      </c>
      <c r="S57" s="123">
        <v>200</v>
      </c>
      <c r="T57" s="10" t="s">
        <v>980</v>
      </c>
      <c r="U57" s="45">
        <v>45699</v>
      </c>
      <c r="V57" s="124">
        <f t="shared" si="10"/>
        <v>200.24283880000004</v>
      </c>
      <c r="W57" s="124" t="s">
        <v>982</v>
      </c>
    </row>
    <row r="58" spans="1:23" x14ac:dyDescent="0.3">
      <c r="A58" s="32">
        <v>45699</v>
      </c>
      <c r="B58" s="33">
        <v>0.375</v>
      </c>
      <c r="C58" s="10" t="s">
        <v>70</v>
      </c>
      <c r="D58" s="10" t="s">
        <v>71</v>
      </c>
      <c r="E58" s="10" t="s">
        <v>910</v>
      </c>
      <c r="F58" s="10">
        <v>1</v>
      </c>
      <c r="G58" s="10" t="s">
        <v>72</v>
      </c>
      <c r="H58" s="10" t="s">
        <v>73</v>
      </c>
      <c r="I58" s="10" t="s">
        <v>81</v>
      </c>
      <c r="J58" s="10">
        <v>185</v>
      </c>
      <c r="K58" s="12">
        <v>45699</v>
      </c>
      <c r="L58" s="33">
        <v>0.67636574074074074</v>
      </c>
      <c r="M58" s="10">
        <v>1</v>
      </c>
      <c r="N58" s="10" t="s">
        <v>82</v>
      </c>
      <c r="O58" s="10">
        <v>2.0699999999999998</v>
      </c>
      <c r="P58" s="10">
        <v>0.23499999999999999</v>
      </c>
      <c r="Q58" s="10">
        <v>500</v>
      </c>
      <c r="R58" s="10" t="s">
        <v>83</v>
      </c>
      <c r="S58" s="123">
        <v>500</v>
      </c>
      <c r="T58" s="10" t="s">
        <v>980</v>
      </c>
      <c r="U58" s="45">
        <v>45699</v>
      </c>
      <c r="V58" s="124">
        <f t="shared" si="10"/>
        <v>498.1045732</v>
      </c>
      <c r="W58" s="124" t="s">
        <v>982</v>
      </c>
    </row>
    <row r="59" spans="1:23" x14ac:dyDescent="0.3">
      <c r="A59" s="32">
        <v>45699</v>
      </c>
      <c r="B59" s="33">
        <v>0.375</v>
      </c>
      <c r="C59" s="10" t="s">
        <v>70</v>
      </c>
      <c r="D59" s="10" t="s">
        <v>71</v>
      </c>
      <c r="E59" s="10" t="s">
        <v>914</v>
      </c>
      <c r="F59" s="10">
        <v>1</v>
      </c>
      <c r="G59" s="10" t="s">
        <v>72</v>
      </c>
      <c r="H59" s="10" t="s">
        <v>73</v>
      </c>
      <c r="I59" s="10" t="s">
        <v>81</v>
      </c>
      <c r="J59" s="10">
        <v>189</v>
      </c>
      <c r="K59" s="12">
        <v>45699</v>
      </c>
      <c r="L59" s="33">
        <v>0.67869212962962966</v>
      </c>
      <c r="M59" s="10">
        <v>1</v>
      </c>
      <c r="N59" s="10" t="s">
        <v>82</v>
      </c>
      <c r="O59" s="10">
        <v>4.9599999999999998E-2</v>
      </c>
      <c r="P59" s="10">
        <v>3.0300000000000001E-3</v>
      </c>
      <c r="Q59" s="10">
        <v>0</v>
      </c>
      <c r="R59" s="10" t="s">
        <v>83</v>
      </c>
      <c r="S59" s="123">
        <v>0</v>
      </c>
      <c r="T59" s="10" t="s">
        <v>980</v>
      </c>
      <c r="U59" s="45">
        <v>45699</v>
      </c>
      <c r="V59" s="124">
        <f t="shared" si="10"/>
        <v>5.6116008908800001</v>
      </c>
      <c r="W59" s="124" t="s">
        <v>982</v>
      </c>
    </row>
    <row r="60" spans="1:23" x14ac:dyDescent="0.3">
      <c r="A60" s="32">
        <v>45699</v>
      </c>
      <c r="B60" s="33">
        <v>0.375</v>
      </c>
      <c r="C60" s="10" t="s">
        <v>70</v>
      </c>
      <c r="D60" s="10" t="s">
        <v>71</v>
      </c>
      <c r="E60" s="10" t="s">
        <v>915</v>
      </c>
      <c r="F60" s="10">
        <v>1</v>
      </c>
      <c r="G60" s="10" t="s">
        <v>72</v>
      </c>
      <c r="H60" s="10" t="s">
        <v>73</v>
      </c>
      <c r="I60" s="10" t="s">
        <v>81</v>
      </c>
      <c r="J60" s="10">
        <v>190</v>
      </c>
      <c r="K60" s="12">
        <v>45699</v>
      </c>
      <c r="L60" s="33">
        <v>0.68449074074074068</v>
      </c>
      <c r="M60" s="10">
        <v>1</v>
      </c>
      <c r="N60" s="10" t="s">
        <v>82</v>
      </c>
      <c r="O60" s="10">
        <v>7.0099999999999996E-2</v>
      </c>
      <c r="P60" s="10">
        <v>4.0200000000000001E-3</v>
      </c>
      <c r="Q60" s="10">
        <v>5</v>
      </c>
      <c r="R60" s="10" t="s">
        <v>83</v>
      </c>
      <c r="S60" s="123">
        <v>5</v>
      </c>
      <c r="T60" s="10" t="s">
        <v>980</v>
      </c>
      <c r="U60" s="45">
        <v>45699</v>
      </c>
      <c r="V60" s="124">
        <f t="shared" si="10"/>
        <v>11.22086500268</v>
      </c>
      <c r="W60" s="124" t="s">
        <v>982</v>
      </c>
    </row>
    <row r="61" spans="1:23" x14ac:dyDescent="0.3">
      <c r="A61" s="32">
        <v>45699</v>
      </c>
      <c r="B61" s="33">
        <v>0.375</v>
      </c>
      <c r="C61" s="10" t="s">
        <v>70</v>
      </c>
      <c r="D61" s="10" t="s">
        <v>71</v>
      </c>
      <c r="E61" s="10" t="s">
        <v>916</v>
      </c>
      <c r="F61" s="10">
        <v>1</v>
      </c>
      <c r="G61" s="10" t="s">
        <v>72</v>
      </c>
      <c r="H61" s="10" t="s">
        <v>73</v>
      </c>
      <c r="I61" s="10" t="s">
        <v>81</v>
      </c>
      <c r="J61" s="10">
        <v>191</v>
      </c>
      <c r="K61" s="12">
        <v>45699</v>
      </c>
      <c r="L61" s="33">
        <v>0.67986111111111114</v>
      </c>
      <c r="M61" s="10">
        <v>1</v>
      </c>
      <c r="N61" s="10" t="s">
        <v>82</v>
      </c>
      <c r="O61" s="10">
        <v>7.4999999999999997E-2</v>
      </c>
      <c r="P61" s="10">
        <v>6.1599999999999997E-3</v>
      </c>
      <c r="Q61" s="10">
        <v>15</v>
      </c>
      <c r="R61" s="10" t="s">
        <v>83</v>
      </c>
      <c r="S61" s="123">
        <v>15</v>
      </c>
      <c r="T61" s="10" t="s">
        <v>980</v>
      </c>
      <c r="U61" s="45">
        <v>45699</v>
      </c>
      <c r="V61" s="124">
        <f t="shared" si="10"/>
        <v>12.5597575</v>
      </c>
      <c r="W61" s="124" t="s">
        <v>982</v>
      </c>
    </row>
    <row r="62" spans="1:23" x14ac:dyDescent="0.3">
      <c r="A62" s="32">
        <v>45699</v>
      </c>
      <c r="B62" s="33">
        <v>0.375</v>
      </c>
      <c r="C62" s="10" t="s">
        <v>70</v>
      </c>
      <c r="D62" s="10" t="s">
        <v>71</v>
      </c>
      <c r="E62" s="10" t="s">
        <v>917</v>
      </c>
      <c r="F62" s="10">
        <v>1</v>
      </c>
      <c r="G62" s="10" t="s">
        <v>72</v>
      </c>
      <c r="H62" s="10" t="s">
        <v>73</v>
      </c>
      <c r="I62" s="10" t="s">
        <v>81</v>
      </c>
      <c r="J62" s="10">
        <v>192</v>
      </c>
      <c r="K62" s="12">
        <v>45699</v>
      </c>
      <c r="L62" s="33">
        <v>0.68043981481481486</v>
      </c>
      <c r="M62" s="10">
        <v>1</v>
      </c>
      <c r="N62" s="10" t="s">
        <v>82</v>
      </c>
      <c r="O62" s="10">
        <v>8.48E-2</v>
      </c>
      <c r="P62" s="10">
        <v>6.5399999999999998E-3</v>
      </c>
      <c r="Q62" s="10">
        <v>20</v>
      </c>
      <c r="R62" s="10" t="s">
        <v>83</v>
      </c>
      <c r="S62" s="123">
        <v>20</v>
      </c>
      <c r="T62" s="10" t="s">
        <v>980</v>
      </c>
      <c r="U62" s="45">
        <v>45699</v>
      </c>
      <c r="V62" s="124">
        <f t="shared" si="10"/>
        <v>15.235391390720004</v>
      </c>
      <c r="W62" s="124" t="s">
        <v>982</v>
      </c>
    </row>
    <row r="63" spans="1:23" x14ac:dyDescent="0.3">
      <c r="A63" s="32">
        <v>45699</v>
      </c>
      <c r="B63" s="33">
        <v>0.375</v>
      </c>
      <c r="C63" s="10" t="s">
        <v>70</v>
      </c>
      <c r="D63" s="10" t="s">
        <v>71</v>
      </c>
      <c r="E63" s="10" t="s">
        <v>918</v>
      </c>
      <c r="F63" s="10">
        <v>1</v>
      </c>
      <c r="G63" s="10" t="s">
        <v>72</v>
      </c>
      <c r="H63" s="10" t="s">
        <v>73</v>
      </c>
      <c r="I63" s="10" t="s">
        <v>81</v>
      </c>
      <c r="J63" s="10">
        <v>193</v>
      </c>
      <c r="K63" s="12">
        <v>45699</v>
      </c>
      <c r="L63" s="33">
        <v>0.68101851851851858</v>
      </c>
      <c r="M63" s="10">
        <v>1</v>
      </c>
      <c r="N63" s="10" t="s">
        <v>82</v>
      </c>
      <c r="O63" s="10">
        <v>0.29099999999999998</v>
      </c>
      <c r="P63" s="10">
        <v>2.87E-2</v>
      </c>
      <c r="Q63" s="10">
        <v>75</v>
      </c>
      <c r="R63" s="10" t="s">
        <v>83</v>
      </c>
      <c r="S63" s="123">
        <v>75</v>
      </c>
      <c r="T63" s="10" t="s">
        <v>980</v>
      </c>
      <c r="U63" s="45">
        <v>45699</v>
      </c>
      <c r="V63" s="124">
        <f t="shared" si="10"/>
        <v>70.867853308000008</v>
      </c>
      <c r="W63" s="124" t="s">
        <v>982</v>
      </c>
    </row>
    <row r="64" spans="1:23" x14ac:dyDescent="0.3">
      <c r="A64" s="32">
        <v>45699</v>
      </c>
      <c r="B64" s="33">
        <v>0.375</v>
      </c>
      <c r="C64" s="10" t="s">
        <v>70</v>
      </c>
      <c r="D64" s="10" t="s">
        <v>71</v>
      </c>
      <c r="E64" s="10" t="s">
        <v>919</v>
      </c>
      <c r="F64" s="10">
        <v>1</v>
      </c>
      <c r="G64" s="10" t="s">
        <v>72</v>
      </c>
      <c r="H64" s="10" t="s">
        <v>73</v>
      </c>
      <c r="I64" s="10" t="s">
        <v>81</v>
      </c>
      <c r="J64" s="10">
        <v>194</v>
      </c>
      <c r="K64" s="12">
        <v>45699</v>
      </c>
      <c r="L64" s="33">
        <v>0.6815972222222223</v>
      </c>
      <c r="M64" s="10">
        <v>1</v>
      </c>
      <c r="N64" s="10" t="s">
        <v>82</v>
      </c>
      <c r="O64" s="10">
        <v>0.57899999999999996</v>
      </c>
      <c r="P64" s="10">
        <v>6.1499999999999999E-2</v>
      </c>
      <c r="Q64" s="10">
        <v>150</v>
      </c>
      <c r="R64" s="10" t="s">
        <v>83</v>
      </c>
      <c r="S64" s="123">
        <v>150</v>
      </c>
      <c r="T64" s="10" t="s">
        <v>980</v>
      </c>
      <c r="U64" s="45">
        <v>45699</v>
      </c>
      <c r="V64" s="124">
        <f t="shared" si="10"/>
        <v>146.44457138799999</v>
      </c>
      <c r="W64" s="124" t="s">
        <v>982</v>
      </c>
    </row>
    <row r="65" spans="1:23" x14ac:dyDescent="0.3">
      <c r="A65" s="32">
        <v>45699</v>
      </c>
      <c r="B65" s="33">
        <v>0.375</v>
      </c>
      <c r="C65" s="10" t="s">
        <v>70</v>
      </c>
      <c r="D65" s="10" t="s">
        <v>71</v>
      </c>
      <c r="E65" s="10" t="s">
        <v>920</v>
      </c>
      <c r="F65" s="10">
        <v>1</v>
      </c>
      <c r="G65" s="10" t="s">
        <v>72</v>
      </c>
      <c r="H65" s="10" t="s">
        <v>73</v>
      </c>
      <c r="I65" s="10" t="s">
        <v>81</v>
      </c>
      <c r="J65" s="10">
        <v>195</v>
      </c>
      <c r="K65" s="12">
        <v>45699</v>
      </c>
      <c r="L65" s="33">
        <v>0.68218749999999995</v>
      </c>
      <c r="M65" s="10">
        <v>1</v>
      </c>
      <c r="N65" s="10" t="s">
        <v>82</v>
      </c>
      <c r="O65" s="10">
        <v>1.22</v>
      </c>
      <c r="P65" s="10">
        <v>0.13500000000000001</v>
      </c>
      <c r="Q65" s="10">
        <v>300</v>
      </c>
      <c r="R65" s="10" t="s">
        <v>83</v>
      </c>
      <c r="S65" s="123">
        <v>300</v>
      </c>
      <c r="T65" s="10" t="s">
        <v>980</v>
      </c>
      <c r="U65" s="45">
        <v>45699</v>
      </c>
      <c r="V65" s="124">
        <f t="shared" si="10"/>
        <v>305.76341120000001</v>
      </c>
      <c r="W65" s="124" t="s">
        <v>982</v>
      </c>
    </row>
    <row r="66" spans="1:23" x14ac:dyDescent="0.3">
      <c r="A66" s="32">
        <v>45699</v>
      </c>
      <c r="B66" s="33">
        <v>0.375</v>
      </c>
      <c r="C66" s="10" t="s">
        <v>70</v>
      </c>
      <c r="D66" s="10" t="s">
        <v>71</v>
      </c>
      <c r="E66" s="10" t="s">
        <v>921</v>
      </c>
      <c r="F66" s="10">
        <v>1</v>
      </c>
      <c r="G66" s="10" t="s">
        <v>72</v>
      </c>
      <c r="H66" s="10" t="s">
        <v>73</v>
      </c>
      <c r="I66" s="10" t="s">
        <v>81</v>
      </c>
      <c r="J66" s="10">
        <v>196</v>
      </c>
      <c r="K66" s="12">
        <v>45699</v>
      </c>
      <c r="L66" s="33">
        <v>0.68276620370370367</v>
      </c>
      <c r="M66" s="10">
        <v>1</v>
      </c>
      <c r="N66" s="10" t="s">
        <v>82</v>
      </c>
      <c r="O66" s="10">
        <v>2.08</v>
      </c>
      <c r="P66" s="10">
        <v>0.23599999999999999</v>
      </c>
      <c r="Q66" s="10">
        <v>500</v>
      </c>
      <c r="R66" s="10" t="s">
        <v>83</v>
      </c>
      <c r="S66" s="123">
        <v>500</v>
      </c>
      <c r="T66" s="10" t="s">
        <v>980</v>
      </c>
      <c r="U66" s="45">
        <v>45699</v>
      </c>
      <c r="V66" s="124">
        <f t="shared" si="10"/>
        <v>500.23899520000009</v>
      </c>
      <c r="W66" s="124" t="s">
        <v>982</v>
      </c>
    </row>
    <row r="67" spans="1:23" x14ac:dyDescent="0.3">
      <c r="A67" s="127">
        <v>45707</v>
      </c>
      <c r="B67" s="128">
        <v>0.375</v>
      </c>
      <c r="C67" s="31" t="s">
        <v>70</v>
      </c>
      <c r="D67" s="31" t="s">
        <v>71</v>
      </c>
      <c r="E67" s="31" t="s">
        <v>906</v>
      </c>
      <c r="F67" s="31">
        <v>1</v>
      </c>
      <c r="G67" s="31" t="s">
        <v>72</v>
      </c>
      <c r="H67" s="31" t="s">
        <v>73</v>
      </c>
      <c r="I67" s="31" t="s">
        <v>81</v>
      </c>
      <c r="J67" s="31">
        <v>181</v>
      </c>
      <c r="K67" s="129">
        <v>45708</v>
      </c>
      <c r="L67" s="128">
        <v>0.60667824074074073</v>
      </c>
      <c r="M67" s="31">
        <v>1</v>
      </c>
      <c r="N67" s="31" t="s">
        <v>82</v>
      </c>
      <c r="O67" s="31">
        <v>2.7199999999999998E-2</v>
      </c>
      <c r="P67" s="31">
        <v>2.0999999999999999E-3</v>
      </c>
      <c r="Q67" s="31">
        <v>0</v>
      </c>
      <c r="R67" s="31" t="s">
        <v>83</v>
      </c>
      <c r="S67" s="34">
        <v>0</v>
      </c>
      <c r="T67" s="31" t="s">
        <v>988</v>
      </c>
      <c r="U67" s="130">
        <v>45708</v>
      </c>
      <c r="V67" s="132">
        <f>-47.52*O67^2+316.83*O67-12.892</f>
        <v>-4.3093811968000004</v>
      </c>
      <c r="W67" s="132" t="s">
        <v>990</v>
      </c>
    </row>
    <row r="68" spans="1:23" x14ac:dyDescent="0.3">
      <c r="A68" s="127">
        <v>45707</v>
      </c>
      <c r="B68" s="128">
        <v>0.375</v>
      </c>
      <c r="C68" s="31" t="s">
        <v>70</v>
      </c>
      <c r="D68" s="31" t="s">
        <v>71</v>
      </c>
      <c r="E68" s="31" t="s">
        <v>907</v>
      </c>
      <c r="F68" s="31">
        <v>1</v>
      </c>
      <c r="G68" s="31" t="s">
        <v>72</v>
      </c>
      <c r="H68" s="31" t="s">
        <v>73</v>
      </c>
      <c r="I68" s="31" t="s">
        <v>81</v>
      </c>
      <c r="J68" s="31">
        <v>182</v>
      </c>
      <c r="K68" s="129">
        <v>45708</v>
      </c>
      <c r="L68" s="128">
        <v>0.60726851851851849</v>
      </c>
      <c r="M68" s="31">
        <v>1</v>
      </c>
      <c r="N68" s="31" t="s">
        <v>82</v>
      </c>
      <c r="O68" s="31">
        <v>5.5599999999999997E-2</v>
      </c>
      <c r="P68" s="31">
        <v>3.7200000000000002E-3</v>
      </c>
      <c r="Q68" s="31">
        <v>12</v>
      </c>
      <c r="R68" s="31" t="s">
        <v>83</v>
      </c>
      <c r="S68" s="34">
        <v>12</v>
      </c>
      <c r="T68" s="31" t="s">
        <v>988</v>
      </c>
      <c r="U68" s="130">
        <v>45708</v>
      </c>
      <c r="V68" s="132">
        <f t="shared" ref="V68:V78" si="11">-47.52*O68^2+316.83*O68-12.892</f>
        <v>4.5768465727999974</v>
      </c>
      <c r="W68" s="132" t="s">
        <v>990</v>
      </c>
    </row>
    <row r="69" spans="1:23" x14ac:dyDescent="0.3">
      <c r="A69" s="127">
        <v>45707</v>
      </c>
      <c r="B69" s="128">
        <v>0.375</v>
      </c>
      <c r="C69" s="31" t="s">
        <v>70</v>
      </c>
      <c r="D69" s="31" t="s">
        <v>71</v>
      </c>
      <c r="E69" s="31" t="s">
        <v>908</v>
      </c>
      <c r="F69" s="31">
        <v>1</v>
      </c>
      <c r="G69" s="31" t="s">
        <v>72</v>
      </c>
      <c r="H69" s="31" t="s">
        <v>73</v>
      </c>
      <c r="I69" s="31" t="s">
        <v>81</v>
      </c>
      <c r="J69" s="31">
        <v>183</v>
      </c>
      <c r="K69" s="129">
        <v>45708</v>
      </c>
      <c r="L69" s="128">
        <v>0.60784722222222221</v>
      </c>
      <c r="M69" s="31">
        <v>1</v>
      </c>
      <c r="N69" s="31" t="s">
        <v>82</v>
      </c>
      <c r="O69" s="31">
        <v>0.25800000000000001</v>
      </c>
      <c r="P69" s="31">
        <v>2.29E-2</v>
      </c>
      <c r="Q69" s="31">
        <v>50</v>
      </c>
      <c r="R69" s="31" t="s">
        <v>83</v>
      </c>
      <c r="S69" s="34">
        <v>50</v>
      </c>
      <c r="T69" s="31" t="s">
        <v>988</v>
      </c>
      <c r="U69" s="130">
        <v>45708</v>
      </c>
      <c r="V69" s="132">
        <f t="shared" si="11"/>
        <v>65.687018719999998</v>
      </c>
      <c r="W69" s="132" t="s">
        <v>990</v>
      </c>
    </row>
    <row r="70" spans="1:23" x14ac:dyDescent="0.3">
      <c r="A70" s="127">
        <v>45707</v>
      </c>
      <c r="B70" s="128">
        <v>0.375</v>
      </c>
      <c r="C70" s="31" t="s">
        <v>70</v>
      </c>
      <c r="D70" s="31" t="s">
        <v>71</v>
      </c>
      <c r="E70" s="31" t="s">
        <v>909</v>
      </c>
      <c r="F70" s="31">
        <v>1</v>
      </c>
      <c r="G70" s="31" t="s">
        <v>72</v>
      </c>
      <c r="H70" s="31" t="s">
        <v>73</v>
      </c>
      <c r="I70" s="31" t="s">
        <v>81</v>
      </c>
      <c r="J70" s="31">
        <v>184</v>
      </c>
      <c r="K70" s="129">
        <v>45708</v>
      </c>
      <c r="L70" s="128">
        <v>0.60842592592592593</v>
      </c>
      <c r="M70" s="31">
        <v>1</v>
      </c>
      <c r="N70" s="31" t="s">
        <v>82</v>
      </c>
      <c r="O70" s="31">
        <v>0.93200000000000005</v>
      </c>
      <c r="P70" s="31">
        <v>8.5000000000000006E-2</v>
      </c>
      <c r="Q70" s="31">
        <v>200</v>
      </c>
      <c r="R70" s="31" t="s">
        <v>83</v>
      </c>
      <c r="S70" s="34">
        <v>200</v>
      </c>
      <c r="T70" s="31" t="s">
        <v>988</v>
      </c>
      <c r="U70" s="130">
        <v>45708</v>
      </c>
      <c r="V70" s="132">
        <f t="shared" si="11"/>
        <v>241.11654751999998</v>
      </c>
      <c r="W70" s="132" t="s">
        <v>990</v>
      </c>
    </row>
    <row r="71" spans="1:23" x14ac:dyDescent="0.3">
      <c r="A71" s="127">
        <v>45707</v>
      </c>
      <c r="B71" s="128">
        <v>0.375</v>
      </c>
      <c r="C71" s="31" t="s">
        <v>70</v>
      </c>
      <c r="D71" s="31" t="s">
        <v>71</v>
      </c>
      <c r="E71" s="31" t="s">
        <v>910</v>
      </c>
      <c r="F71" s="31">
        <v>1</v>
      </c>
      <c r="G71" s="31" t="s">
        <v>72</v>
      </c>
      <c r="H71" s="31" t="s">
        <v>73</v>
      </c>
      <c r="I71" s="31" t="s">
        <v>81</v>
      </c>
      <c r="J71" s="31">
        <v>185</v>
      </c>
      <c r="K71" s="129">
        <v>45708</v>
      </c>
      <c r="L71" s="128">
        <v>0.61885416666666659</v>
      </c>
      <c r="M71" s="31">
        <v>1</v>
      </c>
      <c r="N71" s="31" t="s">
        <v>82</v>
      </c>
      <c r="O71" s="31">
        <v>2.23</v>
      </c>
      <c r="P71" s="31">
        <v>0.20699999999999999</v>
      </c>
      <c r="Q71" s="31">
        <v>500</v>
      </c>
      <c r="R71" s="31" t="s">
        <v>83</v>
      </c>
      <c r="S71" s="34">
        <v>500</v>
      </c>
      <c r="T71" s="31" t="s">
        <v>988</v>
      </c>
      <c r="U71" s="130">
        <v>45708</v>
      </c>
      <c r="V71" s="132">
        <f t="shared" si="11"/>
        <v>457.32669199999992</v>
      </c>
      <c r="W71" s="132" t="s">
        <v>990</v>
      </c>
    </row>
    <row r="72" spans="1:23" x14ac:dyDescent="0.3">
      <c r="A72" s="127">
        <v>45707</v>
      </c>
      <c r="B72" s="128">
        <v>0.375</v>
      </c>
      <c r="C72" s="31" t="s">
        <v>70</v>
      </c>
      <c r="D72" s="31" t="s">
        <v>71</v>
      </c>
      <c r="E72" s="31" t="s">
        <v>914</v>
      </c>
      <c r="F72" s="31">
        <v>1</v>
      </c>
      <c r="G72" s="31" t="s">
        <v>72</v>
      </c>
      <c r="H72" s="31" t="s">
        <v>73</v>
      </c>
      <c r="I72" s="31" t="s">
        <v>81</v>
      </c>
      <c r="J72" s="31">
        <v>189</v>
      </c>
      <c r="K72" s="129">
        <v>45708</v>
      </c>
      <c r="L72" s="128">
        <v>0.61653935185185182</v>
      </c>
      <c r="M72" s="31">
        <v>1</v>
      </c>
      <c r="N72" s="31" t="s">
        <v>82</v>
      </c>
      <c r="O72" s="31">
        <v>3.0599999999999999E-2</v>
      </c>
      <c r="P72" s="31">
        <v>2.4199999999999998E-3</v>
      </c>
      <c r="Q72" s="31">
        <v>0</v>
      </c>
      <c r="R72" s="31" t="s">
        <v>83</v>
      </c>
      <c r="S72" s="34">
        <v>0</v>
      </c>
      <c r="T72" s="31" t="s">
        <v>988</v>
      </c>
      <c r="U72" s="130">
        <v>45708</v>
      </c>
      <c r="V72" s="132">
        <f t="shared" si="11"/>
        <v>-3.2414978272000017</v>
      </c>
      <c r="W72" s="132" t="s">
        <v>990</v>
      </c>
    </row>
    <row r="73" spans="1:23" x14ac:dyDescent="0.3">
      <c r="A73" s="127">
        <v>45707</v>
      </c>
      <c r="B73" s="128">
        <v>0.375</v>
      </c>
      <c r="C73" s="31" t="s">
        <v>70</v>
      </c>
      <c r="D73" s="31" t="s">
        <v>71</v>
      </c>
      <c r="E73" s="31" t="s">
        <v>915</v>
      </c>
      <c r="F73" s="31">
        <v>1</v>
      </c>
      <c r="G73" s="31" t="s">
        <v>72</v>
      </c>
      <c r="H73" s="31" t="s">
        <v>73</v>
      </c>
      <c r="I73" s="31" t="s">
        <v>81</v>
      </c>
      <c r="J73" s="31">
        <v>190</v>
      </c>
      <c r="K73" s="129">
        <v>45708</v>
      </c>
      <c r="L73" s="128">
        <v>0.61190972222222217</v>
      </c>
      <c r="M73" s="31">
        <v>1</v>
      </c>
      <c r="N73" s="31" t="s">
        <v>82</v>
      </c>
      <c r="O73" s="31">
        <v>3.2899999999999999E-2</v>
      </c>
      <c r="P73" s="31">
        <v>2.4499999999999999E-3</v>
      </c>
      <c r="Q73" s="31">
        <v>5</v>
      </c>
      <c r="R73" s="31" t="s">
        <v>83</v>
      </c>
      <c r="S73" s="34">
        <v>5</v>
      </c>
      <c r="T73" s="31" t="s">
        <v>988</v>
      </c>
      <c r="U73" s="130">
        <v>45708</v>
      </c>
      <c r="V73" s="132">
        <f t="shared" si="11"/>
        <v>-2.5197291232000012</v>
      </c>
      <c r="W73" s="132" t="s">
        <v>990</v>
      </c>
    </row>
    <row r="74" spans="1:23" x14ac:dyDescent="0.3">
      <c r="A74" s="127">
        <v>45707</v>
      </c>
      <c r="B74" s="128">
        <v>0.375</v>
      </c>
      <c r="C74" s="31" t="s">
        <v>70</v>
      </c>
      <c r="D74" s="31" t="s">
        <v>71</v>
      </c>
      <c r="E74" s="31" t="s">
        <v>916</v>
      </c>
      <c r="F74" s="31">
        <v>1</v>
      </c>
      <c r="G74" s="31" t="s">
        <v>72</v>
      </c>
      <c r="H74" s="31" t="s">
        <v>73</v>
      </c>
      <c r="I74" s="31" t="s">
        <v>81</v>
      </c>
      <c r="J74" s="31">
        <v>191</v>
      </c>
      <c r="K74" s="129">
        <v>45708</v>
      </c>
      <c r="L74" s="128">
        <v>0.61248842592592589</v>
      </c>
      <c r="M74" s="31">
        <v>1</v>
      </c>
      <c r="N74" s="31" t="s">
        <v>82</v>
      </c>
      <c r="O74" s="31">
        <v>6.6600000000000006E-2</v>
      </c>
      <c r="P74" s="31">
        <v>4.4400000000000004E-3</v>
      </c>
      <c r="Q74" s="31">
        <v>15</v>
      </c>
      <c r="R74" s="31" t="s">
        <v>83</v>
      </c>
      <c r="S74" s="34">
        <v>15</v>
      </c>
      <c r="T74" s="31" t="s">
        <v>988</v>
      </c>
      <c r="U74" s="130">
        <v>45708</v>
      </c>
      <c r="V74" s="132">
        <f t="shared" si="11"/>
        <v>7.9981001888000023</v>
      </c>
      <c r="W74" s="132" t="s">
        <v>990</v>
      </c>
    </row>
    <row r="75" spans="1:23" x14ac:dyDescent="0.3">
      <c r="A75" s="127">
        <v>45707</v>
      </c>
      <c r="B75" s="128">
        <v>0.375</v>
      </c>
      <c r="C75" s="31" t="s">
        <v>70</v>
      </c>
      <c r="D75" s="31" t="s">
        <v>71</v>
      </c>
      <c r="E75" s="31" t="s">
        <v>917</v>
      </c>
      <c r="F75" s="31">
        <v>1</v>
      </c>
      <c r="G75" s="31" t="s">
        <v>72</v>
      </c>
      <c r="H75" s="31" t="s">
        <v>73</v>
      </c>
      <c r="I75" s="31" t="s">
        <v>81</v>
      </c>
      <c r="J75" s="31">
        <v>192</v>
      </c>
      <c r="K75" s="129">
        <v>45708</v>
      </c>
      <c r="L75" s="128">
        <v>0.61307870370370365</v>
      </c>
      <c r="M75" s="31">
        <v>1</v>
      </c>
      <c r="N75" s="31" t="s">
        <v>82</v>
      </c>
      <c r="O75" s="31">
        <v>9.0800000000000006E-2</v>
      </c>
      <c r="P75" s="31">
        <v>6.1999999999999998E-3</v>
      </c>
      <c r="Q75" s="31">
        <v>20</v>
      </c>
      <c r="R75" s="31" t="s">
        <v>83</v>
      </c>
      <c r="S75" s="34">
        <v>20</v>
      </c>
      <c r="T75" s="31" t="s">
        <v>988</v>
      </c>
      <c r="U75" s="130">
        <v>45708</v>
      </c>
      <c r="V75" s="132">
        <f t="shared" si="11"/>
        <v>15.484378707199998</v>
      </c>
      <c r="W75" s="132" t="s">
        <v>990</v>
      </c>
    </row>
    <row r="76" spans="1:23" x14ac:dyDescent="0.3">
      <c r="A76" s="127">
        <v>45707</v>
      </c>
      <c r="B76" s="128">
        <v>0.375</v>
      </c>
      <c r="C76" s="31" t="s">
        <v>70</v>
      </c>
      <c r="D76" s="31" t="s">
        <v>71</v>
      </c>
      <c r="E76" s="31" t="s">
        <v>918</v>
      </c>
      <c r="F76" s="31">
        <v>1</v>
      </c>
      <c r="G76" s="31" t="s">
        <v>72</v>
      </c>
      <c r="H76" s="31" t="s">
        <v>73</v>
      </c>
      <c r="I76" s="31" t="s">
        <v>81</v>
      </c>
      <c r="J76" s="31">
        <v>193</v>
      </c>
      <c r="K76" s="129">
        <v>45708</v>
      </c>
      <c r="L76" s="128">
        <v>0.61365740740740737</v>
      </c>
      <c r="M76" s="31">
        <v>1</v>
      </c>
      <c r="N76" s="31" t="s">
        <v>82</v>
      </c>
      <c r="O76" s="31">
        <v>0.28199999999999997</v>
      </c>
      <c r="P76" s="31">
        <v>2.47E-2</v>
      </c>
      <c r="Q76" s="31">
        <v>75</v>
      </c>
      <c r="R76" s="31" t="s">
        <v>83</v>
      </c>
      <c r="S76" s="34">
        <v>75</v>
      </c>
      <c r="T76" s="31" t="s">
        <v>988</v>
      </c>
      <c r="U76" s="130">
        <v>45708</v>
      </c>
      <c r="V76" s="132">
        <f t="shared" si="11"/>
        <v>72.675079519999983</v>
      </c>
      <c r="W76" s="132" t="s">
        <v>990</v>
      </c>
    </row>
    <row r="77" spans="1:23" x14ac:dyDescent="0.3">
      <c r="A77" s="127">
        <v>45707</v>
      </c>
      <c r="B77" s="128">
        <v>0.375</v>
      </c>
      <c r="C77" s="31" t="s">
        <v>70</v>
      </c>
      <c r="D77" s="31" t="s">
        <v>71</v>
      </c>
      <c r="E77" s="31" t="s">
        <v>919</v>
      </c>
      <c r="F77" s="31">
        <v>1</v>
      </c>
      <c r="G77" s="31" t="s">
        <v>72</v>
      </c>
      <c r="H77" s="31" t="s">
        <v>73</v>
      </c>
      <c r="I77" s="31" t="s">
        <v>81</v>
      </c>
      <c r="J77" s="31">
        <v>194</v>
      </c>
      <c r="K77" s="129">
        <v>45708</v>
      </c>
      <c r="L77" s="128">
        <v>0.61422453703703705</v>
      </c>
      <c r="M77" s="31">
        <v>1</v>
      </c>
      <c r="N77" s="31" t="s">
        <v>82</v>
      </c>
      <c r="O77" s="31">
        <v>0.58899999999999997</v>
      </c>
      <c r="P77" s="31">
        <v>5.2200000000000003E-2</v>
      </c>
      <c r="Q77" s="31">
        <v>150</v>
      </c>
      <c r="R77" s="31" t="s">
        <v>83</v>
      </c>
      <c r="S77" s="34">
        <v>150</v>
      </c>
      <c r="T77" s="31" t="s">
        <v>988</v>
      </c>
      <c r="U77" s="130">
        <v>45708</v>
      </c>
      <c r="V77" s="132">
        <f t="shared" si="11"/>
        <v>157.23518407999998</v>
      </c>
      <c r="W77" s="132" t="s">
        <v>990</v>
      </c>
    </row>
    <row r="78" spans="1:23" x14ac:dyDescent="0.3">
      <c r="A78" s="127">
        <v>45707</v>
      </c>
      <c r="B78" s="128">
        <v>0.375</v>
      </c>
      <c r="C78" s="31" t="s">
        <v>70</v>
      </c>
      <c r="D78" s="31" t="s">
        <v>71</v>
      </c>
      <c r="E78" s="31" t="s">
        <v>921</v>
      </c>
      <c r="F78" s="31">
        <v>1</v>
      </c>
      <c r="G78" s="31" t="s">
        <v>72</v>
      </c>
      <c r="H78" s="31" t="s">
        <v>73</v>
      </c>
      <c r="I78" s="31" t="s">
        <v>81</v>
      </c>
      <c r="J78" s="31">
        <v>196</v>
      </c>
      <c r="K78" s="129">
        <v>45708</v>
      </c>
      <c r="L78" s="128">
        <v>0.61539351851851853</v>
      </c>
      <c r="M78" s="31">
        <v>1</v>
      </c>
      <c r="N78" s="31" t="s">
        <v>82</v>
      </c>
      <c r="O78" s="31">
        <v>3.4</v>
      </c>
      <c r="P78" s="31">
        <v>0.32200000000000001</v>
      </c>
      <c r="Q78" s="31">
        <v>500</v>
      </c>
      <c r="R78" s="31" t="s">
        <v>83</v>
      </c>
      <c r="S78" s="34">
        <v>500</v>
      </c>
      <c r="T78" s="31" t="s">
        <v>988</v>
      </c>
      <c r="U78" s="130">
        <v>45708</v>
      </c>
      <c r="V78" s="132">
        <f t="shared" si="11"/>
        <v>514.99879999999996</v>
      </c>
      <c r="W78" s="132" t="s">
        <v>990</v>
      </c>
    </row>
  </sheetData>
  <phoneticPr fontId="17" type="noConversion"/>
  <conditionalFormatting sqref="U1">
    <cfRule type="cellIs" dxfId="7" priority="2" operator="lessThan">
      <formula>0</formula>
    </cfRule>
  </conditionalFormatting>
  <conditionalFormatting sqref="AZ1">
    <cfRule type="cellIs" dxfId="6" priority="1" operator="lessThan">
      <formula>0</formula>
    </cfRule>
  </conditionalFormatting>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9E000-B410-4F03-9E65-BFA338B61E5C}">
  <sheetPr>
    <pageSetUpPr autoPageBreaks="0"/>
  </sheetPr>
  <dimension ref="A1:BB96"/>
  <sheetViews>
    <sheetView topLeftCell="AC1" zoomScale="82" zoomScaleNormal="82" workbookViewId="0">
      <selection activeCell="AF7" sqref="AF7:BB7"/>
    </sheetView>
  </sheetViews>
  <sheetFormatPr defaultRowHeight="14.4" x14ac:dyDescent="0.3"/>
  <cols>
    <col min="1" max="1" width="10.6640625" bestFit="1" customWidth="1"/>
    <col min="2" max="2" width="12.33203125" bestFit="1" customWidth="1"/>
    <col min="4" max="4" width="7.33203125" bestFit="1" customWidth="1"/>
    <col min="5" max="5" width="7.88671875" bestFit="1" customWidth="1"/>
    <col min="6" max="6" width="5.109375" bestFit="1" customWidth="1"/>
    <col min="7" max="7" width="7.44140625" bestFit="1" customWidth="1"/>
    <col min="8" max="8" width="5" bestFit="1" customWidth="1"/>
    <col min="9" max="9" width="7.88671875" bestFit="1" customWidth="1"/>
    <col min="10" max="10" width="8.33203125" bestFit="1" customWidth="1"/>
    <col min="11" max="11" width="10.5546875" bestFit="1" customWidth="1"/>
    <col min="12" max="12" width="12.33203125" bestFit="1" customWidth="1"/>
    <col min="13" max="13" width="7.33203125" bestFit="1" customWidth="1"/>
    <col min="14" max="14" width="8.44140625" bestFit="1" customWidth="1"/>
    <col min="15" max="15" width="8" bestFit="1" customWidth="1"/>
    <col min="16" max="16" width="9" bestFit="1" customWidth="1"/>
    <col min="17" max="17" width="8.5546875" bestFit="1" customWidth="1"/>
    <col min="19" max="19" width="10.44140625" bestFit="1" customWidth="1"/>
    <col min="20" max="20" width="41.6640625" bestFit="1" customWidth="1"/>
    <col min="21" max="21" width="10.6640625" bestFit="1" customWidth="1"/>
    <col min="22" max="22" width="12.33203125" bestFit="1" customWidth="1"/>
    <col min="23" max="23" width="25.44140625" bestFit="1" customWidth="1"/>
    <col min="32" max="32" width="15.6640625" bestFit="1" customWidth="1"/>
    <col min="33" max="33" width="10.33203125" bestFit="1" customWidth="1"/>
    <col min="34" max="34" width="6.109375" bestFit="1" customWidth="1"/>
    <col min="35" max="35" width="7.33203125" bestFit="1" customWidth="1"/>
    <col min="36" max="36" width="7.88671875" bestFit="1" customWidth="1"/>
    <col min="38" max="38" width="7.44140625" bestFit="1" customWidth="1"/>
    <col min="39" max="39" width="5" bestFit="1" customWidth="1"/>
    <col min="40" max="40" width="7.88671875" bestFit="1" customWidth="1"/>
    <col min="41" max="41" width="8.33203125" bestFit="1" customWidth="1"/>
    <col min="42" max="42" width="16.33203125" bestFit="1" customWidth="1"/>
    <col min="43" max="43" width="11.33203125" bestFit="1" customWidth="1"/>
    <col min="44" max="44" width="7.33203125" bestFit="1" customWidth="1"/>
    <col min="50" max="50" width="10.44140625" bestFit="1" customWidth="1"/>
    <col min="51" max="51" width="41.6640625" bestFit="1" customWidth="1"/>
    <col min="52" max="52" width="13" customWidth="1"/>
    <col min="53" max="53" width="10.44140625" bestFit="1" customWidth="1"/>
    <col min="54" max="54" width="25.44140625" bestFit="1" customWidth="1"/>
  </cols>
  <sheetData>
    <row r="1" spans="1:54" ht="86.4" x14ac:dyDescent="0.3">
      <c r="A1" s="17" t="s">
        <v>0</v>
      </c>
      <c r="B1" s="35" t="s">
        <v>23</v>
      </c>
      <c r="C1" s="19" t="s">
        <v>24</v>
      </c>
      <c r="D1" s="19" t="s">
        <v>25</v>
      </c>
      <c r="E1" s="19" t="s">
        <v>26</v>
      </c>
      <c r="F1" s="19" t="s">
        <v>27</v>
      </c>
      <c r="G1" s="19" t="s">
        <v>28</v>
      </c>
      <c r="H1" s="19" t="s">
        <v>29</v>
      </c>
      <c r="I1" s="19" t="s">
        <v>30</v>
      </c>
      <c r="J1" s="19" t="s">
        <v>31</v>
      </c>
      <c r="K1" s="20" t="s">
        <v>32</v>
      </c>
      <c r="L1" s="21" t="s">
        <v>33</v>
      </c>
      <c r="M1" s="22" t="s">
        <v>34</v>
      </c>
      <c r="N1" s="19" t="s">
        <v>35</v>
      </c>
      <c r="O1" s="23" t="s">
        <v>36</v>
      </c>
      <c r="P1" s="23" t="s">
        <v>37</v>
      </c>
      <c r="Q1" s="24" t="s">
        <v>38</v>
      </c>
      <c r="R1" s="19" t="s">
        <v>39</v>
      </c>
      <c r="S1" s="36" t="s">
        <v>40</v>
      </c>
      <c r="T1" s="19" t="s">
        <v>46</v>
      </c>
      <c r="U1" s="20" t="s">
        <v>77</v>
      </c>
      <c r="V1" s="9" t="s">
        <v>78</v>
      </c>
      <c r="W1" s="3" t="s">
        <v>79</v>
      </c>
      <c r="AF1" s="37" t="s">
        <v>0</v>
      </c>
      <c r="AG1" s="35" t="s">
        <v>23</v>
      </c>
      <c r="AH1" s="38" t="s">
        <v>24</v>
      </c>
      <c r="AI1" s="38" t="s">
        <v>25</v>
      </c>
      <c r="AJ1" s="38" t="s">
        <v>26</v>
      </c>
      <c r="AK1" s="38" t="s">
        <v>27</v>
      </c>
      <c r="AL1" s="38" t="s">
        <v>28</v>
      </c>
      <c r="AM1" s="38" t="s">
        <v>29</v>
      </c>
      <c r="AN1" s="38" t="s">
        <v>30</v>
      </c>
      <c r="AO1" s="38" t="s">
        <v>31</v>
      </c>
      <c r="AP1" s="39" t="s">
        <v>32</v>
      </c>
      <c r="AQ1" s="40" t="s">
        <v>33</v>
      </c>
      <c r="AR1" s="22" t="s">
        <v>34</v>
      </c>
      <c r="AS1" s="38" t="s">
        <v>35</v>
      </c>
      <c r="AT1" s="41" t="s">
        <v>36</v>
      </c>
      <c r="AU1" s="41" t="s">
        <v>37</v>
      </c>
      <c r="AV1" s="42" t="s">
        <v>38</v>
      </c>
      <c r="AW1" s="38" t="s">
        <v>39</v>
      </c>
      <c r="AX1" s="43" t="s">
        <v>40</v>
      </c>
      <c r="AY1" s="38" t="s">
        <v>46</v>
      </c>
      <c r="AZ1" s="39" t="s">
        <v>80</v>
      </c>
      <c r="BA1" s="44" t="s">
        <v>78</v>
      </c>
      <c r="BB1" s="44" t="s">
        <v>79</v>
      </c>
    </row>
    <row r="2" spans="1:54" x14ac:dyDescent="0.3">
      <c r="A2" s="32">
        <v>45678</v>
      </c>
      <c r="B2" s="33">
        <v>0.375</v>
      </c>
      <c r="C2" s="10" t="s">
        <v>70</v>
      </c>
      <c r="D2" s="10" t="s">
        <v>71</v>
      </c>
      <c r="E2" s="10" t="s">
        <v>906</v>
      </c>
      <c r="F2" s="10">
        <v>1</v>
      </c>
      <c r="G2" s="10" t="s">
        <v>72</v>
      </c>
      <c r="H2" s="10" t="s">
        <v>73</v>
      </c>
      <c r="I2" s="10" t="s">
        <v>81</v>
      </c>
      <c r="J2" s="10">
        <v>181</v>
      </c>
      <c r="K2" s="12">
        <v>45679</v>
      </c>
      <c r="L2" s="33">
        <v>0.56641203703703702</v>
      </c>
      <c r="M2" s="10">
        <v>1</v>
      </c>
      <c r="N2" s="10" t="s">
        <v>82</v>
      </c>
      <c r="O2" s="10">
        <v>1.8599999999999998E-2</v>
      </c>
      <c r="P2" s="10">
        <v>2.3999999999999998E-3</v>
      </c>
      <c r="Q2" s="10">
        <v>0</v>
      </c>
      <c r="R2" s="10" t="s">
        <v>83</v>
      </c>
      <c r="S2" s="34">
        <f t="shared" ref="S2:S65" si="0">IF(OR(AND(I2&lt;&gt;"TP", I2&lt;&gt;"TDP",I2&lt;&gt;"TN", I2&lt;&gt;"TDN"),H2="CAL"), Q2*M2, IF(OR(AND(I2="TN", Q2&gt;2500), AND(I2="TDN", Q2&gt;2500)),MAX(Q2, AK2)*M2, IF(OR(AND(I2="TN", Q2&lt;=2500), AND(I2="TDN", Q2&lt;=2500)),MAX(Q2, AJ2,AK2)*M2, IF(OR(AND(I2="TP",Q2&gt;500), AND(I2="TDP", Q2&gt;500)),MAX(Q2,AK2)*M2,IF(OR(AND(I2="TP",Q2&lt;=150), AND(I2="TDP", Q2&lt;=150)),MAX(Q2,AG2:AI2,AK2)*M2,IF(OR(AND(I2="TP",Q2&lt;=300), AND(I2="TDP", Q2&lt;=300)),MAX(Q2,AH2,AI2,AK2)*M2,IF(OR(AND(I2="TP",Q2&lt;=500), AND(I2="TDP", Q2&lt;=500)),MAX(Q2,AI2,AK2)*M2,"")))))))</f>
        <v>0</v>
      </c>
      <c r="T2" s="10" t="s">
        <v>937</v>
      </c>
      <c r="U2" s="45">
        <v>45679</v>
      </c>
      <c r="V2">
        <f>0.0394*O2^2+205.94*O2+6.343</f>
        <v>10.173497630824</v>
      </c>
      <c r="W2" t="s">
        <v>938</v>
      </c>
      <c r="AF2" s="32">
        <v>45678</v>
      </c>
      <c r="AG2" s="33">
        <v>0.375</v>
      </c>
      <c r="AH2" s="10" t="s">
        <v>70</v>
      </c>
      <c r="AI2" s="10" t="s">
        <v>71</v>
      </c>
      <c r="AJ2" s="10" t="s">
        <v>921</v>
      </c>
      <c r="AK2" s="10">
        <v>1</v>
      </c>
      <c r="AL2" s="10" t="s">
        <v>72</v>
      </c>
      <c r="AM2" s="10" t="s">
        <v>73</v>
      </c>
      <c r="AN2" s="10" t="s">
        <v>81</v>
      </c>
      <c r="AO2" s="10">
        <v>196</v>
      </c>
      <c r="AP2" s="12">
        <v>45679</v>
      </c>
      <c r="AQ2" s="33">
        <v>0.57513888888888887</v>
      </c>
      <c r="AR2" s="10">
        <v>1</v>
      </c>
      <c r="AS2" s="10" t="s">
        <v>82</v>
      </c>
      <c r="AT2" s="10">
        <v>2.41</v>
      </c>
      <c r="AU2" s="10">
        <v>0.23400000000000001</v>
      </c>
      <c r="AV2" s="10">
        <v>500</v>
      </c>
      <c r="AW2" s="10" t="s">
        <v>83</v>
      </c>
      <c r="AX2" s="34">
        <f t="shared" ref="AX2:AX7" si="1">IF(OR(AND(AN2&lt;&gt;"TP", AN2&lt;&gt;"TDP",AN2&lt;&gt;"TN", AN2&lt;&gt;"TDN"),AM2="CAL"), AV2*AR2, IF(OR(AND(AN2="TN", AV2&gt;2500), AND(AN2="TDN", AV2&gt;2500)),MAX(AV2, BP2)*AR2, IF(OR(AND(AN2="TN", AV2&lt;=2500), AND(AN2="TDN", AV2&lt;=2500)),MAX(AV2, BO2,BP2)*AR2, IF(OR(AND(AN2="TP",AV2&gt;500), AND(AN2="TDP", AV2&gt;500)),MAX(AV2,BP2)*AR2,IF(OR(AND(AN2="TP",AV2&lt;=150), AND(AN2="TDP", AV2&lt;=150)),MAX(AV2,BL2:BN2,BP2)*AR2,IF(OR(AND(AN2="TP",AV2&lt;=300), AND(AN2="TDP", AV2&lt;=300)),MAX(AV2,BM2,BN2,BP2)*AR2,IF(OR(AND(AN2="TP",AV2&lt;=500), AND(AN2="TDP", AV2&lt;=500)),MAX(AV2,BN2,BP2)*AR2,"")))))))</f>
        <v>500</v>
      </c>
      <c r="AY2" s="10" t="s">
        <v>937</v>
      </c>
      <c r="AZ2" s="45">
        <v>45679</v>
      </c>
      <c r="BA2">
        <f t="shared" ref="BA2" si="2">0.0394*AT2^2+205.94*AT2+6.343</f>
        <v>502.88723914000002</v>
      </c>
      <c r="BB2" t="s">
        <v>938</v>
      </c>
    </row>
    <row r="3" spans="1:54" x14ac:dyDescent="0.3">
      <c r="A3" s="32">
        <v>45678</v>
      </c>
      <c r="B3" s="33">
        <v>0.375</v>
      </c>
      <c r="C3" s="10" t="s">
        <v>70</v>
      </c>
      <c r="D3" s="10" t="s">
        <v>71</v>
      </c>
      <c r="E3" s="10" t="s">
        <v>907</v>
      </c>
      <c r="F3" s="10">
        <v>1</v>
      </c>
      <c r="G3" s="10" t="s">
        <v>72</v>
      </c>
      <c r="H3" s="10" t="s">
        <v>73</v>
      </c>
      <c r="I3" s="10" t="s">
        <v>81</v>
      </c>
      <c r="J3" s="10">
        <v>182</v>
      </c>
      <c r="K3" s="12">
        <v>45679</v>
      </c>
      <c r="L3" s="33">
        <v>0.56699074074074074</v>
      </c>
      <c r="M3" s="10">
        <v>1</v>
      </c>
      <c r="N3" s="10" t="s">
        <v>82</v>
      </c>
      <c r="O3" s="10">
        <v>5.33E-2</v>
      </c>
      <c r="P3" s="10">
        <v>3.5400000000000002E-3</v>
      </c>
      <c r="Q3" s="10">
        <v>12</v>
      </c>
      <c r="R3" s="10" t="s">
        <v>83</v>
      </c>
      <c r="S3" s="34">
        <f t="shared" si="0"/>
        <v>12</v>
      </c>
      <c r="T3" s="10" t="s">
        <v>937</v>
      </c>
      <c r="U3" s="45">
        <v>45679</v>
      </c>
      <c r="V3">
        <f t="shared" ref="V3:V17" si="3">0.0394*O3^2+205.94*O3+6.343</f>
        <v>17.319713931065998</v>
      </c>
      <c r="W3" t="s">
        <v>938</v>
      </c>
      <c r="AF3" s="127">
        <v>45680</v>
      </c>
      <c r="AG3" s="128">
        <v>0.375</v>
      </c>
      <c r="AH3" s="31" t="s">
        <v>70</v>
      </c>
      <c r="AI3" s="31" t="s">
        <v>71</v>
      </c>
      <c r="AJ3" s="31" t="s">
        <v>913</v>
      </c>
      <c r="AK3" s="31">
        <v>1</v>
      </c>
      <c r="AL3" s="31" t="s">
        <v>72</v>
      </c>
      <c r="AM3" s="31" t="s">
        <v>73</v>
      </c>
      <c r="AN3" s="31" t="s">
        <v>81</v>
      </c>
      <c r="AO3" s="31">
        <v>188</v>
      </c>
      <c r="AP3" s="129">
        <v>45681</v>
      </c>
      <c r="AQ3" s="128">
        <v>0.4550925925925926</v>
      </c>
      <c r="AR3" s="31">
        <v>1</v>
      </c>
      <c r="AS3" s="31" t="s">
        <v>82</v>
      </c>
      <c r="AT3" s="31">
        <v>9.99</v>
      </c>
      <c r="AU3" s="31">
        <v>0.98899999999999999</v>
      </c>
      <c r="AV3" s="31">
        <v>2000</v>
      </c>
      <c r="AW3" s="31" t="s">
        <v>83</v>
      </c>
      <c r="AX3" s="34">
        <f t="shared" si="1"/>
        <v>2000</v>
      </c>
      <c r="AY3" s="31" t="s">
        <v>946</v>
      </c>
      <c r="AZ3" s="130">
        <v>45681</v>
      </c>
      <c r="BA3" s="132">
        <f t="shared" ref="BA3" si="4">-1.3102*AT3^2+212.34*AT3+3.8493</f>
        <v>1994.3678089800003</v>
      </c>
      <c r="BB3" s="132" t="s">
        <v>947</v>
      </c>
    </row>
    <row r="4" spans="1:54" x14ac:dyDescent="0.3">
      <c r="A4" s="32">
        <v>45678</v>
      </c>
      <c r="B4" s="33">
        <v>0.375</v>
      </c>
      <c r="C4" s="10" t="s">
        <v>70</v>
      </c>
      <c r="D4" s="10" t="s">
        <v>71</v>
      </c>
      <c r="E4" s="10" t="s">
        <v>908</v>
      </c>
      <c r="F4" s="10">
        <v>1</v>
      </c>
      <c r="G4" s="10" t="s">
        <v>72</v>
      </c>
      <c r="H4" s="10" t="s">
        <v>73</v>
      </c>
      <c r="I4" s="10" t="s">
        <v>81</v>
      </c>
      <c r="J4" s="10">
        <v>183</v>
      </c>
      <c r="K4" s="12">
        <v>45679</v>
      </c>
      <c r="L4" s="33">
        <v>0.5675810185185185</v>
      </c>
      <c r="M4" s="10">
        <v>1</v>
      </c>
      <c r="N4" s="10" t="s">
        <v>82</v>
      </c>
      <c r="O4" s="10">
        <v>0.19900000000000001</v>
      </c>
      <c r="P4" s="10">
        <v>1.78E-2</v>
      </c>
      <c r="Q4" s="10">
        <v>50</v>
      </c>
      <c r="R4" s="10" t="s">
        <v>83</v>
      </c>
      <c r="S4" s="34">
        <f t="shared" si="0"/>
        <v>50</v>
      </c>
      <c r="T4" s="10" t="s">
        <v>937</v>
      </c>
      <c r="U4" s="45">
        <v>45679</v>
      </c>
      <c r="V4">
        <f t="shared" si="3"/>
        <v>47.326620279400004</v>
      </c>
      <c r="W4" t="s">
        <v>938</v>
      </c>
      <c r="AF4" s="32">
        <v>45685</v>
      </c>
      <c r="AG4" s="33">
        <v>0.375</v>
      </c>
      <c r="AH4" s="10" t="s">
        <v>70</v>
      </c>
      <c r="AI4" s="10" t="s">
        <v>71</v>
      </c>
      <c r="AJ4" s="10" t="s">
        <v>913</v>
      </c>
      <c r="AK4" s="10">
        <v>1</v>
      </c>
      <c r="AL4" s="10" t="s">
        <v>72</v>
      </c>
      <c r="AM4" s="10" t="s">
        <v>73</v>
      </c>
      <c r="AN4" s="10" t="s">
        <v>81</v>
      </c>
      <c r="AO4" s="10">
        <v>188</v>
      </c>
      <c r="AP4" s="12">
        <v>45686</v>
      </c>
      <c r="AQ4" s="33">
        <v>0.61758101851851854</v>
      </c>
      <c r="AR4" s="10">
        <v>1</v>
      </c>
      <c r="AS4" s="10" t="s">
        <v>82</v>
      </c>
      <c r="AT4" s="10">
        <v>8.1</v>
      </c>
      <c r="AU4" s="10">
        <v>0.95099999999999996</v>
      </c>
      <c r="AV4" s="10">
        <v>2000</v>
      </c>
      <c r="AW4" s="10" t="s">
        <v>83</v>
      </c>
      <c r="AX4" s="123">
        <f t="shared" si="1"/>
        <v>2000</v>
      </c>
      <c r="AY4" s="10" t="s">
        <v>961</v>
      </c>
      <c r="AZ4" s="45">
        <v>45686</v>
      </c>
      <c r="BA4" s="124">
        <f t="shared" ref="BA4" si="5">-0.9791*AT4^2+252.54*AT4+6.5963</f>
        <v>1987.9315489999997</v>
      </c>
      <c r="BB4" s="124" t="s">
        <v>963</v>
      </c>
    </row>
    <row r="5" spans="1:54" x14ac:dyDescent="0.3">
      <c r="A5" s="32">
        <v>45678</v>
      </c>
      <c r="B5" s="33">
        <v>0.375</v>
      </c>
      <c r="C5" s="10" t="s">
        <v>70</v>
      </c>
      <c r="D5" s="10" t="s">
        <v>71</v>
      </c>
      <c r="E5" s="10" t="s">
        <v>909</v>
      </c>
      <c r="F5" s="10">
        <v>1</v>
      </c>
      <c r="G5" s="10" t="s">
        <v>72</v>
      </c>
      <c r="H5" s="10" t="s">
        <v>73</v>
      </c>
      <c r="I5" s="10" t="s">
        <v>81</v>
      </c>
      <c r="J5" s="10">
        <v>184</v>
      </c>
      <c r="K5" s="12">
        <v>45679</v>
      </c>
      <c r="L5" s="33">
        <v>0.56815972222222222</v>
      </c>
      <c r="M5" s="10">
        <v>1</v>
      </c>
      <c r="N5" s="10" t="s">
        <v>82</v>
      </c>
      <c r="O5" s="10">
        <v>0.91900000000000004</v>
      </c>
      <c r="P5" s="10">
        <v>0.125</v>
      </c>
      <c r="Q5" s="10">
        <v>200</v>
      </c>
      <c r="R5" s="10" t="s">
        <v>83</v>
      </c>
      <c r="S5" s="34">
        <f t="shared" si="0"/>
        <v>200</v>
      </c>
      <c r="T5" s="10" t="s">
        <v>937</v>
      </c>
      <c r="U5" s="45">
        <v>45679</v>
      </c>
      <c r="V5">
        <f t="shared" si="3"/>
        <v>195.63513570339998</v>
      </c>
      <c r="W5" t="s">
        <v>938</v>
      </c>
      <c r="AF5" s="127">
        <v>45692</v>
      </c>
      <c r="AG5" s="128">
        <v>0.375</v>
      </c>
      <c r="AH5" s="31" t="s">
        <v>70</v>
      </c>
      <c r="AI5" s="31" t="s">
        <v>71</v>
      </c>
      <c r="AJ5" s="31" t="s">
        <v>913</v>
      </c>
      <c r="AK5" s="31">
        <v>1</v>
      </c>
      <c r="AL5" s="31" t="s">
        <v>72</v>
      </c>
      <c r="AM5" s="31" t="s">
        <v>73</v>
      </c>
      <c r="AN5" s="31" t="s">
        <v>81</v>
      </c>
      <c r="AO5" s="31">
        <v>188</v>
      </c>
      <c r="AP5" s="129">
        <v>45692</v>
      </c>
      <c r="AQ5" s="128">
        <v>0.63454861111111105</v>
      </c>
      <c r="AR5" s="31">
        <v>1</v>
      </c>
      <c r="AS5" s="31" t="s">
        <v>82</v>
      </c>
      <c r="AT5" s="31">
        <v>9.73</v>
      </c>
      <c r="AU5" s="31">
        <v>0.97799999999999998</v>
      </c>
      <c r="AV5" s="31">
        <v>2000</v>
      </c>
      <c r="AW5" s="31" t="s">
        <v>83</v>
      </c>
      <c r="AX5" s="34">
        <f t="shared" si="1"/>
        <v>2000</v>
      </c>
      <c r="AY5" s="31" t="s">
        <v>972</v>
      </c>
      <c r="AZ5" s="130">
        <v>45692</v>
      </c>
      <c r="BA5" s="132">
        <f t="shared" ref="BA5" si="6">-1.1905*AT5^2+216.45*AT5+5.0455</f>
        <v>1998.39591255</v>
      </c>
      <c r="BB5" s="132" t="s">
        <v>973</v>
      </c>
    </row>
    <row r="6" spans="1:54" x14ac:dyDescent="0.3">
      <c r="A6" s="32">
        <v>45678</v>
      </c>
      <c r="B6" s="33">
        <v>0.375</v>
      </c>
      <c r="C6" s="10" t="s">
        <v>70</v>
      </c>
      <c r="D6" s="10" t="s">
        <v>71</v>
      </c>
      <c r="E6" s="10" t="s">
        <v>910</v>
      </c>
      <c r="F6" s="10">
        <v>1</v>
      </c>
      <c r="G6" s="10" t="s">
        <v>72</v>
      </c>
      <c r="H6" s="10" t="s">
        <v>73</v>
      </c>
      <c r="I6" s="10" t="s">
        <v>81</v>
      </c>
      <c r="J6" s="10">
        <v>185</v>
      </c>
      <c r="K6" s="12">
        <v>45679</v>
      </c>
      <c r="L6" s="33">
        <v>0.56873842592592594</v>
      </c>
      <c r="M6" s="10">
        <v>1</v>
      </c>
      <c r="N6" s="10" t="s">
        <v>82</v>
      </c>
      <c r="O6" s="10">
        <v>2.35</v>
      </c>
      <c r="P6" s="10">
        <v>0.224</v>
      </c>
      <c r="Q6" s="10">
        <v>500</v>
      </c>
      <c r="R6" s="10" t="s">
        <v>83</v>
      </c>
      <c r="S6" s="34">
        <f t="shared" si="0"/>
        <v>500</v>
      </c>
      <c r="T6" s="10" t="s">
        <v>937</v>
      </c>
      <c r="U6" s="45">
        <v>45679</v>
      </c>
      <c r="V6">
        <f t="shared" si="3"/>
        <v>490.5195865</v>
      </c>
      <c r="W6" t="s">
        <v>938</v>
      </c>
      <c r="AF6" s="32">
        <v>45699</v>
      </c>
      <c r="AG6" s="33">
        <v>0.375</v>
      </c>
      <c r="AH6" s="10" t="s">
        <v>70</v>
      </c>
      <c r="AI6" s="10" t="s">
        <v>71</v>
      </c>
      <c r="AJ6" s="10" t="s">
        <v>913</v>
      </c>
      <c r="AK6" s="10">
        <v>1</v>
      </c>
      <c r="AL6" s="10" t="s">
        <v>72</v>
      </c>
      <c r="AM6" s="10" t="s">
        <v>73</v>
      </c>
      <c r="AN6" s="10" t="s">
        <v>81</v>
      </c>
      <c r="AO6" s="10">
        <v>188</v>
      </c>
      <c r="AP6" s="12">
        <v>45699</v>
      </c>
      <c r="AQ6" s="33">
        <v>0.67811342592592594</v>
      </c>
      <c r="AR6" s="10">
        <v>1</v>
      </c>
      <c r="AS6" s="10" t="s">
        <v>82</v>
      </c>
      <c r="AT6" s="10">
        <v>8.2100000000000009</v>
      </c>
      <c r="AU6" s="10">
        <v>0.96899999999999997</v>
      </c>
      <c r="AV6" s="10">
        <v>2000</v>
      </c>
      <c r="AW6" s="10" t="s">
        <v>83</v>
      </c>
      <c r="AX6" s="123">
        <f t="shared" si="1"/>
        <v>2000</v>
      </c>
      <c r="AY6" s="10" t="s">
        <v>980</v>
      </c>
      <c r="AZ6" s="45">
        <v>45699</v>
      </c>
      <c r="BA6" s="124">
        <f t="shared" ref="BA6" si="7">0.1004*AT6^2+241.38*AT6-1.4194</f>
        <v>1987.07777164</v>
      </c>
      <c r="BB6" s="124" t="s">
        <v>981</v>
      </c>
    </row>
    <row r="7" spans="1:54" x14ac:dyDescent="0.3">
      <c r="A7" s="32">
        <v>45678</v>
      </c>
      <c r="B7" s="33">
        <v>0.375</v>
      </c>
      <c r="C7" s="10" t="s">
        <v>70</v>
      </c>
      <c r="D7" s="10" t="s">
        <v>71</v>
      </c>
      <c r="E7" s="10" t="s">
        <v>911</v>
      </c>
      <c r="F7" s="10">
        <v>1</v>
      </c>
      <c r="G7" s="10" t="s">
        <v>72</v>
      </c>
      <c r="H7" s="10" t="s">
        <v>73</v>
      </c>
      <c r="I7" s="10" t="s">
        <v>81</v>
      </c>
      <c r="J7" s="10">
        <v>186</v>
      </c>
      <c r="K7" s="12">
        <v>45679</v>
      </c>
      <c r="L7" s="33">
        <v>0.56931712962962966</v>
      </c>
      <c r="M7" s="10">
        <v>1</v>
      </c>
      <c r="N7" s="10" t="s">
        <v>82</v>
      </c>
      <c r="O7" s="10">
        <v>4.88</v>
      </c>
      <c r="P7" s="10">
        <v>0.48899999999999999</v>
      </c>
      <c r="Q7" s="10">
        <v>1000</v>
      </c>
      <c r="R7" s="10" t="s">
        <v>83</v>
      </c>
      <c r="S7" s="34">
        <f t="shared" si="0"/>
        <v>1000</v>
      </c>
      <c r="T7" s="10" t="s">
        <v>937</v>
      </c>
      <c r="U7" s="45">
        <v>45679</v>
      </c>
      <c r="V7">
        <f t="shared" si="3"/>
        <v>1012.2684873599999</v>
      </c>
      <c r="W7" t="s">
        <v>938</v>
      </c>
      <c r="AF7" s="127">
        <v>45707</v>
      </c>
      <c r="AG7" s="128">
        <v>0.375</v>
      </c>
      <c r="AH7" s="31" t="s">
        <v>70</v>
      </c>
      <c r="AI7" s="31" t="s">
        <v>71</v>
      </c>
      <c r="AJ7" s="31" t="s">
        <v>921</v>
      </c>
      <c r="AK7" s="31">
        <v>1</v>
      </c>
      <c r="AL7" s="31" t="s">
        <v>72</v>
      </c>
      <c r="AM7" s="31" t="s">
        <v>73</v>
      </c>
      <c r="AN7" s="31" t="s">
        <v>81</v>
      </c>
      <c r="AO7" s="31">
        <v>196</v>
      </c>
      <c r="AP7" s="129">
        <v>45708</v>
      </c>
      <c r="AQ7" s="128">
        <v>0.61539351851851853</v>
      </c>
      <c r="AR7" s="31">
        <v>1</v>
      </c>
      <c r="AS7" s="31" t="s">
        <v>82</v>
      </c>
      <c r="AT7" s="31">
        <v>3.4</v>
      </c>
      <c r="AU7" s="31">
        <v>0.32200000000000001</v>
      </c>
      <c r="AV7" s="31">
        <v>500</v>
      </c>
      <c r="AW7" s="31" t="s">
        <v>83</v>
      </c>
      <c r="AX7" s="34">
        <f t="shared" si="1"/>
        <v>500</v>
      </c>
      <c r="AY7" s="31" t="s">
        <v>988</v>
      </c>
      <c r="AZ7" s="130">
        <v>45708</v>
      </c>
      <c r="BA7" s="132">
        <f t="shared" ref="BA7" si="8">2.5833*AT7^2+192.01*AT7+3.9138</f>
        <v>686.61074799999994</v>
      </c>
      <c r="BB7" s="132" t="s">
        <v>989</v>
      </c>
    </row>
    <row r="8" spans="1:54" x14ac:dyDescent="0.3">
      <c r="A8" s="32">
        <v>45678</v>
      </c>
      <c r="B8" s="33">
        <v>0.375</v>
      </c>
      <c r="C8" s="10" t="s">
        <v>70</v>
      </c>
      <c r="D8" s="10" t="s">
        <v>71</v>
      </c>
      <c r="E8" s="10" t="s">
        <v>912</v>
      </c>
      <c r="F8" s="10">
        <v>1</v>
      </c>
      <c r="G8" s="10" t="s">
        <v>72</v>
      </c>
      <c r="H8" s="10" t="s">
        <v>73</v>
      </c>
      <c r="I8" s="10" t="s">
        <v>81</v>
      </c>
      <c r="J8" s="10">
        <v>187</v>
      </c>
      <c r="K8" s="12">
        <v>45679</v>
      </c>
      <c r="L8" s="33">
        <v>0.56990740740740742</v>
      </c>
      <c r="M8" s="10">
        <v>1</v>
      </c>
      <c r="N8" s="10" t="s">
        <v>82</v>
      </c>
      <c r="O8" s="10">
        <v>7.31</v>
      </c>
      <c r="P8" s="10">
        <v>0.72199999999999998</v>
      </c>
      <c r="Q8" s="10">
        <v>1500</v>
      </c>
      <c r="R8" s="10" t="s">
        <v>83</v>
      </c>
      <c r="S8" s="34">
        <f t="shared" si="0"/>
        <v>1500</v>
      </c>
      <c r="T8" s="10" t="s">
        <v>937</v>
      </c>
      <c r="U8" s="45">
        <v>45679</v>
      </c>
      <c r="V8">
        <f t="shared" si="3"/>
        <v>1513.86978234</v>
      </c>
      <c r="W8" t="s">
        <v>938</v>
      </c>
    </row>
    <row r="9" spans="1:54" x14ac:dyDescent="0.3">
      <c r="A9" s="32">
        <v>45678</v>
      </c>
      <c r="B9" s="33">
        <v>0.375</v>
      </c>
      <c r="C9" s="10" t="s">
        <v>70</v>
      </c>
      <c r="D9" s="10" t="s">
        <v>71</v>
      </c>
      <c r="E9" s="10" t="s">
        <v>913</v>
      </c>
      <c r="F9" s="10">
        <v>1</v>
      </c>
      <c r="G9" s="10" t="s">
        <v>72</v>
      </c>
      <c r="H9" s="10" t="s">
        <v>73</v>
      </c>
      <c r="I9" s="10" t="s">
        <v>81</v>
      </c>
      <c r="J9" s="10">
        <v>188</v>
      </c>
      <c r="K9" s="12">
        <v>45679</v>
      </c>
      <c r="L9" s="33">
        <v>0.57048611111111114</v>
      </c>
      <c r="M9" s="10">
        <v>1</v>
      </c>
      <c r="N9" s="10" t="s">
        <v>82</v>
      </c>
      <c r="O9" s="10">
        <v>9.6199999999999992</v>
      </c>
      <c r="P9" s="10">
        <v>0.95599999999999996</v>
      </c>
      <c r="Q9" s="10">
        <v>2000</v>
      </c>
      <c r="R9" s="10" t="s">
        <v>83</v>
      </c>
      <c r="S9" s="34">
        <f t="shared" si="0"/>
        <v>2000</v>
      </c>
      <c r="T9" s="10" t="s">
        <v>937</v>
      </c>
      <c r="U9" s="45">
        <v>45679</v>
      </c>
      <c r="V9">
        <f t="shared" si="3"/>
        <v>1991.1320493599999</v>
      </c>
      <c r="W9" t="s">
        <v>938</v>
      </c>
    </row>
    <row r="10" spans="1:54" x14ac:dyDescent="0.3">
      <c r="A10" s="32">
        <v>45678</v>
      </c>
      <c r="B10" s="33">
        <v>0.375</v>
      </c>
      <c r="C10" s="10" t="s">
        <v>70</v>
      </c>
      <c r="D10" s="10" t="s">
        <v>71</v>
      </c>
      <c r="E10" s="10" t="s">
        <v>914</v>
      </c>
      <c r="F10" s="10">
        <v>1</v>
      </c>
      <c r="G10" s="10" t="s">
        <v>72</v>
      </c>
      <c r="H10" s="10" t="s">
        <v>73</v>
      </c>
      <c r="I10" s="10" t="s">
        <v>81</v>
      </c>
      <c r="J10" s="10">
        <v>189</v>
      </c>
      <c r="K10" s="12">
        <v>45679</v>
      </c>
      <c r="L10" s="33">
        <v>0.57105324074074071</v>
      </c>
      <c r="M10" s="10">
        <v>1</v>
      </c>
      <c r="N10" s="10" t="s">
        <v>82</v>
      </c>
      <c r="O10" s="10">
        <v>2.92E-2</v>
      </c>
      <c r="P10" s="10">
        <v>2.8800000000000002E-3</v>
      </c>
      <c r="Q10" s="10">
        <v>0</v>
      </c>
      <c r="R10" s="10" t="s">
        <v>83</v>
      </c>
      <c r="S10" s="34">
        <f t="shared" si="0"/>
        <v>0</v>
      </c>
      <c r="T10" s="10" t="s">
        <v>937</v>
      </c>
      <c r="U10" s="45">
        <v>45679</v>
      </c>
      <c r="V10">
        <f t="shared" si="3"/>
        <v>12.356481594016</v>
      </c>
      <c r="W10" t="s">
        <v>938</v>
      </c>
    </row>
    <row r="11" spans="1:54" x14ac:dyDescent="0.3">
      <c r="A11" s="32">
        <v>45678</v>
      </c>
      <c r="B11" s="33">
        <v>0.375</v>
      </c>
      <c r="C11" s="10" t="s">
        <v>70</v>
      </c>
      <c r="D11" s="10" t="s">
        <v>71</v>
      </c>
      <c r="E11" s="10" t="s">
        <v>915</v>
      </c>
      <c r="F11" s="10">
        <v>1</v>
      </c>
      <c r="G11" s="10" t="s">
        <v>72</v>
      </c>
      <c r="H11" s="10" t="s">
        <v>73</v>
      </c>
      <c r="I11" s="10" t="s">
        <v>81</v>
      </c>
      <c r="J11" s="10">
        <v>190</v>
      </c>
      <c r="K11" s="12">
        <v>45679</v>
      </c>
      <c r="L11" s="33">
        <v>0.57164351851851858</v>
      </c>
      <c r="M11" s="10">
        <v>1</v>
      </c>
      <c r="N11" s="10" t="s">
        <v>82</v>
      </c>
      <c r="O11" s="10">
        <v>4.6399999999999997E-2</v>
      </c>
      <c r="P11" s="10">
        <v>2.9099999999999998E-3</v>
      </c>
      <c r="Q11" s="10">
        <v>5</v>
      </c>
      <c r="R11" s="10" t="s">
        <v>83</v>
      </c>
      <c r="S11" s="34">
        <f t="shared" si="0"/>
        <v>5</v>
      </c>
      <c r="T11" s="10" t="s">
        <v>937</v>
      </c>
      <c r="U11" s="45">
        <v>45679</v>
      </c>
      <c r="V11">
        <f t="shared" si="3"/>
        <v>15.898700826623999</v>
      </c>
      <c r="W11" t="s">
        <v>938</v>
      </c>
    </row>
    <row r="12" spans="1:54" x14ac:dyDescent="0.3">
      <c r="A12" s="32">
        <v>45678</v>
      </c>
      <c r="B12" s="33">
        <v>0.375</v>
      </c>
      <c r="C12" s="10" t="s">
        <v>70</v>
      </c>
      <c r="D12" s="10" t="s">
        <v>71</v>
      </c>
      <c r="E12" s="10" t="s">
        <v>916</v>
      </c>
      <c r="F12" s="10">
        <v>1</v>
      </c>
      <c r="G12" s="10" t="s">
        <v>72</v>
      </c>
      <c r="H12" s="10" t="s">
        <v>73</v>
      </c>
      <c r="I12" s="10" t="s">
        <v>81</v>
      </c>
      <c r="J12" s="10">
        <v>191</v>
      </c>
      <c r="K12" s="12">
        <v>45679</v>
      </c>
      <c r="L12" s="33">
        <v>0.57222222222222219</v>
      </c>
      <c r="M12" s="10">
        <v>1</v>
      </c>
      <c r="N12" s="10" t="s">
        <v>82</v>
      </c>
      <c r="O12" s="10">
        <v>6.4000000000000001E-2</v>
      </c>
      <c r="P12" s="10">
        <v>4.0699999999999998E-3</v>
      </c>
      <c r="Q12" s="10">
        <v>15</v>
      </c>
      <c r="R12" s="10" t="s">
        <v>83</v>
      </c>
      <c r="S12" s="34">
        <f t="shared" si="0"/>
        <v>15</v>
      </c>
      <c r="T12" s="10" t="s">
        <v>937</v>
      </c>
      <c r="U12" s="45">
        <v>45679</v>
      </c>
      <c r="V12">
        <f t="shared" si="3"/>
        <v>19.523321382399999</v>
      </c>
      <c r="W12" t="s">
        <v>938</v>
      </c>
    </row>
    <row r="13" spans="1:54" x14ac:dyDescent="0.3">
      <c r="A13" s="32">
        <v>45678</v>
      </c>
      <c r="B13" s="33">
        <v>0.375</v>
      </c>
      <c r="C13" s="10" t="s">
        <v>70</v>
      </c>
      <c r="D13" s="10" t="s">
        <v>71</v>
      </c>
      <c r="E13" s="10" t="s">
        <v>917</v>
      </c>
      <c r="F13" s="10">
        <v>1</v>
      </c>
      <c r="G13" s="10" t="s">
        <v>72</v>
      </c>
      <c r="H13" s="10" t="s">
        <v>73</v>
      </c>
      <c r="I13" s="10" t="s">
        <v>81</v>
      </c>
      <c r="J13" s="10">
        <v>192</v>
      </c>
      <c r="K13" s="12">
        <v>45679</v>
      </c>
      <c r="L13" s="33">
        <v>0.57280092592592591</v>
      </c>
      <c r="M13" s="10">
        <v>1</v>
      </c>
      <c r="N13" s="10" t="s">
        <v>82</v>
      </c>
      <c r="O13" s="10">
        <v>7.85E-2</v>
      </c>
      <c r="P13" s="10">
        <v>5.77E-3</v>
      </c>
      <c r="Q13" s="10">
        <v>20</v>
      </c>
      <c r="R13" s="10" t="s">
        <v>83</v>
      </c>
      <c r="S13" s="34">
        <f t="shared" si="0"/>
        <v>20</v>
      </c>
      <c r="T13" s="10" t="s">
        <v>937</v>
      </c>
      <c r="U13" s="45">
        <v>45679</v>
      </c>
      <c r="V13">
        <f t="shared" si="3"/>
        <v>22.509532792649999</v>
      </c>
      <c r="W13" t="s">
        <v>938</v>
      </c>
    </row>
    <row r="14" spans="1:54" x14ac:dyDescent="0.3">
      <c r="A14" s="32">
        <v>45678</v>
      </c>
      <c r="B14" s="33">
        <v>0.375</v>
      </c>
      <c r="C14" s="10" t="s">
        <v>70</v>
      </c>
      <c r="D14" s="10" t="s">
        <v>71</v>
      </c>
      <c r="E14" s="10" t="s">
        <v>918</v>
      </c>
      <c r="F14" s="10">
        <v>1</v>
      </c>
      <c r="G14" s="10" t="s">
        <v>72</v>
      </c>
      <c r="H14" s="10" t="s">
        <v>73</v>
      </c>
      <c r="I14" s="10" t="s">
        <v>81</v>
      </c>
      <c r="J14" s="10">
        <v>193</v>
      </c>
      <c r="K14" s="12">
        <v>45679</v>
      </c>
      <c r="L14" s="33">
        <v>0.57337962962962963</v>
      </c>
      <c r="M14" s="10">
        <v>1</v>
      </c>
      <c r="N14" s="10" t="s">
        <v>82</v>
      </c>
      <c r="O14" s="10">
        <v>0.28899999999999998</v>
      </c>
      <c r="P14" s="10">
        <v>2.6499999999999999E-2</v>
      </c>
      <c r="Q14" s="10">
        <v>75</v>
      </c>
      <c r="R14" s="10" t="s">
        <v>83</v>
      </c>
      <c r="S14" s="34">
        <f t="shared" si="0"/>
        <v>75</v>
      </c>
      <c r="T14" s="10" t="s">
        <v>937</v>
      </c>
      <c r="U14" s="45">
        <v>45679</v>
      </c>
      <c r="V14">
        <f t="shared" si="3"/>
        <v>65.862950727399991</v>
      </c>
      <c r="W14" t="s">
        <v>938</v>
      </c>
    </row>
    <row r="15" spans="1:54" x14ac:dyDescent="0.3">
      <c r="A15" s="32">
        <v>45678</v>
      </c>
      <c r="B15" s="33">
        <v>0.375</v>
      </c>
      <c r="C15" s="10" t="s">
        <v>70</v>
      </c>
      <c r="D15" s="10" t="s">
        <v>71</v>
      </c>
      <c r="E15" s="10" t="s">
        <v>919</v>
      </c>
      <c r="F15" s="10">
        <v>1</v>
      </c>
      <c r="G15" s="10" t="s">
        <v>72</v>
      </c>
      <c r="H15" s="10" t="s">
        <v>73</v>
      </c>
      <c r="I15" s="10" t="s">
        <v>81</v>
      </c>
      <c r="J15" s="10">
        <v>194</v>
      </c>
      <c r="K15" s="12">
        <v>45679</v>
      </c>
      <c r="L15" s="33">
        <v>0.57395833333333335</v>
      </c>
      <c r="M15" s="10">
        <v>1</v>
      </c>
      <c r="N15" s="10" t="s">
        <v>82</v>
      </c>
      <c r="O15" s="10">
        <v>0.627</v>
      </c>
      <c r="P15" s="10">
        <v>5.7200000000000001E-2</v>
      </c>
      <c r="Q15" s="10">
        <v>150</v>
      </c>
      <c r="R15" s="10" t="s">
        <v>83</v>
      </c>
      <c r="S15" s="34">
        <f t="shared" si="0"/>
        <v>150</v>
      </c>
      <c r="T15" s="10" t="s">
        <v>937</v>
      </c>
      <c r="U15" s="45">
        <v>45679</v>
      </c>
      <c r="V15">
        <f t="shared" si="3"/>
        <v>135.48286928259998</v>
      </c>
      <c r="W15" t="s">
        <v>938</v>
      </c>
    </row>
    <row r="16" spans="1:54" x14ac:dyDescent="0.3">
      <c r="A16" s="32">
        <v>45678</v>
      </c>
      <c r="B16" s="33">
        <v>0.375</v>
      </c>
      <c r="C16" s="10" t="s">
        <v>70</v>
      </c>
      <c r="D16" s="10" t="s">
        <v>71</v>
      </c>
      <c r="E16" s="10" t="s">
        <v>920</v>
      </c>
      <c r="F16" s="10">
        <v>1</v>
      </c>
      <c r="G16" s="10" t="s">
        <v>72</v>
      </c>
      <c r="H16" s="10" t="s">
        <v>73</v>
      </c>
      <c r="I16" s="10" t="s">
        <v>81</v>
      </c>
      <c r="J16" s="10">
        <v>195</v>
      </c>
      <c r="K16" s="12">
        <v>45679</v>
      </c>
      <c r="L16" s="33">
        <v>0.57453703703703707</v>
      </c>
      <c r="M16" s="10">
        <v>1</v>
      </c>
      <c r="N16" s="10" t="s">
        <v>82</v>
      </c>
      <c r="O16" s="10">
        <v>1.31</v>
      </c>
      <c r="P16" s="10">
        <v>0.125</v>
      </c>
      <c r="Q16" s="10">
        <v>300</v>
      </c>
      <c r="R16" s="10" t="s">
        <v>83</v>
      </c>
      <c r="S16" s="34">
        <f t="shared" si="0"/>
        <v>300</v>
      </c>
      <c r="T16" s="10" t="s">
        <v>937</v>
      </c>
      <c r="U16" s="45">
        <v>45679</v>
      </c>
      <c r="V16">
        <f t="shared" si="3"/>
        <v>276.19201434000001</v>
      </c>
      <c r="W16" t="s">
        <v>938</v>
      </c>
    </row>
    <row r="17" spans="1:23" x14ac:dyDescent="0.3">
      <c r="A17" s="32">
        <v>45678</v>
      </c>
      <c r="B17" s="33">
        <v>0.375</v>
      </c>
      <c r="C17" s="10" t="s">
        <v>70</v>
      </c>
      <c r="D17" s="10" t="s">
        <v>71</v>
      </c>
      <c r="E17" s="10" t="s">
        <v>921</v>
      </c>
      <c r="F17" s="10">
        <v>1</v>
      </c>
      <c r="G17" s="10" t="s">
        <v>72</v>
      </c>
      <c r="H17" s="10" t="s">
        <v>73</v>
      </c>
      <c r="I17" s="10" t="s">
        <v>81</v>
      </c>
      <c r="J17" s="10">
        <v>196</v>
      </c>
      <c r="K17" s="12">
        <v>45679</v>
      </c>
      <c r="L17" s="33">
        <v>0.57513888888888887</v>
      </c>
      <c r="M17" s="10">
        <v>1</v>
      </c>
      <c r="N17" s="10" t="s">
        <v>82</v>
      </c>
      <c r="O17" s="10">
        <v>2.41</v>
      </c>
      <c r="P17" s="10">
        <v>0.23400000000000001</v>
      </c>
      <c r="Q17" s="10">
        <v>500</v>
      </c>
      <c r="R17" s="10" t="s">
        <v>83</v>
      </c>
      <c r="S17" s="34">
        <f t="shared" si="0"/>
        <v>500</v>
      </c>
      <c r="T17" s="10" t="s">
        <v>937</v>
      </c>
      <c r="U17" s="45">
        <v>45679</v>
      </c>
      <c r="V17">
        <f t="shared" si="3"/>
        <v>502.88723914000002</v>
      </c>
      <c r="W17" t="s">
        <v>938</v>
      </c>
    </row>
    <row r="18" spans="1:23" x14ac:dyDescent="0.3">
      <c r="A18" s="127">
        <v>45680</v>
      </c>
      <c r="B18" s="128">
        <v>0.375</v>
      </c>
      <c r="C18" s="31" t="s">
        <v>70</v>
      </c>
      <c r="D18" s="31" t="s">
        <v>71</v>
      </c>
      <c r="E18" s="31" t="s">
        <v>906</v>
      </c>
      <c r="F18" s="31">
        <v>1</v>
      </c>
      <c r="G18" s="31" t="s">
        <v>72</v>
      </c>
      <c r="H18" s="31" t="s">
        <v>73</v>
      </c>
      <c r="I18" s="31" t="s">
        <v>81</v>
      </c>
      <c r="J18" s="31">
        <v>181</v>
      </c>
      <c r="K18" s="129">
        <v>45681</v>
      </c>
      <c r="L18" s="128">
        <v>0.45101851851851849</v>
      </c>
      <c r="M18" s="31">
        <v>1</v>
      </c>
      <c r="N18" s="31" t="s">
        <v>82</v>
      </c>
      <c r="O18" s="31">
        <v>-8.0000000000000002E-3</v>
      </c>
      <c r="P18" s="31">
        <v>7.2000000000000005E-4</v>
      </c>
      <c r="Q18" s="31">
        <v>0</v>
      </c>
      <c r="R18" s="31" t="s">
        <v>83</v>
      </c>
      <c r="S18" s="34">
        <f t="shared" si="0"/>
        <v>0</v>
      </c>
      <c r="T18" s="31" t="s">
        <v>946</v>
      </c>
      <c r="U18" s="130">
        <v>45681</v>
      </c>
      <c r="V18" s="132">
        <f>-1.3102*O18^2+212.34*O18+3.8493</f>
        <v>2.1504961472000002</v>
      </c>
      <c r="W18" s="132" t="s">
        <v>947</v>
      </c>
    </row>
    <row r="19" spans="1:23" x14ac:dyDescent="0.3">
      <c r="A19" s="127">
        <v>45680</v>
      </c>
      <c r="B19" s="128">
        <v>0.375</v>
      </c>
      <c r="C19" s="31" t="s">
        <v>70</v>
      </c>
      <c r="D19" s="31" t="s">
        <v>71</v>
      </c>
      <c r="E19" s="31" t="s">
        <v>907</v>
      </c>
      <c r="F19" s="31">
        <v>1</v>
      </c>
      <c r="G19" s="31" t="s">
        <v>72</v>
      </c>
      <c r="H19" s="31" t="s">
        <v>73</v>
      </c>
      <c r="I19" s="31" t="s">
        <v>81</v>
      </c>
      <c r="J19" s="31">
        <v>182</v>
      </c>
      <c r="K19" s="129">
        <v>45681</v>
      </c>
      <c r="L19" s="128">
        <v>0.4516087962962963</v>
      </c>
      <c r="M19" s="31">
        <v>1</v>
      </c>
      <c r="N19" s="31" t="s">
        <v>82</v>
      </c>
      <c r="O19" s="31">
        <v>4.3499999999999997E-2</v>
      </c>
      <c r="P19" s="31">
        <v>3.0500000000000002E-3</v>
      </c>
      <c r="Q19" s="31">
        <v>12</v>
      </c>
      <c r="R19" s="31" t="s">
        <v>83</v>
      </c>
      <c r="S19" s="34">
        <f t="shared" si="0"/>
        <v>12</v>
      </c>
      <c r="T19" s="31" t="s">
        <v>946</v>
      </c>
      <c r="U19" s="130">
        <v>45681</v>
      </c>
      <c r="V19" s="132">
        <f t="shared" ref="V19:V33" si="9">-1.3102*O19^2+212.34*O19+3.8493</f>
        <v>13.083610774049999</v>
      </c>
      <c r="W19" s="132" t="s">
        <v>947</v>
      </c>
    </row>
    <row r="20" spans="1:23" x14ac:dyDescent="0.3">
      <c r="A20" s="127">
        <v>45680</v>
      </c>
      <c r="B20" s="128">
        <v>0.375</v>
      </c>
      <c r="C20" s="31" t="s">
        <v>70</v>
      </c>
      <c r="D20" s="31" t="s">
        <v>71</v>
      </c>
      <c r="E20" s="31" t="s">
        <v>908</v>
      </c>
      <c r="F20" s="31">
        <v>1</v>
      </c>
      <c r="G20" s="31" t="s">
        <v>72</v>
      </c>
      <c r="H20" s="31" t="s">
        <v>73</v>
      </c>
      <c r="I20" s="31" t="s">
        <v>81</v>
      </c>
      <c r="J20" s="31">
        <v>183</v>
      </c>
      <c r="K20" s="129">
        <v>45681</v>
      </c>
      <c r="L20" s="128">
        <v>0.45218749999999996</v>
      </c>
      <c r="M20" s="31">
        <v>1</v>
      </c>
      <c r="N20" s="31" t="s">
        <v>82</v>
      </c>
      <c r="O20" s="31">
        <v>0.19800000000000001</v>
      </c>
      <c r="P20" s="31">
        <v>1.6799999999999999E-2</v>
      </c>
      <c r="Q20" s="31">
        <v>50</v>
      </c>
      <c r="R20" s="31" t="s">
        <v>83</v>
      </c>
      <c r="S20" s="34">
        <f t="shared" si="0"/>
        <v>50</v>
      </c>
      <c r="T20" s="31" t="s">
        <v>946</v>
      </c>
      <c r="U20" s="130">
        <v>45681</v>
      </c>
      <c r="V20" s="132">
        <f t="shared" si="9"/>
        <v>45.841254919200004</v>
      </c>
      <c r="W20" s="132" t="s">
        <v>947</v>
      </c>
    </row>
    <row r="21" spans="1:23" x14ac:dyDescent="0.3">
      <c r="A21" s="127">
        <v>45680</v>
      </c>
      <c r="B21" s="128">
        <v>0.375</v>
      </c>
      <c r="C21" s="31" t="s">
        <v>70</v>
      </c>
      <c r="D21" s="31" t="s">
        <v>71</v>
      </c>
      <c r="E21" s="31" t="s">
        <v>909</v>
      </c>
      <c r="F21" s="31">
        <v>1</v>
      </c>
      <c r="G21" s="31" t="s">
        <v>72</v>
      </c>
      <c r="H21" s="31" t="s">
        <v>73</v>
      </c>
      <c r="I21" s="31" t="s">
        <v>81</v>
      </c>
      <c r="J21" s="31">
        <v>184</v>
      </c>
      <c r="K21" s="129">
        <v>45681</v>
      </c>
      <c r="L21" s="128">
        <v>0.45277777777777778</v>
      </c>
      <c r="M21" s="31">
        <v>1</v>
      </c>
      <c r="N21" s="31" t="s">
        <v>82</v>
      </c>
      <c r="O21" s="31">
        <v>0.91200000000000003</v>
      </c>
      <c r="P21" s="31">
        <v>8.3699999999999997E-2</v>
      </c>
      <c r="Q21" s="31">
        <v>200</v>
      </c>
      <c r="R21" s="31" t="s">
        <v>83</v>
      </c>
      <c r="S21" s="34">
        <f t="shared" si="0"/>
        <v>200</v>
      </c>
      <c r="T21" s="31" t="s">
        <v>946</v>
      </c>
      <c r="U21" s="130">
        <v>45681</v>
      </c>
      <c r="V21" s="132">
        <f t="shared" si="9"/>
        <v>196.41362901120002</v>
      </c>
      <c r="W21" s="132" t="s">
        <v>947</v>
      </c>
    </row>
    <row r="22" spans="1:23" x14ac:dyDescent="0.3">
      <c r="A22" s="127">
        <v>45680</v>
      </c>
      <c r="B22" s="128">
        <v>0.375</v>
      </c>
      <c r="C22" s="31" t="s">
        <v>70</v>
      </c>
      <c r="D22" s="31" t="s">
        <v>71</v>
      </c>
      <c r="E22" s="31" t="s">
        <v>910</v>
      </c>
      <c r="F22" s="31">
        <v>1</v>
      </c>
      <c r="G22" s="31" t="s">
        <v>72</v>
      </c>
      <c r="H22" s="31" t="s">
        <v>73</v>
      </c>
      <c r="I22" s="31" t="s">
        <v>81</v>
      </c>
      <c r="J22" s="31">
        <v>185</v>
      </c>
      <c r="K22" s="129">
        <v>45681</v>
      </c>
      <c r="L22" s="128">
        <v>0.4533564814814815</v>
      </c>
      <c r="M22" s="31">
        <v>1</v>
      </c>
      <c r="N22" s="31" t="s">
        <v>82</v>
      </c>
      <c r="O22" s="31">
        <v>2.2999999999999998</v>
      </c>
      <c r="P22" s="31">
        <v>0.216</v>
      </c>
      <c r="Q22" s="31">
        <v>500</v>
      </c>
      <c r="R22" s="31" t="s">
        <v>83</v>
      </c>
      <c r="S22" s="34">
        <f t="shared" si="0"/>
        <v>500</v>
      </c>
      <c r="T22" s="31" t="s">
        <v>946</v>
      </c>
      <c r="U22" s="130">
        <v>45681</v>
      </c>
      <c r="V22" s="132">
        <f t="shared" si="9"/>
        <v>485.300342</v>
      </c>
      <c r="W22" s="132" t="s">
        <v>947</v>
      </c>
    </row>
    <row r="23" spans="1:23" x14ac:dyDescent="0.3">
      <c r="A23" s="127">
        <v>45680</v>
      </c>
      <c r="B23" s="128">
        <v>0.375</v>
      </c>
      <c r="C23" s="31" t="s">
        <v>70</v>
      </c>
      <c r="D23" s="31" t="s">
        <v>71</v>
      </c>
      <c r="E23" s="31" t="s">
        <v>911</v>
      </c>
      <c r="F23" s="31">
        <v>1</v>
      </c>
      <c r="G23" s="31" t="s">
        <v>72</v>
      </c>
      <c r="H23" s="31" t="s">
        <v>73</v>
      </c>
      <c r="I23" s="31" t="s">
        <v>81</v>
      </c>
      <c r="J23" s="31">
        <v>186</v>
      </c>
      <c r="K23" s="129">
        <v>45681</v>
      </c>
      <c r="L23" s="128">
        <v>0.45393518518518516</v>
      </c>
      <c r="M23" s="31">
        <v>1</v>
      </c>
      <c r="N23" s="31" t="s">
        <v>82</v>
      </c>
      <c r="O23" s="31">
        <v>4.8600000000000003</v>
      </c>
      <c r="P23" s="31">
        <v>0.47</v>
      </c>
      <c r="Q23" s="31">
        <v>1000</v>
      </c>
      <c r="R23" s="31" t="s">
        <v>83</v>
      </c>
      <c r="S23" s="34">
        <f t="shared" si="0"/>
        <v>1000</v>
      </c>
      <c r="T23" s="31" t="s">
        <v>946</v>
      </c>
      <c r="U23" s="130">
        <v>45681</v>
      </c>
      <c r="V23" s="132">
        <f t="shared" si="9"/>
        <v>1004.8753000800001</v>
      </c>
      <c r="W23" s="132" t="s">
        <v>947</v>
      </c>
    </row>
    <row r="24" spans="1:23" x14ac:dyDescent="0.3">
      <c r="A24" s="127">
        <v>45680</v>
      </c>
      <c r="B24" s="128">
        <v>0.375</v>
      </c>
      <c r="C24" s="31" t="s">
        <v>70</v>
      </c>
      <c r="D24" s="31" t="s">
        <v>71</v>
      </c>
      <c r="E24" s="31" t="s">
        <v>912</v>
      </c>
      <c r="F24" s="31">
        <v>1</v>
      </c>
      <c r="G24" s="31" t="s">
        <v>72</v>
      </c>
      <c r="H24" s="31" t="s">
        <v>73</v>
      </c>
      <c r="I24" s="31" t="s">
        <v>81</v>
      </c>
      <c r="J24" s="31">
        <v>187</v>
      </c>
      <c r="K24" s="129">
        <v>45681</v>
      </c>
      <c r="L24" s="128">
        <v>0.45451388888888888</v>
      </c>
      <c r="M24" s="31">
        <v>1</v>
      </c>
      <c r="N24" s="31" t="s">
        <v>82</v>
      </c>
      <c r="O24" s="31">
        <v>7.43</v>
      </c>
      <c r="P24" s="31">
        <v>0.73</v>
      </c>
      <c r="Q24" s="31">
        <v>1500</v>
      </c>
      <c r="R24" s="31" t="s">
        <v>83</v>
      </c>
      <c r="S24" s="34">
        <f t="shared" si="0"/>
        <v>1500</v>
      </c>
      <c r="T24" s="31" t="s">
        <v>946</v>
      </c>
      <c r="U24" s="130">
        <v>45681</v>
      </c>
      <c r="V24" s="132">
        <f t="shared" si="9"/>
        <v>1509.20604002</v>
      </c>
      <c r="W24" s="132" t="s">
        <v>947</v>
      </c>
    </row>
    <row r="25" spans="1:23" x14ac:dyDescent="0.3">
      <c r="A25" s="127">
        <v>45680</v>
      </c>
      <c r="B25" s="128">
        <v>0.375</v>
      </c>
      <c r="C25" s="31" t="s">
        <v>70</v>
      </c>
      <c r="D25" s="31" t="s">
        <v>71</v>
      </c>
      <c r="E25" s="31" t="s">
        <v>913</v>
      </c>
      <c r="F25" s="31">
        <v>1</v>
      </c>
      <c r="G25" s="31" t="s">
        <v>72</v>
      </c>
      <c r="H25" s="31" t="s">
        <v>73</v>
      </c>
      <c r="I25" s="31" t="s">
        <v>81</v>
      </c>
      <c r="J25" s="31">
        <v>188</v>
      </c>
      <c r="K25" s="129">
        <v>45681</v>
      </c>
      <c r="L25" s="128">
        <v>0.4550925925925926</v>
      </c>
      <c r="M25" s="31">
        <v>1</v>
      </c>
      <c r="N25" s="31" t="s">
        <v>82</v>
      </c>
      <c r="O25" s="31">
        <v>9.99</v>
      </c>
      <c r="P25" s="31">
        <v>0.98899999999999999</v>
      </c>
      <c r="Q25" s="31">
        <v>2000</v>
      </c>
      <c r="R25" s="31" t="s">
        <v>83</v>
      </c>
      <c r="S25" s="34">
        <f t="shared" si="0"/>
        <v>2000</v>
      </c>
      <c r="T25" s="31" t="s">
        <v>946</v>
      </c>
      <c r="U25" s="130">
        <v>45681</v>
      </c>
      <c r="V25" s="132">
        <f t="shared" si="9"/>
        <v>1994.3678089800003</v>
      </c>
      <c r="W25" s="132" t="s">
        <v>947</v>
      </c>
    </row>
    <row r="26" spans="1:23" x14ac:dyDescent="0.3">
      <c r="A26" s="127">
        <v>45680</v>
      </c>
      <c r="B26" s="128">
        <v>0.375</v>
      </c>
      <c r="C26" s="31" t="s">
        <v>70</v>
      </c>
      <c r="D26" s="31" t="s">
        <v>71</v>
      </c>
      <c r="E26" s="31" t="s">
        <v>914</v>
      </c>
      <c r="F26" s="31">
        <v>1</v>
      </c>
      <c r="G26" s="31" t="s">
        <v>72</v>
      </c>
      <c r="H26" s="31" t="s">
        <v>73</v>
      </c>
      <c r="I26" s="31" t="s">
        <v>81</v>
      </c>
      <c r="J26" s="31">
        <v>189</v>
      </c>
      <c r="K26" s="129">
        <v>45681</v>
      </c>
      <c r="L26" s="128">
        <v>0.45568287037037036</v>
      </c>
      <c r="M26" s="31">
        <v>1</v>
      </c>
      <c r="N26" s="31" t="s">
        <v>82</v>
      </c>
      <c r="O26" s="31">
        <v>2.4E-2</v>
      </c>
      <c r="P26" s="31">
        <v>2.4299999999999999E-3</v>
      </c>
      <c r="Q26" s="31">
        <v>0</v>
      </c>
      <c r="R26" s="31" t="s">
        <v>83</v>
      </c>
      <c r="S26" s="34">
        <f t="shared" si="0"/>
        <v>0</v>
      </c>
      <c r="T26" s="31" t="s">
        <v>946</v>
      </c>
      <c r="U26" s="130">
        <v>45681</v>
      </c>
      <c r="V26" s="132">
        <f t="shared" si="9"/>
        <v>8.944705324800001</v>
      </c>
      <c r="W26" s="132" t="s">
        <v>947</v>
      </c>
    </row>
    <row r="27" spans="1:23" x14ac:dyDescent="0.3">
      <c r="A27" s="127">
        <v>45680</v>
      </c>
      <c r="B27" s="128">
        <v>0.375</v>
      </c>
      <c r="C27" s="31" t="s">
        <v>70</v>
      </c>
      <c r="D27" s="31" t="s">
        <v>71</v>
      </c>
      <c r="E27" s="31" t="s">
        <v>915</v>
      </c>
      <c r="F27" s="31">
        <v>1</v>
      </c>
      <c r="G27" s="31" t="s">
        <v>72</v>
      </c>
      <c r="H27" s="31" t="s">
        <v>73</v>
      </c>
      <c r="I27" s="31" t="s">
        <v>81</v>
      </c>
      <c r="J27" s="31">
        <v>190</v>
      </c>
      <c r="K27" s="129">
        <v>45681</v>
      </c>
      <c r="L27" s="128">
        <v>0.45626157407407408</v>
      </c>
      <c r="M27" s="31">
        <v>1</v>
      </c>
      <c r="N27" s="31" t="s">
        <v>82</v>
      </c>
      <c r="O27" s="31">
        <v>4.4999999999999998E-2</v>
      </c>
      <c r="P27" s="31">
        <v>3.3300000000000001E-3</v>
      </c>
      <c r="Q27" s="31">
        <v>5</v>
      </c>
      <c r="R27" s="31" t="s">
        <v>83</v>
      </c>
      <c r="S27" s="34">
        <f t="shared" si="0"/>
        <v>5</v>
      </c>
      <c r="T27" s="31" t="s">
        <v>946</v>
      </c>
      <c r="U27" s="130">
        <v>45681</v>
      </c>
      <c r="V27" s="132">
        <f t="shared" si="9"/>
        <v>13.401946844999998</v>
      </c>
      <c r="W27" s="132" t="s">
        <v>947</v>
      </c>
    </row>
    <row r="28" spans="1:23" x14ac:dyDescent="0.3">
      <c r="A28" s="127">
        <v>45680</v>
      </c>
      <c r="B28" s="128">
        <v>0.375</v>
      </c>
      <c r="C28" s="31" t="s">
        <v>70</v>
      </c>
      <c r="D28" s="31" t="s">
        <v>71</v>
      </c>
      <c r="E28" s="31" t="s">
        <v>916</v>
      </c>
      <c r="F28" s="31">
        <v>1</v>
      </c>
      <c r="G28" s="31" t="s">
        <v>72</v>
      </c>
      <c r="H28" s="31" t="s">
        <v>73</v>
      </c>
      <c r="I28" s="31" t="s">
        <v>81</v>
      </c>
      <c r="J28" s="31">
        <v>191</v>
      </c>
      <c r="K28" s="129">
        <v>45681</v>
      </c>
      <c r="L28" s="128">
        <v>0.4568402777777778</v>
      </c>
      <c r="M28" s="31">
        <v>1</v>
      </c>
      <c r="N28" s="31" t="s">
        <v>82</v>
      </c>
      <c r="O28" s="31">
        <v>8.3299999999999999E-2</v>
      </c>
      <c r="P28" s="31">
        <v>5.4299999999999999E-3</v>
      </c>
      <c r="Q28" s="31">
        <v>15</v>
      </c>
      <c r="R28" s="31" t="s">
        <v>83</v>
      </c>
      <c r="S28" s="34">
        <f t="shared" si="0"/>
        <v>15</v>
      </c>
      <c r="T28" s="31" t="s">
        <v>946</v>
      </c>
      <c r="U28" s="130">
        <v>45681</v>
      </c>
      <c r="V28" s="132">
        <f t="shared" si="9"/>
        <v>21.528130666321999</v>
      </c>
      <c r="W28" s="132" t="s">
        <v>947</v>
      </c>
    </row>
    <row r="29" spans="1:23" x14ac:dyDescent="0.3">
      <c r="A29" s="127">
        <v>45680</v>
      </c>
      <c r="B29" s="128">
        <v>0.375</v>
      </c>
      <c r="C29" s="31" t="s">
        <v>70</v>
      </c>
      <c r="D29" s="31" t="s">
        <v>71</v>
      </c>
      <c r="E29" s="31" t="s">
        <v>917</v>
      </c>
      <c r="F29" s="31">
        <v>1</v>
      </c>
      <c r="G29" s="31" t="s">
        <v>72</v>
      </c>
      <c r="H29" s="31" t="s">
        <v>73</v>
      </c>
      <c r="I29" s="31" t="s">
        <v>81</v>
      </c>
      <c r="J29" s="31">
        <v>192</v>
      </c>
      <c r="K29" s="129">
        <v>45681</v>
      </c>
      <c r="L29" s="128">
        <v>0.45741898148148147</v>
      </c>
      <c r="M29" s="31">
        <v>1</v>
      </c>
      <c r="N29" s="31" t="s">
        <v>82</v>
      </c>
      <c r="O29" s="31">
        <v>7.9899999999999999E-2</v>
      </c>
      <c r="P29" s="31">
        <v>5.2399999999999999E-3</v>
      </c>
      <c r="Q29" s="31">
        <v>20</v>
      </c>
      <c r="R29" s="31" t="s">
        <v>83</v>
      </c>
      <c r="S29" s="34">
        <f t="shared" si="0"/>
        <v>20</v>
      </c>
      <c r="T29" s="31" t="s">
        <v>946</v>
      </c>
      <c r="U29" s="130">
        <v>45681</v>
      </c>
      <c r="V29" s="132">
        <f t="shared" si="9"/>
        <v>20.806901670098</v>
      </c>
      <c r="W29" s="132" t="s">
        <v>947</v>
      </c>
    </row>
    <row r="30" spans="1:23" x14ac:dyDescent="0.3">
      <c r="A30" s="127">
        <v>45680</v>
      </c>
      <c r="B30" s="128">
        <v>0.375</v>
      </c>
      <c r="C30" s="31" t="s">
        <v>70</v>
      </c>
      <c r="D30" s="31" t="s">
        <v>71</v>
      </c>
      <c r="E30" s="31" t="s">
        <v>918</v>
      </c>
      <c r="F30" s="31">
        <v>1</v>
      </c>
      <c r="G30" s="31" t="s">
        <v>72</v>
      </c>
      <c r="H30" s="31" t="s">
        <v>73</v>
      </c>
      <c r="I30" s="31" t="s">
        <v>81</v>
      </c>
      <c r="J30" s="31">
        <v>193</v>
      </c>
      <c r="K30" s="129">
        <v>45681</v>
      </c>
      <c r="L30" s="128">
        <v>0.45799768518518519</v>
      </c>
      <c r="M30" s="31">
        <v>1</v>
      </c>
      <c r="N30" s="31" t="s">
        <v>82</v>
      </c>
      <c r="O30" s="31">
        <v>0.30199999999999999</v>
      </c>
      <c r="P30" s="31">
        <v>2.6499999999999999E-2</v>
      </c>
      <c r="Q30" s="31">
        <v>75</v>
      </c>
      <c r="R30" s="31" t="s">
        <v>83</v>
      </c>
      <c r="S30" s="34">
        <f t="shared" si="0"/>
        <v>75</v>
      </c>
      <c r="T30" s="31" t="s">
        <v>946</v>
      </c>
      <c r="U30" s="130">
        <v>45681</v>
      </c>
      <c r="V30" s="132">
        <f t="shared" si="9"/>
        <v>67.856484519199995</v>
      </c>
      <c r="W30" s="132" t="s">
        <v>947</v>
      </c>
    </row>
    <row r="31" spans="1:23" x14ac:dyDescent="0.3">
      <c r="A31" s="127">
        <v>45680</v>
      </c>
      <c r="B31" s="128">
        <v>0.375</v>
      </c>
      <c r="C31" s="31" t="s">
        <v>70</v>
      </c>
      <c r="D31" s="31" t="s">
        <v>71</v>
      </c>
      <c r="E31" s="31" t="s">
        <v>919</v>
      </c>
      <c r="F31" s="31">
        <v>1</v>
      </c>
      <c r="G31" s="31" t="s">
        <v>72</v>
      </c>
      <c r="H31" s="31" t="s">
        <v>73</v>
      </c>
      <c r="I31" s="31" t="s">
        <v>81</v>
      </c>
      <c r="J31" s="31">
        <v>194</v>
      </c>
      <c r="K31" s="129">
        <v>45681</v>
      </c>
      <c r="L31" s="128">
        <v>0.45858796296296295</v>
      </c>
      <c r="M31" s="31">
        <v>1</v>
      </c>
      <c r="N31" s="31" t="s">
        <v>82</v>
      </c>
      <c r="O31" s="31">
        <v>0.64800000000000002</v>
      </c>
      <c r="P31" s="31">
        <v>5.7700000000000001E-2</v>
      </c>
      <c r="Q31" s="31">
        <v>150</v>
      </c>
      <c r="R31" s="31" t="s">
        <v>83</v>
      </c>
      <c r="S31" s="34">
        <f t="shared" si="0"/>
        <v>150</v>
      </c>
      <c r="T31" s="31" t="s">
        <v>946</v>
      </c>
      <c r="U31" s="130">
        <v>45681</v>
      </c>
      <c r="V31" s="132">
        <f t="shared" si="9"/>
        <v>140.89546177920002</v>
      </c>
      <c r="W31" s="132" t="s">
        <v>947</v>
      </c>
    </row>
    <row r="32" spans="1:23" x14ac:dyDescent="0.3">
      <c r="A32" s="127">
        <v>45680</v>
      </c>
      <c r="B32" s="128">
        <v>0.375</v>
      </c>
      <c r="C32" s="31" t="s">
        <v>70</v>
      </c>
      <c r="D32" s="31" t="s">
        <v>71</v>
      </c>
      <c r="E32" s="31" t="s">
        <v>920</v>
      </c>
      <c r="F32" s="31">
        <v>1</v>
      </c>
      <c r="G32" s="31" t="s">
        <v>72</v>
      </c>
      <c r="H32" s="31" t="s">
        <v>73</v>
      </c>
      <c r="I32" s="31" t="s">
        <v>81</v>
      </c>
      <c r="J32" s="31">
        <v>195</v>
      </c>
      <c r="K32" s="129">
        <v>45681</v>
      </c>
      <c r="L32" s="128">
        <v>0.45915509259259263</v>
      </c>
      <c r="M32" s="31">
        <v>1</v>
      </c>
      <c r="N32" s="31" t="s">
        <v>82</v>
      </c>
      <c r="O32" s="31">
        <v>1.39</v>
      </c>
      <c r="P32" s="31">
        <v>0.128</v>
      </c>
      <c r="Q32" s="31">
        <v>300</v>
      </c>
      <c r="R32" s="31" t="s">
        <v>83</v>
      </c>
      <c r="S32" s="34">
        <f t="shared" si="0"/>
        <v>300</v>
      </c>
      <c r="T32" s="31" t="s">
        <v>946</v>
      </c>
      <c r="U32" s="130">
        <v>45681</v>
      </c>
      <c r="V32" s="132">
        <f t="shared" si="9"/>
        <v>296.47046258000006</v>
      </c>
      <c r="W32" s="132" t="s">
        <v>947</v>
      </c>
    </row>
    <row r="33" spans="1:23" x14ac:dyDescent="0.3">
      <c r="A33" s="127">
        <v>45680</v>
      </c>
      <c r="B33" s="128">
        <v>0.375</v>
      </c>
      <c r="C33" s="31" t="s">
        <v>70</v>
      </c>
      <c r="D33" s="31" t="s">
        <v>71</v>
      </c>
      <c r="E33" s="31" t="s">
        <v>921</v>
      </c>
      <c r="F33" s="31">
        <v>1</v>
      </c>
      <c r="G33" s="31" t="s">
        <v>72</v>
      </c>
      <c r="H33" s="31" t="s">
        <v>73</v>
      </c>
      <c r="I33" s="31" t="s">
        <v>81</v>
      </c>
      <c r="J33" s="31">
        <v>196</v>
      </c>
      <c r="K33" s="129">
        <v>45681</v>
      </c>
      <c r="L33" s="128">
        <v>0.45973379629629635</v>
      </c>
      <c r="M33" s="31">
        <v>1</v>
      </c>
      <c r="N33" s="31" t="s">
        <v>82</v>
      </c>
      <c r="O33" s="31">
        <v>2.4</v>
      </c>
      <c r="P33" s="31">
        <v>0.22700000000000001</v>
      </c>
      <c r="Q33" s="31">
        <v>500</v>
      </c>
      <c r="R33" s="31" t="s">
        <v>83</v>
      </c>
      <c r="S33" s="34">
        <f t="shared" si="0"/>
        <v>500</v>
      </c>
      <c r="T33" s="31" t="s">
        <v>946</v>
      </c>
      <c r="U33" s="130">
        <v>45681</v>
      </c>
      <c r="V33" s="132">
        <f t="shared" si="9"/>
        <v>505.91854799999999</v>
      </c>
      <c r="W33" s="132" t="s">
        <v>947</v>
      </c>
    </row>
    <row r="34" spans="1:23" x14ac:dyDescent="0.3">
      <c r="A34" s="32">
        <v>45685</v>
      </c>
      <c r="B34" s="33">
        <v>0.375</v>
      </c>
      <c r="C34" s="10" t="s">
        <v>70</v>
      </c>
      <c r="D34" s="10" t="s">
        <v>71</v>
      </c>
      <c r="E34" s="10" t="s">
        <v>906</v>
      </c>
      <c r="F34" s="10">
        <v>1</v>
      </c>
      <c r="G34" s="10" t="s">
        <v>72</v>
      </c>
      <c r="H34" s="10" t="s">
        <v>73</v>
      </c>
      <c r="I34" s="10" t="s">
        <v>81</v>
      </c>
      <c r="J34" s="10">
        <v>181</v>
      </c>
      <c r="K34" s="12">
        <v>45686</v>
      </c>
      <c r="L34" s="33">
        <v>0.6181712962962963</v>
      </c>
      <c r="M34" s="10">
        <v>1</v>
      </c>
      <c r="N34" s="10" t="s">
        <v>82</v>
      </c>
      <c r="O34" s="10">
        <v>7.5100000000000002E-3</v>
      </c>
      <c r="P34" s="10">
        <v>1.1900000000000001E-3</v>
      </c>
      <c r="Q34" s="10">
        <v>0</v>
      </c>
      <c r="R34" s="10" t="s">
        <v>83</v>
      </c>
      <c r="S34" s="123">
        <f t="shared" si="0"/>
        <v>0</v>
      </c>
      <c r="T34" s="10" t="s">
        <v>961</v>
      </c>
      <c r="U34" s="45">
        <v>45686</v>
      </c>
      <c r="V34" s="124">
        <f>-0.9791*O34^2+252.54*O34+6.5963</f>
        <v>8.4928201786620896</v>
      </c>
      <c r="W34" s="124" t="s">
        <v>963</v>
      </c>
    </row>
    <row r="35" spans="1:23" x14ac:dyDescent="0.3">
      <c r="A35" s="32">
        <v>45685</v>
      </c>
      <c r="B35" s="33">
        <v>0.375</v>
      </c>
      <c r="C35" s="10" t="s">
        <v>70</v>
      </c>
      <c r="D35" s="10" t="s">
        <v>71</v>
      </c>
      <c r="E35" s="10" t="s">
        <v>907</v>
      </c>
      <c r="F35" s="10">
        <v>1</v>
      </c>
      <c r="G35" s="10" t="s">
        <v>72</v>
      </c>
      <c r="H35" s="10" t="s">
        <v>73</v>
      </c>
      <c r="I35" s="10" t="s">
        <v>81</v>
      </c>
      <c r="J35" s="10">
        <v>182</v>
      </c>
      <c r="K35" s="12">
        <v>45686</v>
      </c>
      <c r="L35" s="33">
        <v>0.61409722222222218</v>
      </c>
      <c r="M35" s="10">
        <v>1</v>
      </c>
      <c r="N35" s="10" t="s">
        <v>82</v>
      </c>
      <c r="O35" s="10">
        <v>3.8600000000000002E-2</v>
      </c>
      <c r="P35" s="10">
        <v>2.8800000000000002E-3</v>
      </c>
      <c r="Q35" s="10">
        <v>12</v>
      </c>
      <c r="R35" s="10" t="s">
        <v>83</v>
      </c>
      <c r="S35" s="123">
        <f t="shared" si="0"/>
        <v>12</v>
      </c>
      <c r="T35" s="10" t="s">
        <v>961</v>
      </c>
      <c r="U35" s="45">
        <v>45686</v>
      </c>
      <c r="V35" s="124">
        <f t="shared" ref="V35:V49" si="10">-0.9791*O35^2+252.54*O35+6.5963</f>
        <v>16.342885180164</v>
      </c>
      <c r="W35" s="124" t="s">
        <v>963</v>
      </c>
    </row>
    <row r="36" spans="1:23" x14ac:dyDescent="0.3">
      <c r="A36" s="32">
        <v>45685</v>
      </c>
      <c r="B36" s="33">
        <v>0.375</v>
      </c>
      <c r="C36" s="10" t="s">
        <v>70</v>
      </c>
      <c r="D36" s="10" t="s">
        <v>71</v>
      </c>
      <c r="E36" s="10" t="s">
        <v>908</v>
      </c>
      <c r="F36" s="10">
        <v>1</v>
      </c>
      <c r="G36" s="10" t="s">
        <v>72</v>
      </c>
      <c r="H36" s="10" t="s">
        <v>73</v>
      </c>
      <c r="I36" s="10" t="s">
        <v>81</v>
      </c>
      <c r="J36" s="10">
        <v>183</v>
      </c>
      <c r="K36" s="12">
        <v>45686</v>
      </c>
      <c r="L36" s="33">
        <v>0.6146759259259259</v>
      </c>
      <c r="M36" s="10">
        <v>1</v>
      </c>
      <c r="N36" s="10" t="s">
        <v>82</v>
      </c>
      <c r="O36" s="10">
        <v>0.13700000000000001</v>
      </c>
      <c r="P36" s="10">
        <v>1.4800000000000001E-2</v>
      </c>
      <c r="Q36" s="10">
        <v>50</v>
      </c>
      <c r="R36" s="10" t="s">
        <v>83</v>
      </c>
      <c r="S36" s="123">
        <f t="shared" si="0"/>
        <v>50</v>
      </c>
      <c r="T36" s="10" t="s">
        <v>961</v>
      </c>
      <c r="U36" s="45">
        <v>45686</v>
      </c>
      <c r="V36" s="124">
        <f t="shared" si="10"/>
        <v>41.175903272100001</v>
      </c>
      <c r="W36" s="124" t="s">
        <v>963</v>
      </c>
    </row>
    <row r="37" spans="1:23" x14ac:dyDescent="0.3">
      <c r="A37" s="32">
        <v>45685</v>
      </c>
      <c r="B37" s="33">
        <v>0.375</v>
      </c>
      <c r="C37" s="10" t="s">
        <v>70</v>
      </c>
      <c r="D37" s="10" t="s">
        <v>71</v>
      </c>
      <c r="E37" s="10" t="s">
        <v>909</v>
      </c>
      <c r="F37" s="10">
        <v>1</v>
      </c>
      <c r="G37" s="10" t="s">
        <v>72</v>
      </c>
      <c r="H37" s="10" t="s">
        <v>73</v>
      </c>
      <c r="I37" s="10" t="s">
        <v>81</v>
      </c>
      <c r="J37" s="10">
        <v>184</v>
      </c>
      <c r="K37" s="12">
        <v>45686</v>
      </c>
      <c r="L37" s="33">
        <v>0.61525462962962962</v>
      </c>
      <c r="M37" s="10">
        <v>1</v>
      </c>
      <c r="N37" s="10" t="s">
        <v>82</v>
      </c>
      <c r="O37" s="10">
        <v>0.73099999999999998</v>
      </c>
      <c r="P37" s="10">
        <v>8.0799999999999997E-2</v>
      </c>
      <c r="Q37" s="10">
        <v>200</v>
      </c>
      <c r="R37" s="10" t="s">
        <v>83</v>
      </c>
      <c r="S37" s="123">
        <f t="shared" si="0"/>
        <v>200</v>
      </c>
      <c r="T37" s="10" t="s">
        <v>961</v>
      </c>
      <c r="U37" s="45">
        <v>45686</v>
      </c>
      <c r="V37" s="124">
        <f t="shared" si="10"/>
        <v>190.67984714490001</v>
      </c>
      <c r="W37" s="124" t="s">
        <v>963</v>
      </c>
    </row>
    <row r="38" spans="1:23" x14ac:dyDescent="0.3">
      <c r="A38" s="32">
        <v>45685</v>
      </c>
      <c r="B38" s="33">
        <v>0.375</v>
      </c>
      <c r="C38" s="10" t="s">
        <v>70</v>
      </c>
      <c r="D38" s="10" t="s">
        <v>71</v>
      </c>
      <c r="E38" s="10" t="s">
        <v>910</v>
      </c>
      <c r="F38" s="10">
        <v>1</v>
      </c>
      <c r="G38" s="10" t="s">
        <v>72</v>
      </c>
      <c r="H38" s="10" t="s">
        <v>73</v>
      </c>
      <c r="I38" s="10" t="s">
        <v>81</v>
      </c>
      <c r="J38" s="10">
        <v>185</v>
      </c>
      <c r="K38" s="12">
        <v>45686</v>
      </c>
      <c r="L38" s="33">
        <v>0.61584490740740738</v>
      </c>
      <c r="M38" s="10">
        <v>1</v>
      </c>
      <c r="N38" s="10" t="s">
        <v>82</v>
      </c>
      <c r="O38" s="10">
        <v>1.93</v>
      </c>
      <c r="P38" s="10">
        <v>0.217</v>
      </c>
      <c r="Q38" s="10">
        <v>500</v>
      </c>
      <c r="R38" s="10" t="s">
        <v>83</v>
      </c>
      <c r="S38" s="123">
        <f t="shared" si="0"/>
        <v>500</v>
      </c>
      <c r="T38" s="10" t="s">
        <v>961</v>
      </c>
      <c r="U38" s="45">
        <v>45686</v>
      </c>
      <c r="V38" s="124">
        <f t="shared" si="10"/>
        <v>490.35145040999998</v>
      </c>
      <c r="W38" s="124" t="s">
        <v>963</v>
      </c>
    </row>
    <row r="39" spans="1:23" x14ac:dyDescent="0.3">
      <c r="A39" s="32">
        <v>45685</v>
      </c>
      <c r="B39" s="33">
        <v>0.375</v>
      </c>
      <c r="C39" s="10" t="s">
        <v>70</v>
      </c>
      <c r="D39" s="10" t="s">
        <v>71</v>
      </c>
      <c r="E39" s="10" t="s">
        <v>911</v>
      </c>
      <c r="F39" s="10">
        <v>1</v>
      </c>
      <c r="G39" s="10" t="s">
        <v>72</v>
      </c>
      <c r="H39" s="10" t="s">
        <v>73</v>
      </c>
      <c r="I39" s="10" t="s">
        <v>81</v>
      </c>
      <c r="J39" s="10">
        <v>186</v>
      </c>
      <c r="K39" s="12">
        <v>45686</v>
      </c>
      <c r="L39" s="33">
        <v>0.6164236111111111</v>
      </c>
      <c r="M39" s="10">
        <v>1</v>
      </c>
      <c r="N39" s="10" t="s">
        <v>82</v>
      </c>
      <c r="O39" s="10">
        <v>3.99</v>
      </c>
      <c r="P39" s="10">
        <v>0.45700000000000002</v>
      </c>
      <c r="Q39" s="10">
        <v>1000</v>
      </c>
      <c r="R39" s="10" t="s">
        <v>83</v>
      </c>
      <c r="S39" s="123">
        <f t="shared" si="0"/>
        <v>1000</v>
      </c>
      <c r="T39" s="10" t="s">
        <v>961</v>
      </c>
      <c r="U39" s="45">
        <v>45686</v>
      </c>
      <c r="V39" s="124">
        <f t="shared" si="10"/>
        <v>998.64353009000001</v>
      </c>
      <c r="W39" s="124" t="s">
        <v>963</v>
      </c>
    </row>
    <row r="40" spans="1:23" x14ac:dyDescent="0.3">
      <c r="A40" s="32">
        <v>45685</v>
      </c>
      <c r="B40" s="33">
        <v>0.375</v>
      </c>
      <c r="C40" s="10" t="s">
        <v>70</v>
      </c>
      <c r="D40" s="10" t="s">
        <v>71</v>
      </c>
      <c r="E40" s="10" t="s">
        <v>912</v>
      </c>
      <c r="F40" s="10">
        <v>1</v>
      </c>
      <c r="G40" s="10" t="s">
        <v>72</v>
      </c>
      <c r="H40" s="10" t="s">
        <v>73</v>
      </c>
      <c r="I40" s="10" t="s">
        <v>81</v>
      </c>
      <c r="J40" s="10">
        <v>187</v>
      </c>
      <c r="K40" s="12">
        <v>45686</v>
      </c>
      <c r="L40" s="33">
        <v>0.61700231481481482</v>
      </c>
      <c r="M40" s="10">
        <v>1</v>
      </c>
      <c r="N40" s="10" t="s">
        <v>82</v>
      </c>
      <c r="O40" s="10">
        <v>6.15</v>
      </c>
      <c r="P40" s="10">
        <v>0.71299999999999997</v>
      </c>
      <c r="Q40" s="10">
        <v>1500</v>
      </c>
      <c r="R40" s="10" t="s">
        <v>83</v>
      </c>
      <c r="S40" s="123">
        <f t="shared" si="0"/>
        <v>1500</v>
      </c>
      <c r="T40" s="10" t="s">
        <v>961</v>
      </c>
      <c r="U40" s="45">
        <v>45686</v>
      </c>
      <c r="V40" s="124">
        <f t="shared" si="10"/>
        <v>1522.68529025</v>
      </c>
      <c r="W40" s="124" t="s">
        <v>963</v>
      </c>
    </row>
    <row r="41" spans="1:23" x14ac:dyDescent="0.3">
      <c r="A41" s="32">
        <v>45685</v>
      </c>
      <c r="B41" s="33">
        <v>0.375</v>
      </c>
      <c r="C41" s="10" t="s">
        <v>70</v>
      </c>
      <c r="D41" s="10" t="s">
        <v>71</v>
      </c>
      <c r="E41" s="10" t="s">
        <v>913</v>
      </c>
      <c r="F41" s="10">
        <v>1</v>
      </c>
      <c r="G41" s="10" t="s">
        <v>72</v>
      </c>
      <c r="H41" s="10" t="s">
        <v>73</v>
      </c>
      <c r="I41" s="10" t="s">
        <v>81</v>
      </c>
      <c r="J41" s="10">
        <v>188</v>
      </c>
      <c r="K41" s="12">
        <v>45686</v>
      </c>
      <c r="L41" s="33">
        <v>0.61758101851851854</v>
      </c>
      <c r="M41" s="10">
        <v>1</v>
      </c>
      <c r="N41" s="10" t="s">
        <v>82</v>
      </c>
      <c r="O41" s="10">
        <v>8.1</v>
      </c>
      <c r="P41" s="10">
        <v>0.95099999999999996</v>
      </c>
      <c r="Q41" s="10">
        <v>2000</v>
      </c>
      <c r="R41" s="10" t="s">
        <v>83</v>
      </c>
      <c r="S41" s="123">
        <f t="shared" si="0"/>
        <v>2000</v>
      </c>
      <c r="T41" s="10" t="s">
        <v>961</v>
      </c>
      <c r="U41" s="45">
        <v>45686</v>
      </c>
      <c r="V41" s="124">
        <f t="shared" si="10"/>
        <v>1987.9315489999997</v>
      </c>
      <c r="W41" s="124" t="s">
        <v>963</v>
      </c>
    </row>
    <row r="42" spans="1:23" x14ac:dyDescent="0.3">
      <c r="A42" s="32">
        <v>45685</v>
      </c>
      <c r="B42" s="33">
        <v>0.375</v>
      </c>
      <c r="C42" s="10" t="s">
        <v>70</v>
      </c>
      <c r="D42" s="10" t="s">
        <v>71</v>
      </c>
      <c r="E42" s="10" t="s">
        <v>914</v>
      </c>
      <c r="F42" s="10">
        <v>1</v>
      </c>
      <c r="G42" s="10" t="s">
        <v>72</v>
      </c>
      <c r="H42" s="10" t="s">
        <v>73</v>
      </c>
      <c r="I42" s="10" t="s">
        <v>81</v>
      </c>
      <c r="J42" s="10">
        <v>189</v>
      </c>
      <c r="K42" s="12">
        <v>45686</v>
      </c>
      <c r="L42" s="33">
        <v>0.62340277777777775</v>
      </c>
      <c r="M42" s="10">
        <v>1</v>
      </c>
      <c r="N42" s="10" t="s">
        <v>82</v>
      </c>
      <c r="O42" s="10">
        <v>2.23E-2</v>
      </c>
      <c r="P42" s="10">
        <v>2.5999999999999999E-3</v>
      </c>
      <c r="Q42" s="10">
        <v>0</v>
      </c>
      <c r="R42" s="10" t="s">
        <v>83</v>
      </c>
      <c r="S42" s="123">
        <f t="shared" si="0"/>
        <v>0</v>
      </c>
      <c r="T42" s="10" t="s">
        <v>961</v>
      </c>
      <c r="U42" s="45">
        <v>45686</v>
      </c>
      <c r="V42" s="124">
        <f t="shared" si="10"/>
        <v>12.227455103361001</v>
      </c>
      <c r="W42" s="124" t="s">
        <v>963</v>
      </c>
    </row>
    <row r="43" spans="1:23" x14ac:dyDescent="0.3">
      <c r="A43" s="32">
        <v>45685</v>
      </c>
      <c r="B43" s="33">
        <v>0.375</v>
      </c>
      <c r="C43" s="10" t="s">
        <v>70</v>
      </c>
      <c r="D43" s="10" t="s">
        <v>71</v>
      </c>
      <c r="E43" s="10" t="s">
        <v>915</v>
      </c>
      <c r="F43" s="10">
        <v>1</v>
      </c>
      <c r="G43" s="10" t="s">
        <v>72</v>
      </c>
      <c r="H43" s="10" t="s">
        <v>73</v>
      </c>
      <c r="I43" s="10" t="s">
        <v>81</v>
      </c>
      <c r="J43" s="10">
        <v>190</v>
      </c>
      <c r="K43" s="12">
        <v>45686</v>
      </c>
      <c r="L43" s="33">
        <v>0.62398148148148147</v>
      </c>
      <c r="M43" s="10">
        <v>1</v>
      </c>
      <c r="N43" s="10" t="s">
        <v>82</v>
      </c>
      <c r="O43" s="10">
        <v>3.7900000000000003E-2</v>
      </c>
      <c r="P43" s="10">
        <v>2.99E-3</v>
      </c>
      <c r="Q43" s="10">
        <v>5</v>
      </c>
      <c r="R43" s="10" t="s">
        <v>83</v>
      </c>
      <c r="S43" s="123">
        <f t="shared" si="0"/>
        <v>5</v>
      </c>
      <c r="T43" s="10" t="s">
        <v>961</v>
      </c>
      <c r="U43" s="45">
        <v>45686</v>
      </c>
      <c r="V43" s="124">
        <f t="shared" si="10"/>
        <v>16.166159610969</v>
      </c>
      <c r="W43" s="124" t="s">
        <v>963</v>
      </c>
    </row>
    <row r="44" spans="1:23" x14ac:dyDescent="0.3">
      <c r="A44" s="32">
        <v>45685</v>
      </c>
      <c r="B44" s="33">
        <v>0.375</v>
      </c>
      <c r="C44" s="10" t="s">
        <v>70</v>
      </c>
      <c r="D44" s="10" t="s">
        <v>71</v>
      </c>
      <c r="E44" s="10" t="s">
        <v>916</v>
      </c>
      <c r="F44" s="10">
        <v>1</v>
      </c>
      <c r="G44" s="10" t="s">
        <v>72</v>
      </c>
      <c r="H44" s="10" t="s">
        <v>73</v>
      </c>
      <c r="I44" s="10" t="s">
        <v>81</v>
      </c>
      <c r="J44" s="10">
        <v>191</v>
      </c>
      <c r="K44" s="12">
        <v>45686</v>
      </c>
      <c r="L44" s="33">
        <v>0.62457175925925923</v>
      </c>
      <c r="M44" s="10">
        <v>1</v>
      </c>
      <c r="N44" s="10" t="s">
        <v>82</v>
      </c>
      <c r="O44" s="10">
        <v>5.62E-2</v>
      </c>
      <c r="P44" s="10">
        <v>4.5999999999999999E-3</v>
      </c>
      <c r="Q44" s="10">
        <v>15</v>
      </c>
      <c r="R44" s="10" t="s">
        <v>83</v>
      </c>
      <c r="S44" s="123">
        <f t="shared" si="0"/>
        <v>15</v>
      </c>
      <c r="T44" s="10" t="s">
        <v>961</v>
      </c>
      <c r="U44" s="45">
        <v>45686</v>
      </c>
      <c r="V44" s="124">
        <f t="shared" si="10"/>
        <v>20.785955571395998</v>
      </c>
      <c r="W44" s="124" t="s">
        <v>963</v>
      </c>
    </row>
    <row r="45" spans="1:23" x14ac:dyDescent="0.3">
      <c r="A45" s="32">
        <v>45685</v>
      </c>
      <c r="B45" s="33">
        <v>0.375</v>
      </c>
      <c r="C45" s="10" t="s">
        <v>70</v>
      </c>
      <c r="D45" s="10" t="s">
        <v>71</v>
      </c>
      <c r="E45" s="10" t="s">
        <v>917</v>
      </c>
      <c r="F45" s="10">
        <v>1</v>
      </c>
      <c r="G45" s="10" t="s">
        <v>72</v>
      </c>
      <c r="H45" s="10" t="s">
        <v>73</v>
      </c>
      <c r="I45" s="10" t="s">
        <v>81</v>
      </c>
      <c r="J45" s="10">
        <v>192</v>
      </c>
      <c r="K45" s="12">
        <v>45686</v>
      </c>
      <c r="L45" s="33">
        <v>0.62515046296296295</v>
      </c>
      <c r="M45" s="10">
        <v>1</v>
      </c>
      <c r="N45" s="10" t="s">
        <v>82</v>
      </c>
      <c r="O45" s="10">
        <v>6.4100000000000004E-2</v>
      </c>
      <c r="P45" s="10">
        <v>5.5199999999999997E-3</v>
      </c>
      <c r="Q45" s="10">
        <v>20</v>
      </c>
      <c r="R45" s="10" t="s">
        <v>83</v>
      </c>
      <c r="S45" s="123">
        <f t="shared" si="0"/>
        <v>20</v>
      </c>
      <c r="T45" s="10" t="s">
        <v>961</v>
      </c>
      <c r="U45" s="45">
        <v>45686</v>
      </c>
      <c r="V45" s="124">
        <f t="shared" si="10"/>
        <v>22.780091064129</v>
      </c>
      <c r="W45" s="124" t="s">
        <v>963</v>
      </c>
    </row>
    <row r="46" spans="1:23" x14ac:dyDescent="0.3">
      <c r="A46" s="32">
        <v>45685</v>
      </c>
      <c r="B46" s="33">
        <v>0.375</v>
      </c>
      <c r="C46" s="10" t="s">
        <v>70</v>
      </c>
      <c r="D46" s="10" t="s">
        <v>71</v>
      </c>
      <c r="E46" s="10" t="s">
        <v>918</v>
      </c>
      <c r="F46" s="10">
        <v>1</v>
      </c>
      <c r="G46" s="10" t="s">
        <v>72</v>
      </c>
      <c r="H46" s="10" t="s">
        <v>73</v>
      </c>
      <c r="I46" s="10" t="s">
        <v>81</v>
      </c>
      <c r="J46" s="10">
        <v>193</v>
      </c>
      <c r="K46" s="12">
        <v>45686</v>
      </c>
      <c r="L46" s="33">
        <v>0.62572916666666667</v>
      </c>
      <c r="M46" s="10">
        <v>1</v>
      </c>
      <c r="N46" s="10" t="s">
        <v>82</v>
      </c>
      <c r="O46" s="10">
        <v>0.23100000000000001</v>
      </c>
      <c r="P46" s="10">
        <v>2.58E-2</v>
      </c>
      <c r="Q46" s="10">
        <v>75</v>
      </c>
      <c r="R46" s="10" t="s">
        <v>83</v>
      </c>
      <c r="S46" s="123">
        <f t="shared" si="0"/>
        <v>75</v>
      </c>
      <c r="T46" s="10" t="s">
        <v>961</v>
      </c>
      <c r="U46" s="45">
        <v>45686</v>
      </c>
      <c r="V46" s="124">
        <f t="shared" si="10"/>
        <v>64.880794244900002</v>
      </c>
      <c r="W46" s="124" t="s">
        <v>963</v>
      </c>
    </row>
    <row r="47" spans="1:23" x14ac:dyDescent="0.3">
      <c r="A47" s="32">
        <v>45685</v>
      </c>
      <c r="B47" s="33">
        <v>0.375</v>
      </c>
      <c r="C47" s="10" t="s">
        <v>70</v>
      </c>
      <c r="D47" s="10" t="s">
        <v>71</v>
      </c>
      <c r="E47" s="10" t="s">
        <v>919</v>
      </c>
      <c r="F47" s="10">
        <v>1</v>
      </c>
      <c r="G47" s="10" t="s">
        <v>72</v>
      </c>
      <c r="H47" s="10" t="s">
        <v>73</v>
      </c>
      <c r="I47" s="10" t="s">
        <v>81</v>
      </c>
      <c r="J47" s="10">
        <v>194</v>
      </c>
      <c r="K47" s="12">
        <v>45686</v>
      </c>
      <c r="L47" s="33">
        <v>0.62630787037037039</v>
      </c>
      <c r="M47" s="10">
        <v>1</v>
      </c>
      <c r="N47" s="10" t="s">
        <v>82</v>
      </c>
      <c r="O47" s="10">
        <v>0.52100000000000002</v>
      </c>
      <c r="P47" s="10">
        <v>5.7299999999999997E-2</v>
      </c>
      <c r="Q47" s="10">
        <v>150</v>
      </c>
      <c r="R47" s="10" t="s">
        <v>83</v>
      </c>
      <c r="S47" s="123">
        <f t="shared" si="0"/>
        <v>150</v>
      </c>
      <c r="T47" s="10" t="s">
        <v>961</v>
      </c>
      <c r="U47" s="45">
        <v>45686</v>
      </c>
      <c r="V47" s="124">
        <f t="shared" si="10"/>
        <v>137.9038721169</v>
      </c>
      <c r="W47" s="124" t="s">
        <v>963</v>
      </c>
    </row>
    <row r="48" spans="1:23" x14ac:dyDescent="0.3">
      <c r="A48" s="32">
        <v>45685</v>
      </c>
      <c r="B48" s="33">
        <v>0.375</v>
      </c>
      <c r="C48" s="10" t="s">
        <v>70</v>
      </c>
      <c r="D48" s="10" t="s">
        <v>71</v>
      </c>
      <c r="E48" s="10" t="s">
        <v>920</v>
      </c>
      <c r="F48" s="10">
        <v>1</v>
      </c>
      <c r="G48" s="10" t="s">
        <v>72</v>
      </c>
      <c r="H48" s="10" t="s">
        <v>73</v>
      </c>
      <c r="I48" s="10" t="s">
        <v>81</v>
      </c>
      <c r="J48" s="10">
        <v>195</v>
      </c>
      <c r="K48" s="12">
        <v>45686</v>
      </c>
      <c r="L48" s="33">
        <v>0.62689814814814815</v>
      </c>
      <c r="M48" s="10">
        <v>1</v>
      </c>
      <c r="N48" s="10" t="s">
        <v>82</v>
      </c>
      <c r="O48" s="10">
        <v>1.1399999999999999</v>
      </c>
      <c r="P48" s="10">
        <v>0.125</v>
      </c>
      <c r="Q48" s="10">
        <v>300</v>
      </c>
      <c r="R48" s="10" t="s">
        <v>83</v>
      </c>
      <c r="S48" s="123">
        <f t="shared" si="0"/>
        <v>300</v>
      </c>
      <c r="T48" s="10" t="s">
        <v>961</v>
      </c>
      <c r="U48" s="45">
        <v>45686</v>
      </c>
      <c r="V48" s="124">
        <f t="shared" si="10"/>
        <v>293.21946163999991</v>
      </c>
      <c r="W48" s="124" t="s">
        <v>963</v>
      </c>
    </row>
    <row r="49" spans="1:23" x14ac:dyDescent="0.3">
      <c r="A49" s="32">
        <v>45685</v>
      </c>
      <c r="B49" s="33">
        <v>0.375</v>
      </c>
      <c r="C49" s="10" t="s">
        <v>70</v>
      </c>
      <c r="D49" s="10" t="s">
        <v>71</v>
      </c>
      <c r="E49" s="10" t="s">
        <v>921</v>
      </c>
      <c r="F49" s="10">
        <v>1</v>
      </c>
      <c r="G49" s="10" t="s">
        <v>72</v>
      </c>
      <c r="H49" s="10" t="s">
        <v>73</v>
      </c>
      <c r="I49" s="10" t="s">
        <v>81</v>
      </c>
      <c r="J49" s="10">
        <v>196</v>
      </c>
      <c r="K49" s="12">
        <v>45686</v>
      </c>
      <c r="L49" s="33">
        <v>0.62747685185185187</v>
      </c>
      <c r="M49" s="10">
        <v>1</v>
      </c>
      <c r="N49" s="10" t="s">
        <v>82</v>
      </c>
      <c r="O49" s="10">
        <v>1.98</v>
      </c>
      <c r="P49" s="10">
        <v>0.223</v>
      </c>
      <c r="Q49" s="10">
        <v>500</v>
      </c>
      <c r="R49" s="10" t="s">
        <v>83</v>
      </c>
      <c r="S49" s="123">
        <f t="shared" si="0"/>
        <v>500</v>
      </c>
      <c r="T49" s="10" t="s">
        <v>961</v>
      </c>
      <c r="U49" s="45">
        <v>45686</v>
      </c>
      <c r="V49" s="124">
        <f t="shared" si="10"/>
        <v>502.78703636</v>
      </c>
      <c r="W49" s="124" t="s">
        <v>963</v>
      </c>
    </row>
    <row r="50" spans="1:23" x14ac:dyDescent="0.3">
      <c r="A50" s="127">
        <v>45692</v>
      </c>
      <c r="B50" s="128">
        <v>0.375</v>
      </c>
      <c r="C50" s="31" t="s">
        <v>70</v>
      </c>
      <c r="D50" s="31" t="s">
        <v>71</v>
      </c>
      <c r="E50" s="31" t="s">
        <v>906</v>
      </c>
      <c r="F50" s="31">
        <v>1</v>
      </c>
      <c r="G50" s="31" t="s">
        <v>72</v>
      </c>
      <c r="H50" s="31" t="s">
        <v>73</v>
      </c>
      <c r="I50" s="31" t="s">
        <v>81</v>
      </c>
      <c r="J50" s="31">
        <v>181</v>
      </c>
      <c r="K50" s="129">
        <v>45692</v>
      </c>
      <c r="L50" s="128">
        <v>0.63047453703703704</v>
      </c>
      <c r="M50" s="31">
        <v>1</v>
      </c>
      <c r="N50" s="31" t="s">
        <v>82</v>
      </c>
      <c r="O50" s="31">
        <v>1.7399999999999999E-2</v>
      </c>
      <c r="P50" s="31">
        <v>2.0200000000000001E-3</v>
      </c>
      <c r="Q50" s="31">
        <v>0</v>
      </c>
      <c r="R50" s="31" t="s">
        <v>83</v>
      </c>
      <c r="S50" s="34">
        <f t="shared" si="0"/>
        <v>0</v>
      </c>
      <c r="T50" s="31" t="s">
        <v>972</v>
      </c>
      <c r="U50" s="130">
        <v>45692</v>
      </c>
      <c r="V50" s="132">
        <f>-1.1905*O50^2+216.45*O50+5.0455</f>
        <v>8.8113695642199996</v>
      </c>
      <c r="W50" s="132" t="s">
        <v>973</v>
      </c>
    </row>
    <row r="51" spans="1:23" x14ac:dyDescent="0.3">
      <c r="A51" s="127">
        <v>45692</v>
      </c>
      <c r="B51" s="128">
        <v>0.375</v>
      </c>
      <c r="C51" s="31" t="s">
        <v>70</v>
      </c>
      <c r="D51" s="31" t="s">
        <v>71</v>
      </c>
      <c r="E51" s="31" t="s">
        <v>907</v>
      </c>
      <c r="F51" s="31">
        <v>1</v>
      </c>
      <c r="G51" s="31" t="s">
        <v>72</v>
      </c>
      <c r="H51" s="31" t="s">
        <v>73</v>
      </c>
      <c r="I51" s="31" t="s">
        <v>81</v>
      </c>
      <c r="J51" s="31">
        <v>182</v>
      </c>
      <c r="K51" s="129">
        <v>45692</v>
      </c>
      <c r="L51" s="128">
        <v>0.63105324074074076</v>
      </c>
      <c r="M51" s="31">
        <v>1</v>
      </c>
      <c r="N51" s="31" t="s">
        <v>82</v>
      </c>
      <c r="O51" s="31">
        <v>4.4600000000000001E-2</v>
      </c>
      <c r="P51" s="31">
        <v>2.98E-3</v>
      </c>
      <c r="Q51" s="31">
        <v>12</v>
      </c>
      <c r="R51" s="31" t="s">
        <v>83</v>
      </c>
      <c r="S51" s="34">
        <f t="shared" si="0"/>
        <v>12</v>
      </c>
      <c r="T51" s="31" t="s">
        <v>972</v>
      </c>
      <c r="U51" s="130">
        <v>45692</v>
      </c>
      <c r="V51" s="132">
        <f t="shared" ref="V51:V65" si="11">-1.1905*O51^2+216.45*O51+5.0455</f>
        <v>14.696801905019999</v>
      </c>
      <c r="W51" s="132" t="s">
        <v>973</v>
      </c>
    </row>
    <row r="52" spans="1:23" x14ac:dyDescent="0.3">
      <c r="A52" s="127">
        <v>45692</v>
      </c>
      <c r="B52" s="128">
        <v>0.375</v>
      </c>
      <c r="C52" s="31" t="s">
        <v>70</v>
      </c>
      <c r="D52" s="31" t="s">
        <v>71</v>
      </c>
      <c r="E52" s="31" t="s">
        <v>908</v>
      </c>
      <c r="F52" s="31">
        <v>1</v>
      </c>
      <c r="G52" s="31" t="s">
        <v>72</v>
      </c>
      <c r="H52" s="31" t="s">
        <v>73</v>
      </c>
      <c r="I52" s="31" t="s">
        <v>81</v>
      </c>
      <c r="J52" s="31">
        <v>183</v>
      </c>
      <c r="K52" s="129">
        <v>45692</v>
      </c>
      <c r="L52" s="128">
        <v>0.63164351851851852</v>
      </c>
      <c r="M52" s="31">
        <v>1</v>
      </c>
      <c r="N52" s="31" t="s">
        <v>82</v>
      </c>
      <c r="O52" s="31">
        <v>0.16200000000000001</v>
      </c>
      <c r="P52" s="31">
        <v>1.47E-2</v>
      </c>
      <c r="Q52" s="31">
        <v>50</v>
      </c>
      <c r="R52" s="31" t="s">
        <v>83</v>
      </c>
      <c r="S52" s="34">
        <f t="shared" si="0"/>
        <v>50</v>
      </c>
      <c r="T52" s="31" t="s">
        <v>972</v>
      </c>
      <c r="U52" s="130">
        <v>45692</v>
      </c>
      <c r="V52" s="132">
        <f t="shared" si="11"/>
        <v>40.079156517999998</v>
      </c>
      <c r="W52" s="132" t="s">
        <v>973</v>
      </c>
    </row>
    <row r="53" spans="1:23" x14ac:dyDescent="0.3">
      <c r="A53" s="127">
        <v>45692</v>
      </c>
      <c r="B53" s="128">
        <v>0.375</v>
      </c>
      <c r="C53" s="31" t="s">
        <v>70</v>
      </c>
      <c r="D53" s="31" t="s">
        <v>71</v>
      </c>
      <c r="E53" s="31" t="s">
        <v>909</v>
      </c>
      <c r="F53" s="31">
        <v>1</v>
      </c>
      <c r="G53" s="31" t="s">
        <v>72</v>
      </c>
      <c r="H53" s="31" t="s">
        <v>73</v>
      </c>
      <c r="I53" s="31" t="s">
        <v>81</v>
      </c>
      <c r="J53" s="31">
        <v>184</v>
      </c>
      <c r="K53" s="129">
        <v>45692</v>
      </c>
      <c r="L53" s="128">
        <v>0.63223379629629628</v>
      </c>
      <c r="M53" s="31">
        <v>1</v>
      </c>
      <c r="N53" s="31" t="s">
        <v>82</v>
      </c>
      <c r="O53" s="31">
        <v>0.80900000000000005</v>
      </c>
      <c r="P53" s="31">
        <v>7.7499999999999999E-2</v>
      </c>
      <c r="Q53" s="31">
        <v>200</v>
      </c>
      <c r="R53" s="31" t="s">
        <v>83</v>
      </c>
      <c r="S53" s="34">
        <f t="shared" si="0"/>
        <v>200</v>
      </c>
      <c r="T53" s="31" t="s">
        <v>972</v>
      </c>
      <c r="U53" s="130">
        <v>45692</v>
      </c>
      <c r="V53" s="132">
        <f t="shared" si="11"/>
        <v>179.37439036949999</v>
      </c>
      <c r="W53" s="132" t="s">
        <v>973</v>
      </c>
    </row>
    <row r="54" spans="1:23" x14ac:dyDescent="0.3">
      <c r="A54" s="127">
        <v>45692</v>
      </c>
      <c r="B54" s="128">
        <v>0.375</v>
      </c>
      <c r="C54" s="31" t="s">
        <v>70</v>
      </c>
      <c r="D54" s="31" t="s">
        <v>71</v>
      </c>
      <c r="E54" s="31" t="s">
        <v>910</v>
      </c>
      <c r="F54" s="31">
        <v>1</v>
      </c>
      <c r="G54" s="31" t="s">
        <v>72</v>
      </c>
      <c r="H54" s="31" t="s">
        <v>73</v>
      </c>
      <c r="I54" s="31" t="s">
        <v>81</v>
      </c>
      <c r="J54" s="31">
        <v>185</v>
      </c>
      <c r="K54" s="129">
        <v>45692</v>
      </c>
      <c r="L54" s="128">
        <v>0.6328125</v>
      </c>
      <c r="M54" s="31">
        <v>1</v>
      </c>
      <c r="N54" s="31" t="s">
        <v>82</v>
      </c>
      <c r="O54" s="31">
        <v>2.29</v>
      </c>
      <c r="P54" s="31">
        <v>0.22</v>
      </c>
      <c r="Q54" s="31">
        <v>500</v>
      </c>
      <c r="R54" s="31" t="s">
        <v>83</v>
      </c>
      <c r="S54" s="34">
        <f t="shared" si="0"/>
        <v>500</v>
      </c>
      <c r="T54" s="31" t="s">
        <v>972</v>
      </c>
      <c r="U54" s="130">
        <v>45692</v>
      </c>
      <c r="V54" s="132">
        <f t="shared" si="11"/>
        <v>494.47289895</v>
      </c>
      <c r="W54" s="132" t="s">
        <v>973</v>
      </c>
    </row>
    <row r="55" spans="1:23" x14ac:dyDescent="0.3">
      <c r="A55" s="127">
        <v>45692</v>
      </c>
      <c r="B55" s="128">
        <v>0.375</v>
      </c>
      <c r="C55" s="31" t="s">
        <v>70</v>
      </c>
      <c r="D55" s="31" t="s">
        <v>71</v>
      </c>
      <c r="E55" s="31" t="s">
        <v>911</v>
      </c>
      <c r="F55" s="31">
        <v>1</v>
      </c>
      <c r="G55" s="31" t="s">
        <v>72</v>
      </c>
      <c r="H55" s="31" t="s">
        <v>73</v>
      </c>
      <c r="I55" s="31" t="s">
        <v>81</v>
      </c>
      <c r="J55" s="31">
        <v>186</v>
      </c>
      <c r="K55" s="129">
        <v>45692</v>
      </c>
      <c r="L55" s="128">
        <v>0.63339120370370372</v>
      </c>
      <c r="M55" s="31">
        <v>1</v>
      </c>
      <c r="N55" s="31" t="s">
        <v>82</v>
      </c>
      <c r="O55" s="31">
        <v>4.75</v>
      </c>
      <c r="P55" s="31">
        <v>0.47</v>
      </c>
      <c r="Q55" s="31">
        <v>1000</v>
      </c>
      <c r="R55" s="31" t="s">
        <v>83</v>
      </c>
      <c r="S55" s="34">
        <f t="shared" si="0"/>
        <v>1000</v>
      </c>
      <c r="T55" s="31" t="s">
        <v>972</v>
      </c>
      <c r="U55" s="130">
        <v>45692</v>
      </c>
      <c r="V55" s="132">
        <f t="shared" si="11"/>
        <v>1006.32234375</v>
      </c>
      <c r="W55" s="132" t="s">
        <v>973</v>
      </c>
    </row>
    <row r="56" spans="1:23" x14ac:dyDescent="0.3">
      <c r="A56" s="127">
        <v>45692</v>
      </c>
      <c r="B56" s="128">
        <v>0.375</v>
      </c>
      <c r="C56" s="31" t="s">
        <v>70</v>
      </c>
      <c r="D56" s="31" t="s">
        <v>71</v>
      </c>
      <c r="E56" s="31" t="s">
        <v>912</v>
      </c>
      <c r="F56" s="31">
        <v>1</v>
      </c>
      <c r="G56" s="31" t="s">
        <v>72</v>
      </c>
      <c r="H56" s="31" t="s">
        <v>73</v>
      </c>
      <c r="I56" s="31" t="s">
        <v>81</v>
      </c>
      <c r="J56" s="31">
        <v>187</v>
      </c>
      <c r="K56" s="129">
        <v>45692</v>
      </c>
      <c r="L56" s="128">
        <v>0.63395833333333329</v>
      </c>
      <c r="M56" s="31">
        <v>1</v>
      </c>
      <c r="N56" s="31" t="s">
        <v>82</v>
      </c>
      <c r="O56" s="31">
        <v>7.19</v>
      </c>
      <c r="P56" s="31">
        <v>0.72099999999999997</v>
      </c>
      <c r="Q56" s="31">
        <v>1500</v>
      </c>
      <c r="R56" s="31" t="s">
        <v>83</v>
      </c>
      <c r="S56" s="34">
        <f t="shared" si="0"/>
        <v>1500</v>
      </c>
      <c r="T56" s="31" t="s">
        <v>972</v>
      </c>
      <c r="U56" s="130">
        <v>45692</v>
      </c>
      <c r="V56" s="132">
        <f t="shared" si="11"/>
        <v>1499.7767929499998</v>
      </c>
      <c r="W56" s="132" t="s">
        <v>973</v>
      </c>
    </row>
    <row r="57" spans="1:23" x14ac:dyDescent="0.3">
      <c r="A57" s="127">
        <v>45692</v>
      </c>
      <c r="B57" s="128">
        <v>0.375</v>
      </c>
      <c r="C57" s="31" t="s">
        <v>70</v>
      </c>
      <c r="D57" s="31" t="s">
        <v>71</v>
      </c>
      <c r="E57" s="31" t="s">
        <v>913</v>
      </c>
      <c r="F57" s="31">
        <v>1</v>
      </c>
      <c r="G57" s="31" t="s">
        <v>72</v>
      </c>
      <c r="H57" s="31" t="s">
        <v>73</v>
      </c>
      <c r="I57" s="31" t="s">
        <v>81</v>
      </c>
      <c r="J57" s="31">
        <v>188</v>
      </c>
      <c r="K57" s="129">
        <v>45692</v>
      </c>
      <c r="L57" s="128">
        <v>0.63454861111111105</v>
      </c>
      <c r="M57" s="31">
        <v>1</v>
      </c>
      <c r="N57" s="31" t="s">
        <v>82</v>
      </c>
      <c r="O57" s="31">
        <v>9.73</v>
      </c>
      <c r="P57" s="31">
        <v>0.97799999999999998</v>
      </c>
      <c r="Q57" s="31">
        <v>2000</v>
      </c>
      <c r="R57" s="31" t="s">
        <v>83</v>
      </c>
      <c r="S57" s="34">
        <f t="shared" si="0"/>
        <v>2000</v>
      </c>
      <c r="T57" s="31" t="s">
        <v>972</v>
      </c>
      <c r="U57" s="130">
        <v>45692</v>
      </c>
      <c r="V57" s="132">
        <f t="shared" si="11"/>
        <v>1998.39591255</v>
      </c>
      <c r="W57" s="132" t="s">
        <v>973</v>
      </c>
    </row>
    <row r="58" spans="1:23" x14ac:dyDescent="0.3">
      <c r="A58" s="127">
        <v>45692</v>
      </c>
      <c r="B58" s="128">
        <v>0.375</v>
      </c>
      <c r="C58" s="31" t="s">
        <v>70</v>
      </c>
      <c r="D58" s="31" t="s">
        <v>71</v>
      </c>
      <c r="E58" s="31" t="s">
        <v>914</v>
      </c>
      <c r="F58" s="31">
        <v>1</v>
      </c>
      <c r="G58" s="31" t="s">
        <v>72</v>
      </c>
      <c r="H58" s="31" t="s">
        <v>73</v>
      </c>
      <c r="I58" s="31" t="s">
        <v>81</v>
      </c>
      <c r="J58" s="31">
        <v>189</v>
      </c>
      <c r="K58" s="129">
        <v>45692</v>
      </c>
      <c r="L58" s="128">
        <v>0.63512731481481477</v>
      </c>
      <c r="M58" s="31">
        <v>1</v>
      </c>
      <c r="N58" s="31" t="s">
        <v>82</v>
      </c>
      <c r="O58" s="31">
        <v>2.87E-2</v>
      </c>
      <c r="P58" s="31">
        <v>2.7299999999999998E-3</v>
      </c>
      <c r="Q58" s="31">
        <v>0</v>
      </c>
      <c r="R58" s="31" t="s">
        <v>83</v>
      </c>
      <c r="S58" s="34">
        <f t="shared" si="0"/>
        <v>0</v>
      </c>
      <c r="T58" s="31" t="s">
        <v>972</v>
      </c>
      <c r="U58" s="130">
        <v>45692</v>
      </c>
      <c r="V58" s="132">
        <f t="shared" si="11"/>
        <v>11.256634397054999</v>
      </c>
      <c r="W58" s="132" t="s">
        <v>973</v>
      </c>
    </row>
    <row r="59" spans="1:23" x14ac:dyDescent="0.3">
      <c r="A59" s="127">
        <v>45692</v>
      </c>
      <c r="B59" s="128">
        <v>0.375</v>
      </c>
      <c r="C59" s="31" t="s">
        <v>70</v>
      </c>
      <c r="D59" s="31" t="s">
        <v>71</v>
      </c>
      <c r="E59" s="31" t="s">
        <v>915</v>
      </c>
      <c r="F59" s="31">
        <v>1</v>
      </c>
      <c r="G59" s="31" t="s">
        <v>72</v>
      </c>
      <c r="H59" s="31" t="s">
        <v>73</v>
      </c>
      <c r="I59" s="31" t="s">
        <v>81</v>
      </c>
      <c r="J59" s="31">
        <v>190</v>
      </c>
      <c r="K59" s="129">
        <v>45692</v>
      </c>
      <c r="L59" s="128">
        <v>0.63571759259259253</v>
      </c>
      <c r="M59" s="31">
        <v>1</v>
      </c>
      <c r="N59" s="31" t="s">
        <v>82</v>
      </c>
      <c r="O59" s="31">
        <v>4.6899999999999997E-2</v>
      </c>
      <c r="P59" s="31">
        <v>5.2199999999999998E-3</v>
      </c>
      <c r="Q59" s="31">
        <v>5</v>
      </c>
      <c r="R59" s="31" t="s">
        <v>83</v>
      </c>
      <c r="S59" s="34">
        <f t="shared" si="0"/>
        <v>5</v>
      </c>
      <c r="T59" s="31" t="s">
        <v>972</v>
      </c>
      <c r="U59" s="130">
        <v>45692</v>
      </c>
      <c r="V59" s="132">
        <f t="shared" si="11"/>
        <v>15.194386364294999</v>
      </c>
      <c r="W59" s="132" t="s">
        <v>973</v>
      </c>
    </row>
    <row r="60" spans="1:23" x14ac:dyDescent="0.3">
      <c r="A60" s="127">
        <v>45692</v>
      </c>
      <c r="B60" s="128">
        <v>0.375</v>
      </c>
      <c r="C60" s="31" t="s">
        <v>70</v>
      </c>
      <c r="D60" s="31" t="s">
        <v>71</v>
      </c>
      <c r="E60" s="31" t="s">
        <v>916</v>
      </c>
      <c r="F60" s="31">
        <v>1</v>
      </c>
      <c r="G60" s="31" t="s">
        <v>72</v>
      </c>
      <c r="H60" s="31" t="s">
        <v>73</v>
      </c>
      <c r="I60" s="31" t="s">
        <v>81</v>
      </c>
      <c r="J60" s="31">
        <v>191</v>
      </c>
      <c r="K60" s="129">
        <v>45692</v>
      </c>
      <c r="L60" s="128">
        <v>0.63629629629629625</v>
      </c>
      <c r="M60" s="31">
        <v>1</v>
      </c>
      <c r="N60" s="31" t="s">
        <v>82</v>
      </c>
      <c r="O60" s="31">
        <v>6.9900000000000004E-2</v>
      </c>
      <c r="P60" s="31">
        <v>4.2700000000000004E-3</v>
      </c>
      <c r="Q60" s="31">
        <v>15</v>
      </c>
      <c r="R60" s="31" t="s">
        <v>83</v>
      </c>
      <c r="S60" s="34">
        <f t="shared" si="0"/>
        <v>15</v>
      </c>
      <c r="T60" s="31" t="s">
        <v>972</v>
      </c>
      <c r="U60" s="130">
        <v>45692</v>
      </c>
      <c r="V60" s="132">
        <f t="shared" si="11"/>
        <v>20.169538205094998</v>
      </c>
      <c r="W60" s="132" t="s">
        <v>973</v>
      </c>
    </row>
    <row r="61" spans="1:23" x14ac:dyDescent="0.3">
      <c r="A61" s="127">
        <v>45692</v>
      </c>
      <c r="B61" s="128">
        <v>0.375</v>
      </c>
      <c r="C61" s="31" t="s">
        <v>70</v>
      </c>
      <c r="D61" s="31" t="s">
        <v>71</v>
      </c>
      <c r="E61" s="31" t="s">
        <v>917</v>
      </c>
      <c r="F61" s="31">
        <v>1</v>
      </c>
      <c r="G61" s="31" t="s">
        <v>72</v>
      </c>
      <c r="H61" s="31" t="s">
        <v>73</v>
      </c>
      <c r="I61" s="31" t="s">
        <v>81</v>
      </c>
      <c r="J61" s="31">
        <v>192</v>
      </c>
      <c r="K61" s="129">
        <v>45692</v>
      </c>
      <c r="L61" s="128">
        <v>0.63687499999999997</v>
      </c>
      <c r="M61" s="31">
        <v>1</v>
      </c>
      <c r="N61" s="31" t="s">
        <v>82</v>
      </c>
      <c r="O61" s="31">
        <v>8.5199999999999998E-2</v>
      </c>
      <c r="P61" s="31">
        <v>5.6899999999999997E-3</v>
      </c>
      <c r="Q61" s="31">
        <v>20</v>
      </c>
      <c r="R61" s="31" t="s">
        <v>83</v>
      </c>
      <c r="S61" s="34">
        <f t="shared" si="0"/>
        <v>20</v>
      </c>
      <c r="T61" s="31" t="s">
        <v>972</v>
      </c>
      <c r="U61" s="130">
        <v>45692</v>
      </c>
      <c r="V61" s="132">
        <f t="shared" si="11"/>
        <v>23.478398112880001</v>
      </c>
      <c r="W61" s="132" t="s">
        <v>973</v>
      </c>
    </row>
    <row r="62" spans="1:23" x14ac:dyDescent="0.3">
      <c r="A62" s="127">
        <v>45692</v>
      </c>
      <c r="B62" s="128">
        <v>0.375</v>
      </c>
      <c r="C62" s="31" t="s">
        <v>70</v>
      </c>
      <c r="D62" s="31" t="s">
        <v>71</v>
      </c>
      <c r="E62" s="31" t="s">
        <v>918</v>
      </c>
      <c r="F62" s="31">
        <v>1</v>
      </c>
      <c r="G62" s="31" t="s">
        <v>72</v>
      </c>
      <c r="H62" s="31" t="s">
        <v>73</v>
      </c>
      <c r="I62" s="31" t="s">
        <v>81</v>
      </c>
      <c r="J62" s="31">
        <v>193</v>
      </c>
      <c r="K62" s="129">
        <v>45692</v>
      </c>
      <c r="L62" s="128">
        <v>0.63746527777777773</v>
      </c>
      <c r="M62" s="31">
        <v>1</v>
      </c>
      <c r="N62" s="31" t="s">
        <v>82</v>
      </c>
      <c r="O62" s="31">
        <v>0.29099999999999998</v>
      </c>
      <c r="P62" s="31">
        <v>2.64E-2</v>
      </c>
      <c r="Q62" s="31">
        <v>75</v>
      </c>
      <c r="R62" s="31" t="s">
        <v>83</v>
      </c>
      <c r="S62" s="34">
        <f t="shared" si="0"/>
        <v>75</v>
      </c>
      <c r="T62" s="31" t="s">
        <v>972</v>
      </c>
      <c r="U62" s="130">
        <v>45692</v>
      </c>
      <c r="V62" s="132">
        <f t="shared" si="11"/>
        <v>67.931637269499987</v>
      </c>
      <c r="W62" s="132" t="s">
        <v>973</v>
      </c>
    </row>
    <row r="63" spans="1:23" x14ac:dyDescent="0.3">
      <c r="A63" s="127">
        <v>45692</v>
      </c>
      <c r="B63" s="128">
        <v>0.375</v>
      </c>
      <c r="C63" s="31" t="s">
        <v>70</v>
      </c>
      <c r="D63" s="31" t="s">
        <v>71</v>
      </c>
      <c r="E63" s="31" t="s">
        <v>919</v>
      </c>
      <c r="F63" s="31">
        <v>1</v>
      </c>
      <c r="G63" s="31" t="s">
        <v>72</v>
      </c>
      <c r="H63" s="31" t="s">
        <v>73</v>
      </c>
      <c r="I63" s="31" t="s">
        <v>81</v>
      </c>
      <c r="J63" s="31">
        <v>194</v>
      </c>
      <c r="K63" s="129">
        <v>45692</v>
      </c>
      <c r="L63" s="128">
        <v>0.63804398148148145</v>
      </c>
      <c r="M63" s="31">
        <v>1</v>
      </c>
      <c r="N63" s="31" t="s">
        <v>82</v>
      </c>
      <c r="O63" s="31">
        <v>0.60799999999999998</v>
      </c>
      <c r="P63" s="31">
        <v>5.6300000000000003E-2</v>
      </c>
      <c r="Q63" s="31">
        <v>150</v>
      </c>
      <c r="R63" s="31" t="s">
        <v>83</v>
      </c>
      <c r="S63" s="34">
        <f t="shared" si="0"/>
        <v>150</v>
      </c>
      <c r="T63" s="31" t="s">
        <v>972</v>
      </c>
      <c r="U63" s="130">
        <v>45692</v>
      </c>
      <c r="V63" s="132">
        <f t="shared" si="11"/>
        <v>136.20701500799998</v>
      </c>
      <c r="W63" s="132" t="s">
        <v>973</v>
      </c>
    </row>
    <row r="64" spans="1:23" x14ac:dyDescent="0.3">
      <c r="A64" s="127">
        <v>45692</v>
      </c>
      <c r="B64" s="128">
        <v>0.375</v>
      </c>
      <c r="C64" s="31" t="s">
        <v>70</v>
      </c>
      <c r="D64" s="31" t="s">
        <v>71</v>
      </c>
      <c r="E64" s="31" t="s">
        <v>920</v>
      </c>
      <c r="F64" s="31">
        <v>1</v>
      </c>
      <c r="G64" s="31" t="s">
        <v>72</v>
      </c>
      <c r="H64" s="31" t="s">
        <v>73</v>
      </c>
      <c r="I64" s="31" t="s">
        <v>81</v>
      </c>
      <c r="J64" s="31">
        <v>195</v>
      </c>
      <c r="K64" s="129">
        <v>45692</v>
      </c>
      <c r="L64" s="128">
        <v>0.63862268518518517</v>
      </c>
      <c r="M64" s="31">
        <v>1</v>
      </c>
      <c r="N64" s="31" t="s">
        <v>82</v>
      </c>
      <c r="O64" s="31">
        <v>1.37</v>
      </c>
      <c r="P64" s="31">
        <v>0.129</v>
      </c>
      <c r="Q64" s="31">
        <v>300</v>
      </c>
      <c r="R64" s="31" t="s">
        <v>83</v>
      </c>
      <c r="S64" s="34">
        <f t="shared" si="0"/>
        <v>300</v>
      </c>
      <c r="T64" s="31" t="s">
        <v>972</v>
      </c>
      <c r="U64" s="130">
        <v>45692</v>
      </c>
      <c r="V64" s="132">
        <f t="shared" si="11"/>
        <v>299.34755054999999</v>
      </c>
      <c r="W64" s="132" t="s">
        <v>973</v>
      </c>
    </row>
    <row r="65" spans="1:23" x14ac:dyDescent="0.3">
      <c r="A65" s="127">
        <v>45692</v>
      </c>
      <c r="B65" s="128">
        <v>0.375</v>
      </c>
      <c r="C65" s="31" t="s">
        <v>70</v>
      </c>
      <c r="D65" s="31" t="s">
        <v>71</v>
      </c>
      <c r="E65" s="31" t="s">
        <v>921</v>
      </c>
      <c r="F65" s="31">
        <v>1</v>
      </c>
      <c r="G65" s="31" t="s">
        <v>72</v>
      </c>
      <c r="H65" s="31" t="s">
        <v>73</v>
      </c>
      <c r="I65" s="31" t="s">
        <v>81</v>
      </c>
      <c r="J65" s="31">
        <v>196</v>
      </c>
      <c r="K65" s="129">
        <v>45692</v>
      </c>
      <c r="L65" s="128">
        <v>0.63920138888888889</v>
      </c>
      <c r="M65" s="31">
        <v>1</v>
      </c>
      <c r="N65" s="31" t="s">
        <v>82</v>
      </c>
      <c r="O65" s="31">
        <v>2.37</v>
      </c>
      <c r="P65" s="31">
        <v>0.22900000000000001</v>
      </c>
      <c r="Q65" s="31">
        <v>500</v>
      </c>
      <c r="R65" s="31" t="s">
        <v>83</v>
      </c>
      <c r="S65" s="34">
        <f t="shared" si="0"/>
        <v>500</v>
      </c>
      <c r="T65" s="31" t="s">
        <v>972</v>
      </c>
      <c r="U65" s="130">
        <v>45692</v>
      </c>
      <c r="V65" s="132">
        <f t="shared" si="11"/>
        <v>511.34508054999998</v>
      </c>
      <c r="W65" s="132" t="s">
        <v>973</v>
      </c>
    </row>
    <row r="66" spans="1:23" x14ac:dyDescent="0.3">
      <c r="A66" s="32">
        <v>45699</v>
      </c>
      <c r="B66" s="33">
        <v>0.375</v>
      </c>
      <c r="C66" s="10" t="s">
        <v>70</v>
      </c>
      <c r="D66" s="10" t="s">
        <v>71</v>
      </c>
      <c r="E66" s="10" t="s">
        <v>906</v>
      </c>
      <c r="F66" s="10">
        <v>1</v>
      </c>
      <c r="G66" s="10" t="s">
        <v>72</v>
      </c>
      <c r="H66" s="10" t="s">
        <v>73</v>
      </c>
      <c r="I66" s="10" t="s">
        <v>81</v>
      </c>
      <c r="J66" s="10">
        <v>181</v>
      </c>
      <c r="K66" s="12">
        <v>45699</v>
      </c>
      <c r="L66" s="33">
        <v>0.67402777777777778</v>
      </c>
      <c r="M66" s="10">
        <v>1</v>
      </c>
      <c r="N66" s="10" t="s">
        <v>82</v>
      </c>
      <c r="O66" s="10">
        <v>5.1299999999999998E-2</v>
      </c>
      <c r="P66" s="10">
        <v>3.9500000000000004E-3</v>
      </c>
      <c r="Q66" s="10">
        <v>0</v>
      </c>
      <c r="R66" s="10" t="s">
        <v>83</v>
      </c>
      <c r="S66" s="123">
        <f t="shared" ref="S66:S96" si="12">IF(OR(AND(I66&lt;&gt;"TP", I66&lt;&gt;"TDP",I66&lt;&gt;"TN", I66&lt;&gt;"TDN"),H66="CAL"), Q66*M66, IF(OR(AND(I66="TN", Q66&gt;2500), AND(I66="TDN", Q66&gt;2500)),MAX(Q66, AK66)*M66, IF(OR(AND(I66="TN", Q66&lt;=2500), AND(I66="TDN", Q66&lt;=2500)),MAX(Q66, AJ66,AK66)*M66, IF(OR(AND(I66="TP",Q66&gt;500), AND(I66="TDP", Q66&gt;500)),MAX(Q66,AK66)*M66,IF(OR(AND(I66="TP",Q66&lt;=150), AND(I66="TDP", Q66&lt;=150)),MAX(Q66,AG66:AI66,AK66)*M66,IF(OR(AND(I66="TP",Q66&lt;=300), AND(I66="TDP", Q66&lt;=300)),MAX(Q66,AH66,AI66,AK66)*M66,IF(OR(AND(I66="TP",Q66&lt;=500), AND(I66="TDP", Q66&lt;=500)),MAX(Q66,AI66,AK66)*M66,"")))))))</f>
        <v>0</v>
      </c>
      <c r="T66" s="10" t="s">
        <v>980</v>
      </c>
      <c r="U66" s="45">
        <v>45699</v>
      </c>
      <c r="V66" s="124">
        <f>0.1004*O66^2+241.38*O66-1.4194</f>
        <v>10.963658221675999</v>
      </c>
      <c r="W66" s="124" t="s">
        <v>981</v>
      </c>
    </row>
    <row r="67" spans="1:23" x14ac:dyDescent="0.3">
      <c r="A67" s="32">
        <v>45699</v>
      </c>
      <c r="B67" s="33">
        <v>0.375</v>
      </c>
      <c r="C67" s="10" t="s">
        <v>70</v>
      </c>
      <c r="D67" s="10" t="s">
        <v>71</v>
      </c>
      <c r="E67" s="10" t="s">
        <v>907</v>
      </c>
      <c r="F67" s="10">
        <v>1</v>
      </c>
      <c r="G67" s="10" t="s">
        <v>72</v>
      </c>
      <c r="H67" s="10" t="s">
        <v>73</v>
      </c>
      <c r="I67" s="10" t="s">
        <v>81</v>
      </c>
      <c r="J67" s="10">
        <v>182</v>
      </c>
      <c r="K67" s="12">
        <v>45699</v>
      </c>
      <c r="L67" s="33">
        <v>0.67461805555555554</v>
      </c>
      <c r="M67" s="10">
        <v>1</v>
      </c>
      <c r="N67" s="10" t="s">
        <v>82</v>
      </c>
      <c r="O67" s="10">
        <v>6.08E-2</v>
      </c>
      <c r="P67" s="10">
        <v>4.0899999999999999E-3</v>
      </c>
      <c r="Q67" s="10">
        <v>12</v>
      </c>
      <c r="R67" s="10" t="s">
        <v>83</v>
      </c>
      <c r="S67" s="123">
        <f t="shared" si="12"/>
        <v>12</v>
      </c>
      <c r="T67" s="10" t="s">
        <v>980</v>
      </c>
      <c r="U67" s="45">
        <v>45699</v>
      </c>
      <c r="V67" s="124">
        <f t="shared" ref="V67:V81" si="13">0.1004*O67^2+241.38*O67-1.4194</f>
        <v>13.256875142656</v>
      </c>
      <c r="W67" s="124" t="s">
        <v>981</v>
      </c>
    </row>
    <row r="68" spans="1:23" x14ac:dyDescent="0.3">
      <c r="A68" s="32">
        <v>45699</v>
      </c>
      <c r="B68" s="33">
        <v>0.375</v>
      </c>
      <c r="C68" s="10" t="s">
        <v>70</v>
      </c>
      <c r="D68" s="10" t="s">
        <v>71</v>
      </c>
      <c r="E68" s="10" t="s">
        <v>908</v>
      </c>
      <c r="F68" s="10">
        <v>1</v>
      </c>
      <c r="G68" s="10" t="s">
        <v>72</v>
      </c>
      <c r="H68" s="10" t="s">
        <v>73</v>
      </c>
      <c r="I68" s="10" t="s">
        <v>81</v>
      </c>
      <c r="J68" s="10">
        <v>183</v>
      </c>
      <c r="K68" s="12">
        <v>45699</v>
      </c>
      <c r="L68" s="33">
        <v>0.68391203703703696</v>
      </c>
      <c r="M68" s="10">
        <v>1</v>
      </c>
      <c r="N68" s="10" t="s">
        <v>82</v>
      </c>
      <c r="O68" s="10">
        <v>0.19800000000000001</v>
      </c>
      <c r="P68" s="10">
        <v>1.89E-2</v>
      </c>
      <c r="Q68" s="10">
        <v>50</v>
      </c>
      <c r="R68" s="10" t="s">
        <v>83</v>
      </c>
      <c r="S68" s="123">
        <f t="shared" si="12"/>
        <v>50</v>
      </c>
      <c r="T68" s="10" t="s">
        <v>980</v>
      </c>
      <c r="U68" s="45">
        <v>45699</v>
      </c>
      <c r="V68" s="124">
        <f t="shared" si="13"/>
        <v>46.377776081600004</v>
      </c>
      <c r="W68" s="124" t="s">
        <v>981</v>
      </c>
    </row>
    <row r="69" spans="1:23" x14ac:dyDescent="0.3">
      <c r="A69" s="32">
        <v>45699</v>
      </c>
      <c r="B69" s="33">
        <v>0.375</v>
      </c>
      <c r="C69" s="10" t="s">
        <v>70</v>
      </c>
      <c r="D69" s="10" t="s">
        <v>71</v>
      </c>
      <c r="E69" s="10" t="s">
        <v>909</v>
      </c>
      <c r="F69" s="10">
        <v>1</v>
      </c>
      <c r="G69" s="10" t="s">
        <v>72</v>
      </c>
      <c r="H69" s="10" t="s">
        <v>73</v>
      </c>
      <c r="I69" s="10" t="s">
        <v>81</v>
      </c>
      <c r="J69" s="10">
        <v>184</v>
      </c>
      <c r="K69" s="12">
        <v>45699</v>
      </c>
      <c r="L69" s="33">
        <v>0.67578703703703702</v>
      </c>
      <c r="M69" s="10">
        <v>1</v>
      </c>
      <c r="N69" s="10" t="s">
        <v>82</v>
      </c>
      <c r="O69" s="10">
        <v>0.79</v>
      </c>
      <c r="P69" s="10">
        <v>8.6499999999999994E-2</v>
      </c>
      <c r="Q69" s="10">
        <v>200</v>
      </c>
      <c r="R69" s="10" t="s">
        <v>83</v>
      </c>
      <c r="S69" s="123">
        <f t="shared" si="12"/>
        <v>200</v>
      </c>
      <c r="T69" s="10" t="s">
        <v>980</v>
      </c>
      <c r="U69" s="45">
        <v>45699</v>
      </c>
      <c r="V69" s="124">
        <f t="shared" si="13"/>
        <v>189.33345964</v>
      </c>
      <c r="W69" s="124" t="s">
        <v>981</v>
      </c>
    </row>
    <row r="70" spans="1:23" x14ac:dyDescent="0.3">
      <c r="A70" s="32">
        <v>45699</v>
      </c>
      <c r="B70" s="33">
        <v>0.375</v>
      </c>
      <c r="C70" s="10" t="s">
        <v>70</v>
      </c>
      <c r="D70" s="10" t="s">
        <v>71</v>
      </c>
      <c r="E70" s="10" t="s">
        <v>910</v>
      </c>
      <c r="F70" s="10">
        <v>1</v>
      </c>
      <c r="G70" s="10" t="s">
        <v>72</v>
      </c>
      <c r="H70" s="10" t="s">
        <v>73</v>
      </c>
      <c r="I70" s="10" t="s">
        <v>81</v>
      </c>
      <c r="J70" s="10">
        <v>185</v>
      </c>
      <c r="K70" s="12">
        <v>45699</v>
      </c>
      <c r="L70" s="33">
        <v>0.67636574074074074</v>
      </c>
      <c r="M70" s="10">
        <v>1</v>
      </c>
      <c r="N70" s="10" t="s">
        <v>82</v>
      </c>
      <c r="O70" s="10">
        <v>2.0699999999999998</v>
      </c>
      <c r="P70" s="10">
        <v>0.23499999999999999</v>
      </c>
      <c r="Q70" s="10">
        <v>500</v>
      </c>
      <c r="R70" s="10" t="s">
        <v>83</v>
      </c>
      <c r="S70" s="123">
        <f t="shared" si="12"/>
        <v>500</v>
      </c>
      <c r="T70" s="10" t="s">
        <v>980</v>
      </c>
      <c r="U70" s="45">
        <v>45699</v>
      </c>
      <c r="V70" s="124">
        <f t="shared" si="13"/>
        <v>498.66740395999994</v>
      </c>
      <c r="W70" s="124" t="s">
        <v>981</v>
      </c>
    </row>
    <row r="71" spans="1:23" x14ac:dyDescent="0.3">
      <c r="A71" s="32">
        <v>45699</v>
      </c>
      <c r="B71" s="33">
        <v>0.375</v>
      </c>
      <c r="C71" s="10" t="s">
        <v>70</v>
      </c>
      <c r="D71" s="10" t="s">
        <v>71</v>
      </c>
      <c r="E71" s="10" t="s">
        <v>911</v>
      </c>
      <c r="F71" s="10">
        <v>1</v>
      </c>
      <c r="G71" s="10" t="s">
        <v>72</v>
      </c>
      <c r="H71" s="10" t="s">
        <v>73</v>
      </c>
      <c r="I71" s="10" t="s">
        <v>81</v>
      </c>
      <c r="J71" s="10">
        <v>186</v>
      </c>
      <c r="K71" s="12">
        <v>45699</v>
      </c>
      <c r="L71" s="33">
        <v>0.67694444444444446</v>
      </c>
      <c r="M71" s="10">
        <v>1</v>
      </c>
      <c r="N71" s="10" t="s">
        <v>82</v>
      </c>
      <c r="O71" s="10">
        <v>4.1100000000000003</v>
      </c>
      <c r="P71" s="10">
        <v>0.47699999999999998</v>
      </c>
      <c r="Q71" s="10">
        <v>1000</v>
      </c>
      <c r="R71" s="10" t="s">
        <v>83</v>
      </c>
      <c r="S71" s="123">
        <f t="shared" si="12"/>
        <v>1000</v>
      </c>
      <c r="T71" s="10" t="s">
        <v>980</v>
      </c>
      <c r="U71" s="45">
        <v>45699</v>
      </c>
      <c r="V71" s="124">
        <f t="shared" si="13"/>
        <v>992.34836684000004</v>
      </c>
      <c r="W71" s="124" t="s">
        <v>981</v>
      </c>
    </row>
    <row r="72" spans="1:23" x14ac:dyDescent="0.3">
      <c r="A72" s="32">
        <v>45699</v>
      </c>
      <c r="B72" s="33">
        <v>0.375</v>
      </c>
      <c r="C72" s="10" t="s">
        <v>70</v>
      </c>
      <c r="D72" s="10" t="s">
        <v>71</v>
      </c>
      <c r="E72" s="10" t="s">
        <v>912</v>
      </c>
      <c r="F72" s="10">
        <v>1</v>
      </c>
      <c r="G72" s="10" t="s">
        <v>72</v>
      </c>
      <c r="H72" s="10" t="s">
        <v>73</v>
      </c>
      <c r="I72" s="10" t="s">
        <v>81</v>
      </c>
      <c r="J72" s="10">
        <v>187</v>
      </c>
      <c r="K72" s="12">
        <v>45699</v>
      </c>
      <c r="L72" s="33">
        <v>0.67752314814814818</v>
      </c>
      <c r="M72" s="10">
        <v>1</v>
      </c>
      <c r="N72" s="10" t="s">
        <v>82</v>
      </c>
      <c r="O72" s="10">
        <v>6.31</v>
      </c>
      <c r="P72" s="10">
        <v>0.74099999999999999</v>
      </c>
      <c r="Q72" s="10">
        <v>1500</v>
      </c>
      <c r="R72" s="10" t="s">
        <v>83</v>
      </c>
      <c r="S72" s="123">
        <f t="shared" si="12"/>
        <v>1500</v>
      </c>
      <c r="T72" s="10" t="s">
        <v>980</v>
      </c>
      <c r="U72" s="45">
        <v>45699</v>
      </c>
      <c r="V72" s="124">
        <f t="shared" si="13"/>
        <v>1525.6859364399998</v>
      </c>
      <c r="W72" s="124" t="s">
        <v>981</v>
      </c>
    </row>
    <row r="73" spans="1:23" x14ac:dyDescent="0.3">
      <c r="A73" s="32">
        <v>45699</v>
      </c>
      <c r="B73" s="33">
        <v>0.375</v>
      </c>
      <c r="C73" s="10" t="s">
        <v>70</v>
      </c>
      <c r="D73" s="10" t="s">
        <v>71</v>
      </c>
      <c r="E73" s="10" t="s">
        <v>913</v>
      </c>
      <c r="F73" s="10">
        <v>1</v>
      </c>
      <c r="G73" s="10" t="s">
        <v>72</v>
      </c>
      <c r="H73" s="10" t="s">
        <v>73</v>
      </c>
      <c r="I73" s="10" t="s">
        <v>81</v>
      </c>
      <c r="J73" s="10">
        <v>188</v>
      </c>
      <c r="K73" s="12">
        <v>45699</v>
      </c>
      <c r="L73" s="33">
        <v>0.67811342592592594</v>
      </c>
      <c r="M73" s="10">
        <v>1</v>
      </c>
      <c r="N73" s="10" t="s">
        <v>82</v>
      </c>
      <c r="O73" s="10">
        <v>8.2100000000000009</v>
      </c>
      <c r="P73" s="10">
        <v>0.96899999999999997</v>
      </c>
      <c r="Q73" s="10">
        <v>2000</v>
      </c>
      <c r="R73" s="10" t="s">
        <v>83</v>
      </c>
      <c r="S73" s="123">
        <f t="shared" si="12"/>
        <v>2000</v>
      </c>
      <c r="T73" s="10" t="s">
        <v>980</v>
      </c>
      <c r="U73" s="45">
        <v>45699</v>
      </c>
      <c r="V73" s="124">
        <f t="shared" si="13"/>
        <v>1987.07777164</v>
      </c>
      <c r="W73" s="124" t="s">
        <v>981</v>
      </c>
    </row>
    <row r="74" spans="1:23" x14ac:dyDescent="0.3">
      <c r="A74" s="32">
        <v>45699</v>
      </c>
      <c r="B74" s="33">
        <v>0.375</v>
      </c>
      <c r="C74" s="10" t="s">
        <v>70</v>
      </c>
      <c r="D74" s="10" t="s">
        <v>71</v>
      </c>
      <c r="E74" s="10" t="s">
        <v>914</v>
      </c>
      <c r="F74" s="10">
        <v>1</v>
      </c>
      <c r="G74" s="10" t="s">
        <v>72</v>
      </c>
      <c r="H74" s="10" t="s">
        <v>73</v>
      </c>
      <c r="I74" s="10" t="s">
        <v>81</v>
      </c>
      <c r="J74" s="10">
        <v>189</v>
      </c>
      <c r="K74" s="12">
        <v>45699</v>
      </c>
      <c r="L74" s="33">
        <v>0.67869212962962966</v>
      </c>
      <c r="M74" s="10">
        <v>1</v>
      </c>
      <c r="N74" s="10" t="s">
        <v>82</v>
      </c>
      <c r="O74" s="10">
        <v>4.9599999999999998E-2</v>
      </c>
      <c r="P74" s="10">
        <v>3.0300000000000001E-3</v>
      </c>
      <c r="Q74" s="10">
        <v>0</v>
      </c>
      <c r="R74" s="10" t="s">
        <v>83</v>
      </c>
      <c r="S74" s="123">
        <f t="shared" si="12"/>
        <v>0</v>
      </c>
      <c r="T74" s="10" t="s">
        <v>980</v>
      </c>
      <c r="U74" s="45">
        <v>45699</v>
      </c>
      <c r="V74" s="124">
        <f t="shared" si="13"/>
        <v>10.553295000064001</v>
      </c>
      <c r="W74" s="124" t="s">
        <v>981</v>
      </c>
    </row>
    <row r="75" spans="1:23" x14ac:dyDescent="0.3">
      <c r="A75" s="32">
        <v>45699</v>
      </c>
      <c r="B75" s="33">
        <v>0.375</v>
      </c>
      <c r="C75" s="10" t="s">
        <v>70</v>
      </c>
      <c r="D75" s="10" t="s">
        <v>71</v>
      </c>
      <c r="E75" s="10" t="s">
        <v>915</v>
      </c>
      <c r="F75" s="10">
        <v>1</v>
      </c>
      <c r="G75" s="10" t="s">
        <v>72</v>
      </c>
      <c r="H75" s="10" t="s">
        <v>73</v>
      </c>
      <c r="I75" s="10" t="s">
        <v>81</v>
      </c>
      <c r="J75" s="10">
        <v>190</v>
      </c>
      <c r="K75" s="12">
        <v>45699</v>
      </c>
      <c r="L75" s="33">
        <v>0.68449074074074068</v>
      </c>
      <c r="M75" s="10">
        <v>1</v>
      </c>
      <c r="N75" s="10" t="s">
        <v>82</v>
      </c>
      <c r="O75" s="10">
        <v>7.0099999999999996E-2</v>
      </c>
      <c r="P75" s="10">
        <v>4.0200000000000001E-3</v>
      </c>
      <c r="Q75" s="10">
        <v>5</v>
      </c>
      <c r="R75" s="10" t="s">
        <v>83</v>
      </c>
      <c r="S75" s="123">
        <f t="shared" si="12"/>
        <v>5</v>
      </c>
      <c r="T75" s="10" t="s">
        <v>980</v>
      </c>
      <c r="U75" s="45">
        <v>45699</v>
      </c>
      <c r="V75" s="124">
        <f t="shared" si="13"/>
        <v>15.501831366604002</v>
      </c>
      <c r="W75" s="124" t="s">
        <v>981</v>
      </c>
    </row>
    <row r="76" spans="1:23" x14ac:dyDescent="0.3">
      <c r="A76" s="32">
        <v>45699</v>
      </c>
      <c r="B76" s="33">
        <v>0.375</v>
      </c>
      <c r="C76" s="10" t="s">
        <v>70</v>
      </c>
      <c r="D76" s="10" t="s">
        <v>71</v>
      </c>
      <c r="E76" s="10" t="s">
        <v>916</v>
      </c>
      <c r="F76" s="10">
        <v>1</v>
      </c>
      <c r="G76" s="10" t="s">
        <v>72</v>
      </c>
      <c r="H76" s="10" t="s">
        <v>73</v>
      </c>
      <c r="I76" s="10" t="s">
        <v>81</v>
      </c>
      <c r="J76" s="10">
        <v>191</v>
      </c>
      <c r="K76" s="12">
        <v>45699</v>
      </c>
      <c r="L76" s="33">
        <v>0.67986111111111114</v>
      </c>
      <c r="M76" s="10">
        <v>1</v>
      </c>
      <c r="N76" s="10" t="s">
        <v>82</v>
      </c>
      <c r="O76" s="10">
        <v>7.4999999999999997E-2</v>
      </c>
      <c r="P76" s="10">
        <v>6.1599999999999997E-3</v>
      </c>
      <c r="Q76" s="10">
        <v>15</v>
      </c>
      <c r="R76" s="10" t="s">
        <v>83</v>
      </c>
      <c r="S76" s="123">
        <f t="shared" si="12"/>
        <v>15</v>
      </c>
      <c r="T76" s="10" t="s">
        <v>980</v>
      </c>
      <c r="U76" s="45">
        <v>45699</v>
      </c>
      <c r="V76" s="124">
        <f t="shared" si="13"/>
        <v>16.68466475</v>
      </c>
      <c r="W76" s="124" t="s">
        <v>981</v>
      </c>
    </row>
    <row r="77" spans="1:23" x14ac:dyDescent="0.3">
      <c r="A77" s="32">
        <v>45699</v>
      </c>
      <c r="B77" s="33">
        <v>0.375</v>
      </c>
      <c r="C77" s="10" t="s">
        <v>70</v>
      </c>
      <c r="D77" s="10" t="s">
        <v>71</v>
      </c>
      <c r="E77" s="10" t="s">
        <v>917</v>
      </c>
      <c r="F77" s="10">
        <v>1</v>
      </c>
      <c r="G77" s="10" t="s">
        <v>72</v>
      </c>
      <c r="H77" s="10" t="s">
        <v>73</v>
      </c>
      <c r="I77" s="10" t="s">
        <v>81</v>
      </c>
      <c r="J77" s="10">
        <v>192</v>
      </c>
      <c r="K77" s="12">
        <v>45699</v>
      </c>
      <c r="L77" s="33">
        <v>0.68043981481481486</v>
      </c>
      <c r="M77" s="10">
        <v>1</v>
      </c>
      <c r="N77" s="10" t="s">
        <v>82</v>
      </c>
      <c r="O77" s="10">
        <v>8.48E-2</v>
      </c>
      <c r="P77" s="10">
        <v>6.5399999999999998E-3</v>
      </c>
      <c r="Q77" s="10">
        <v>20</v>
      </c>
      <c r="R77" s="10" t="s">
        <v>83</v>
      </c>
      <c r="S77" s="123">
        <f t="shared" si="12"/>
        <v>20</v>
      </c>
      <c r="T77" s="10" t="s">
        <v>980</v>
      </c>
      <c r="U77" s="45">
        <v>45699</v>
      </c>
      <c r="V77" s="124">
        <f t="shared" si="13"/>
        <v>19.050345980416001</v>
      </c>
      <c r="W77" s="124" t="s">
        <v>981</v>
      </c>
    </row>
    <row r="78" spans="1:23" x14ac:dyDescent="0.3">
      <c r="A78" s="32">
        <v>45699</v>
      </c>
      <c r="B78" s="33">
        <v>0.375</v>
      </c>
      <c r="C78" s="10" t="s">
        <v>70</v>
      </c>
      <c r="D78" s="10" t="s">
        <v>71</v>
      </c>
      <c r="E78" s="10" t="s">
        <v>918</v>
      </c>
      <c r="F78" s="10">
        <v>1</v>
      </c>
      <c r="G78" s="10" t="s">
        <v>72</v>
      </c>
      <c r="H78" s="10" t="s">
        <v>73</v>
      </c>
      <c r="I78" s="10" t="s">
        <v>81</v>
      </c>
      <c r="J78" s="10">
        <v>193</v>
      </c>
      <c r="K78" s="12">
        <v>45699</v>
      </c>
      <c r="L78" s="33">
        <v>0.68101851851851858</v>
      </c>
      <c r="M78" s="10">
        <v>1</v>
      </c>
      <c r="N78" s="10" t="s">
        <v>82</v>
      </c>
      <c r="O78" s="10">
        <v>0.29099999999999998</v>
      </c>
      <c r="P78" s="10">
        <v>2.87E-2</v>
      </c>
      <c r="Q78" s="10">
        <v>75</v>
      </c>
      <c r="R78" s="10" t="s">
        <v>83</v>
      </c>
      <c r="S78" s="123">
        <f t="shared" si="12"/>
        <v>75</v>
      </c>
      <c r="T78" s="10" t="s">
        <v>980</v>
      </c>
      <c r="U78" s="45">
        <v>45699</v>
      </c>
      <c r="V78" s="124">
        <f t="shared" si="13"/>
        <v>68.830681972400001</v>
      </c>
      <c r="W78" s="124" t="s">
        <v>981</v>
      </c>
    </row>
    <row r="79" spans="1:23" x14ac:dyDescent="0.3">
      <c r="A79" s="32">
        <v>45699</v>
      </c>
      <c r="B79" s="33">
        <v>0.375</v>
      </c>
      <c r="C79" s="10" t="s">
        <v>70</v>
      </c>
      <c r="D79" s="10" t="s">
        <v>71</v>
      </c>
      <c r="E79" s="10" t="s">
        <v>919</v>
      </c>
      <c r="F79" s="10">
        <v>1</v>
      </c>
      <c r="G79" s="10" t="s">
        <v>72</v>
      </c>
      <c r="H79" s="10" t="s">
        <v>73</v>
      </c>
      <c r="I79" s="10" t="s">
        <v>81</v>
      </c>
      <c r="J79" s="10">
        <v>194</v>
      </c>
      <c r="K79" s="12">
        <v>45699</v>
      </c>
      <c r="L79" s="33">
        <v>0.6815972222222223</v>
      </c>
      <c r="M79" s="10">
        <v>1</v>
      </c>
      <c r="N79" s="10" t="s">
        <v>82</v>
      </c>
      <c r="O79" s="10">
        <v>0.57899999999999996</v>
      </c>
      <c r="P79" s="10">
        <v>6.1499999999999999E-2</v>
      </c>
      <c r="Q79" s="10">
        <v>150</v>
      </c>
      <c r="R79" s="10" t="s">
        <v>83</v>
      </c>
      <c r="S79" s="123">
        <f t="shared" si="12"/>
        <v>150</v>
      </c>
      <c r="T79" s="10" t="s">
        <v>980</v>
      </c>
      <c r="U79" s="45">
        <v>45699</v>
      </c>
      <c r="V79" s="124">
        <f t="shared" si="13"/>
        <v>138.37327819640001</v>
      </c>
      <c r="W79" s="124" t="s">
        <v>981</v>
      </c>
    </row>
    <row r="80" spans="1:23" x14ac:dyDescent="0.3">
      <c r="A80" s="32">
        <v>45699</v>
      </c>
      <c r="B80" s="33">
        <v>0.375</v>
      </c>
      <c r="C80" s="10" t="s">
        <v>70</v>
      </c>
      <c r="D80" s="10" t="s">
        <v>71</v>
      </c>
      <c r="E80" s="10" t="s">
        <v>920</v>
      </c>
      <c r="F80" s="10">
        <v>1</v>
      </c>
      <c r="G80" s="10" t="s">
        <v>72</v>
      </c>
      <c r="H80" s="10" t="s">
        <v>73</v>
      </c>
      <c r="I80" s="10" t="s">
        <v>81</v>
      </c>
      <c r="J80" s="10">
        <v>195</v>
      </c>
      <c r="K80" s="12">
        <v>45699</v>
      </c>
      <c r="L80" s="33">
        <v>0.68218749999999995</v>
      </c>
      <c r="M80" s="10">
        <v>1</v>
      </c>
      <c r="N80" s="10" t="s">
        <v>82</v>
      </c>
      <c r="O80" s="10">
        <v>1.22</v>
      </c>
      <c r="P80" s="10">
        <v>0.13500000000000001</v>
      </c>
      <c r="Q80" s="10">
        <v>300</v>
      </c>
      <c r="R80" s="10" t="s">
        <v>83</v>
      </c>
      <c r="S80" s="123">
        <f t="shared" si="12"/>
        <v>300</v>
      </c>
      <c r="T80" s="10" t="s">
        <v>980</v>
      </c>
      <c r="U80" s="45">
        <v>45699</v>
      </c>
      <c r="V80" s="124">
        <f t="shared" si="13"/>
        <v>293.21363535999996</v>
      </c>
      <c r="W80" s="124" t="s">
        <v>981</v>
      </c>
    </row>
    <row r="81" spans="1:23" x14ac:dyDescent="0.3">
      <c r="A81" s="32">
        <v>45699</v>
      </c>
      <c r="B81" s="33">
        <v>0.375</v>
      </c>
      <c r="C81" s="10" t="s">
        <v>70</v>
      </c>
      <c r="D81" s="10" t="s">
        <v>71</v>
      </c>
      <c r="E81" s="10" t="s">
        <v>921</v>
      </c>
      <c r="F81" s="10">
        <v>1</v>
      </c>
      <c r="G81" s="10" t="s">
        <v>72</v>
      </c>
      <c r="H81" s="10" t="s">
        <v>73</v>
      </c>
      <c r="I81" s="10" t="s">
        <v>81</v>
      </c>
      <c r="J81" s="10">
        <v>196</v>
      </c>
      <c r="K81" s="12">
        <v>45699</v>
      </c>
      <c r="L81" s="33">
        <v>0.68276620370370367</v>
      </c>
      <c r="M81" s="10">
        <v>1</v>
      </c>
      <c r="N81" s="10" t="s">
        <v>82</v>
      </c>
      <c r="O81" s="10">
        <v>2.08</v>
      </c>
      <c r="P81" s="10">
        <v>0.23599999999999999</v>
      </c>
      <c r="Q81" s="10">
        <v>500</v>
      </c>
      <c r="R81" s="10" t="s">
        <v>83</v>
      </c>
      <c r="S81" s="123">
        <f t="shared" si="12"/>
        <v>500</v>
      </c>
      <c r="T81" s="10" t="s">
        <v>980</v>
      </c>
      <c r="U81" s="45">
        <v>45699</v>
      </c>
      <c r="V81" s="124">
        <f t="shared" si="13"/>
        <v>501.08537056</v>
      </c>
      <c r="W81" s="124" t="s">
        <v>981</v>
      </c>
    </row>
    <row r="82" spans="1:23" x14ac:dyDescent="0.3">
      <c r="A82" s="127">
        <v>45707</v>
      </c>
      <c r="B82" s="128">
        <v>0.375</v>
      </c>
      <c r="C82" s="31" t="s">
        <v>70</v>
      </c>
      <c r="D82" s="31" t="s">
        <v>71</v>
      </c>
      <c r="E82" s="31" t="s">
        <v>906</v>
      </c>
      <c r="F82" s="31">
        <v>1</v>
      </c>
      <c r="G82" s="31" t="s">
        <v>72</v>
      </c>
      <c r="H82" s="31" t="s">
        <v>73</v>
      </c>
      <c r="I82" s="31" t="s">
        <v>81</v>
      </c>
      <c r="J82" s="31">
        <v>181</v>
      </c>
      <c r="K82" s="129">
        <v>45708</v>
      </c>
      <c r="L82" s="128">
        <v>0.60667824074074073</v>
      </c>
      <c r="M82" s="31">
        <v>1</v>
      </c>
      <c r="N82" s="31" t="s">
        <v>82</v>
      </c>
      <c r="O82" s="31">
        <v>2.7199999999999998E-2</v>
      </c>
      <c r="P82" s="31">
        <v>2.0999999999999999E-3</v>
      </c>
      <c r="Q82" s="31">
        <v>0</v>
      </c>
      <c r="R82" s="31" t="s">
        <v>83</v>
      </c>
      <c r="S82" s="34">
        <f t="shared" si="12"/>
        <v>0</v>
      </c>
      <c r="T82" s="31" t="s">
        <v>988</v>
      </c>
      <c r="U82" s="130">
        <v>45708</v>
      </c>
      <c r="V82" s="132">
        <f>2.5833*O82^2+192.01*O82+3.9138</f>
        <v>9.1383832286719997</v>
      </c>
      <c r="W82" s="132" t="s">
        <v>989</v>
      </c>
    </row>
    <row r="83" spans="1:23" x14ac:dyDescent="0.3">
      <c r="A83" s="127">
        <v>45707</v>
      </c>
      <c r="B83" s="128">
        <v>0.375</v>
      </c>
      <c r="C83" s="31" t="s">
        <v>70</v>
      </c>
      <c r="D83" s="31" t="s">
        <v>71</v>
      </c>
      <c r="E83" s="31" t="s">
        <v>907</v>
      </c>
      <c r="F83" s="31">
        <v>1</v>
      </c>
      <c r="G83" s="31" t="s">
        <v>72</v>
      </c>
      <c r="H83" s="31" t="s">
        <v>73</v>
      </c>
      <c r="I83" s="31" t="s">
        <v>81</v>
      </c>
      <c r="J83" s="31">
        <v>182</v>
      </c>
      <c r="K83" s="129">
        <v>45708</v>
      </c>
      <c r="L83" s="128">
        <v>0.60726851851851849</v>
      </c>
      <c r="M83" s="31">
        <v>1</v>
      </c>
      <c r="N83" s="31" t="s">
        <v>82</v>
      </c>
      <c r="O83" s="31">
        <v>5.5599999999999997E-2</v>
      </c>
      <c r="P83" s="31">
        <v>3.7200000000000002E-3</v>
      </c>
      <c r="Q83" s="31">
        <v>12</v>
      </c>
      <c r="R83" s="31" t="s">
        <v>83</v>
      </c>
      <c r="S83" s="34">
        <f t="shared" si="12"/>
        <v>12</v>
      </c>
      <c r="T83" s="31" t="s">
        <v>988</v>
      </c>
      <c r="U83" s="130">
        <v>45708</v>
      </c>
      <c r="V83" s="132">
        <f t="shared" ref="V83:V96" si="14">2.5833*O83^2+192.01*O83+3.9138</f>
        <v>14.597541910287998</v>
      </c>
      <c r="W83" s="132" t="s">
        <v>989</v>
      </c>
    </row>
    <row r="84" spans="1:23" x14ac:dyDescent="0.3">
      <c r="A84" s="127">
        <v>45707</v>
      </c>
      <c r="B84" s="128">
        <v>0.375</v>
      </c>
      <c r="C84" s="31" t="s">
        <v>70</v>
      </c>
      <c r="D84" s="31" t="s">
        <v>71</v>
      </c>
      <c r="E84" s="31" t="s">
        <v>908</v>
      </c>
      <c r="F84" s="31">
        <v>1</v>
      </c>
      <c r="G84" s="31" t="s">
        <v>72</v>
      </c>
      <c r="H84" s="31" t="s">
        <v>73</v>
      </c>
      <c r="I84" s="31" t="s">
        <v>81</v>
      </c>
      <c r="J84" s="31">
        <v>183</v>
      </c>
      <c r="K84" s="129">
        <v>45708</v>
      </c>
      <c r="L84" s="128">
        <v>0.60784722222222221</v>
      </c>
      <c r="M84" s="31">
        <v>1</v>
      </c>
      <c r="N84" s="31" t="s">
        <v>82</v>
      </c>
      <c r="O84" s="31">
        <v>0.25800000000000001</v>
      </c>
      <c r="P84" s="31">
        <v>2.29E-2</v>
      </c>
      <c r="Q84" s="31">
        <v>50</v>
      </c>
      <c r="R84" s="31" t="s">
        <v>83</v>
      </c>
      <c r="S84" s="34">
        <f t="shared" si="12"/>
        <v>50</v>
      </c>
      <c r="T84" s="31" t="s">
        <v>988</v>
      </c>
      <c r="U84" s="130">
        <v>45708</v>
      </c>
      <c r="V84" s="132">
        <f t="shared" si="14"/>
        <v>53.624334781199998</v>
      </c>
      <c r="W84" s="132" t="s">
        <v>989</v>
      </c>
    </row>
    <row r="85" spans="1:23" x14ac:dyDescent="0.3">
      <c r="A85" s="127">
        <v>45707</v>
      </c>
      <c r="B85" s="128">
        <v>0.375</v>
      </c>
      <c r="C85" s="31" t="s">
        <v>70</v>
      </c>
      <c r="D85" s="31" t="s">
        <v>71</v>
      </c>
      <c r="E85" s="31" t="s">
        <v>909</v>
      </c>
      <c r="F85" s="31">
        <v>1</v>
      </c>
      <c r="G85" s="31" t="s">
        <v>72</v>
      </c>
      <c r="H85" s="31" t="s">
        <v>73</v>
      </c>
      <c r="I85" s="31" t="s">
        <v>81</v>
      </c>
      <c r="J85" s="31">
        <v>184</v>
      </c>
      <c r="K85" s="129">
        <v>45708</v>
      </c>
      <c r="L85" s="128">
        <v>0.60842592592592593</v>
      </c>
      <c r="M85" s="31">
        <v>1</v>
      </c>
      <c r="N85" s="31" t="s">
        <v>82</v>
      </c>
      <c r="O85" s="31">
        <v>0.93200000000000005</v>
      </c>
      <c r="P85" s="31">
        <v>8.5000000000000006E-2</v>
      </c>
      <c r="Q85" s="31">
        <v>200</v>
      </c>
      <c r="R85" s="31" t="s">
        <v>83</v>
      </c>
      <c r="S85" s="34">
        <f t="shared" si="12"/>
        <v>200</v>
      </c>
      <c r="T85" s="31" t="s">
        <v>988</v>
      </c>
      <c r="U85" s="130">
        <v>45708</v>
      </c>
      <c r="V85" s="132">
        <f t="shared" si="14"/>
        <v>185.11103637919999</v>
      </c>
      <c r="W85" s="132" t="s">
        <v>989</v>
      </c>
    </row>
    <row r="86" spans="1:23" x14ac:dyDescent="0.3">
      <c r="A86" s="127">
        <v>45707</v>
      </c>
      <c r="B86" s="128">
        <v>0.375</v>
      </c>
      <c r="C86" s="31" t="s">
        <v>70</v>
      </c>
      <c r="D86" s="31" t="s">
        <v>71</v>
      </c>
      <c r="E86" s="31" t="s">
        <v>910</v>
      </c>
      <c r="F86" s="31">
        <v>1</v>
      </c>
      <c r="G86" s="31" t="s">
        <v>72</v>
      </c>
      <c r="H86" s="31" t="s">
        <v>73</v>
      </c>
      <c r="I86" s="31" t="s">
        <v>81</v>
      </c>
      <c r="J86" s="31">
        <v>185</v>
      </c>
      <c r="K86" s="129">
        <v>45708</v>
      </c>
      <c r="L86" s="128">
        <v>0.61885416666666659</v>
      </c>
      <c r="M86" s="31">
        <v>1</v>
      </c>
      <c r="N86" s="31" t="s">
        <v>82</v>
      </c>
      <c r="O86" s="31">
        <v>2.23</v>
      </c>
      <c r="P86" s="31">
        <v>0.20699999999999999</v>
      </c>
      <c r="Q86" s="31">
        <v>500</v>
      </c>
      <c r="R86" s="31" t="s">
        <v>83</v>
      </c>
      <c r="S86" s="34">
        <f t="shared" si="12"/>
        <v>500</v>
      </c>
      <c r="T86" s="31" t="s">
        <v>988</v>
      </c>
      <c r="U86" s="130">
        <v>45708</v>
      </c>
      <c r="V86" s="132">
        <f t="shared" si="14"/>
        <v>444.94259256999999</v>
      </c>
      <c r="W86" s="132" t="s">
        <v>989</v>
      </c>
    </row>
    <row r="87" spans="1:23" x14ac:dyDescent="0.3">
      <c r="A87" s="127">
        <v>45707</v>
      </c>
      <c r="B87" s="128">
        <v>0.375</v>
      </c>
      <c r="C87" s="31" t="s">
        <v>70</v>
      </c>
      <c r="D87" s="31" t="s">
        <v>71</v>
      </c>
      <c r="E87" s="31" t="s">
        <v>911</v>
      </c>
      <c r="F87" s="31">
        <v>1</v>
      </c>
      <c r="G87" s="31" t="s">
        <v>72</v>
      </c>
      <c r="H87" s="31" t="s">
        <v>73</v>
      </c>
      <c r="I87" s="31" t="s">
        <v>81</v>
      </c>
      <c r="J87" s="31">
        <v>186</v>
      </c>
      <c r="K87" s="129">
        <v>45708</v>
      </c>
      <c r="L87" s="128">
        <v>0.60958333333333337</v>
      </c>
      <c r="M87" s="31">
        <v>1</v>
      </c>
      <c r="N87" s="31" t="s">
        <v>82</v>
      </c>
      <c r="O87" s="31">
        <v>4.5999999999999996</v>
      </c>
      <c r="P87" s="31">
        <v>0.44</v>
      </c>
      <c r="Q87" s="31">
        <v>1000</v>
      </c>
      <c r="R87" s="31" t="s">
        <v>83</v>
      </c>
      <c r="S87" s="34">
        <f t="shared" si="12"/>
        <v>1000</v>
      </c>
      <c r="T87" s="31" t="s">
        <v>988</v>
      </c>
      <c r="U87" s="130">
        <v>45708</v>
      </c>
      <c r="V87" s="132">
        <f t="shared" si="14"/>
        <v>941.82242799999995</v>
      </c>
      <c r="W87" s="132" t="s">
        <v>989</v>
      </c>
    </row>
    <row r="88" spans="1:23" x14ac:dyDescent="0.3">
      <c r="A88" s="127">
        <v>45707</v>
      </c>
      <c r="B88" s="128">
        <v>0.375</v>
      </c>
      <c r="C88" s="31" t="s">
        <v>70</v>
      </c>
      <c r="D88" s="31" t="s">
        <v>71</v>
      </c>
      <c r="E88" s="31" t="s">
        <v>912</v>
      </c>
      <c r="F88" s="31">
        <v>1</v>
      </c>
      <c r="G88" s="31" t="s">
        <v>72</v>
      </c>
      <c r="H88" s="31" t="s">
        <v>73</v>
      </c>
      <c r="I88" s="31" t="s">
        <v>81</v>
      </c>
      <c r="J88" s="31">
        <v>187</v>
      </c>
      <c r="K88" s="129">
        <v>45708</v>
      </c>
      <c r="L88" s="128">
        <v>0.61017361111111112</v>
      </c>
      <c r="M88" s="31">
        <v>1</v>
      </c>
      <c r="N88" s="31" t="s">
        <v>82</v>
      </c>
      <c r="O88" s="31">
        <v>6.78</v>
      </c>
      <c r="P88" s="31">
        <v>0.65700000000000003</v>
      </c>
      <c r="Q88" s="31">
        <v>1500</v>
      </c>
      <c r="R88" s="31" t="s">
        <v>83</v>
      </c>
      <c r="S88" s="34">
        <f t="shared" si="12"/>
        <v>1500</v>
      </c>
      <c r="T88" s="31" t="s">
        <v>988</v>
      </c>
      <c r="U88" s="130">
        <v>45708</v>
      </c>
      <c r="V88" s="132">
        <f t="shared" si="14"/>
        <v>1424.4917677200001</v>
      </c>
      <c r="W88" s="132" t="s">
        <v>989</v>
      </c>
    </row>
    <row r="89" spans="1:23" x14ac:dyDescent="0.3">
      <c r="A89" s="127">
        <v>45707</v>
      </c>
      <c r="B89" s="128">
        <v>0.375</v>
      </c>
      <c r="C89" s="31" t="s">
        <v>70</v>
      </c>
      <c r="D89" s="31" t="s">
        <v>71</v>
      </c>
      <c r="E89" s="31" t="s">
        <v>913</v>
      </c>
      <c r="F89" s="31">
        <v>1</v>
      </c>
      <c r="G89" s="31" t="s">
        <v>72</v>
      </c>
      <c r="H89" s="31" t="s">
        <v>73</v>
      </c>
      <c r="I89" s="31" t="s">
        <v>81</v>
      </c>
      <c r="J89" s="31">
        <v>188</v>
      </c>
      <c r="K89" s="129">
        <v>45708</v>
      </c>
      <c r="L89" s="128">
        <v>0.6107407407407407</v>
      </c>
      <c r="M89" s="31">
        <v>1</v>
      </c>
      <c r="N89" s="31" t="s">
        <v>82</v>
      </c>
      <c r="O89" s="31">
        <v>9.3800000000000008</v>
      </c>
      <c r="P89" s="31">
        <v>0.91600000000000004</v>
      </c>
      <c r="Q89" s="31">
        <v>2000</v>
      </c>
      <c r="R89" s="31" t="s">
        <v>83</v>
      </c>
      <c r="S89" s="34">
        <f t="shared" si="12"/>
        <v>2000</v>
      </c>
      <c r="T89" s="31" t="s">
        <v>988</v>
      </c>
      <c r="U89" s="130">
        <v>45708</v>
      </c>
      <c r="V89" s="132">
        <f t="shared" si="14"/>
        <v>2032.2577005200003</v>
      </c>
      <c r="W89" s="132" t="s">
        <v>989</v>
      </c>
    </row>
    <row r="90" spans="1:23" x14ac:dyDescent="0.3">
      <c r="A90" s="127">
        <v>45707</v>
      </c>
      <c r="B90" s="128">
        <v>0.375</v>
      </c>
      <c r="C90" s="31" t="s">
        <v>70</v>
      </c>
      <c r="D90" s="31" t="s">
        <v>71</v>
      </c>
      <c r="E90" s="31" t="s">
        <v>914</v>
      </c>
      <c r="F90" s="31">
        <v>1</v>
      </c>
      <c r="G90" s="31" t="s">
        <v>72</v>
      </c>
      <c r="H90" s="31" t="s">
        <v>73</v>
      </c>
      <c r="I90" s="31" t="s">
        <v>81</v>
      </c>
      <c r="J90" s="31">
        <v>189</v>
      </c>
      <c r="K90" s="129">
        <v>45708</v>
      </c>
      <c r="L90" s="128">
        <v>0.61653935185185182</v>
      </c>
      <c r="M90" s="31">
        <v>1</v>
      </c>
      <c r="N90" s="31" t="s">
        <v>82</v>
      </c>
      <c r="O90" s="31">
        <v>3.0599999999999999E-2</v>
      </c>
      <c r="P90" s="31">
        <v>2.4199999999999998E-3</v>
      </c>
      <c r="Q90" s="31">
        <v>0</v>
      </c>
      <c r="R90" s="31" t="s">
        <v>83</v>
      </c>
      <c r="S90" s="34">
        <f t="shared" si="12"/>
        <v>0</v>
      </c>
      <c r="T90" s="31" t="s">
        <v>988</v>
      </c>
      <c r="U90" s="130">
        <v>45708</v>
      </c>
      <c r="V90" s="132">
        <f t="shared" si="14"/>
        <v>9.7917248987880008</v>
      </c>
      <c r="W90" s="132" t="s">
        <v>989</v>
      </c>
    </row>
    <row r="91" spans="1:23" x14ac:dyDescent="0.3">
      <c r="A91" s="127">
        <v>45707</v>
      </c>
      <c r="B91" s="128">
        <v>0.375</v>
      </c>
      <c r="C91" s="31" t="s">
        <v>70</v>
      </c>
      <c r="D91" s="31" t="s">
        <v>71</v>
      </c>
      <c r="E91" s="31" t="s">
        <v>915</v>
      </c>
      <c r="F91" s="31">
        <v>1</v>
      </c>
      <c r="G91" s="31" t="s">
        <v>72</v>
      </c>
      <c r="H91" s="31" t="s">
        <v>73</v>
      </c>
      <c r="I91" s="31" t="s">
        <v>81</v>
      </c>
      <c r="J91" s="31">
        <v>190</v>
      </c>
      <c r="K91" s="129">
        <v>45708</v>
      </c>
      <c r="L91" s="128">
        <v>0.61190972222222217</v>
      </c>
      <c r="M91" s="31">
        <v>1</v>
      </c>
      <c r="N91" s="31" t="s">
        <v>82</v>
      </c>
      <c r="O91" s="31">
        <v>3.2899999999999999E-2</v>
      </c>
      <c r="P91" s="31">
        <v>2.4499999999999999E-3</v>
      </c>
      <c r="Q91" s="31">
        <v>5</v>
      </c>
      <c r="R91" s="31" t="s">
        <v>83</v>
      </c>
      <c r="S91" s="34">
        <f t="shared" si="12"/>
        <v>5</v>
      </c>
      <c r="T91" s="31" t="s">
        <v>988</v>
      </c>
      <c r="U91" s="130">
        <v>45708</v>
      </c>
      <c r="V91" s="132">
        <f t="shared" si="14"/>
        <v>10.233725189752999</v>
      </c>
      <c r="W91" s="132" t="s">
        <v>989</v>
      </c>
    </row>
    <row r="92" spans="1:23" x14ac:dyDescent="0.3">
      <c r="A92" s="127">
        <v>45707</v>
      </c>
      <c r="B92" s="128">
        <v>0.375</v>
      </c>
      <c r="C92" s="31" t="s">
        <v>70</v>
      </c>
      <c r="D92" s="31" t="s">
        <v>71</v>
      </c>
      <c r="E92" s="31" t="s">
        <v>916</v>
      </c>
      <c r="F92" s="31">
        <v>1</v>
      </c>
      <c r="G92" s="31" t="s">
        <v>72</v>
      </c>
      <c r="H92" s="31" t="s">
        <v>73</v>
      </c>
      <c r="I92" s="31" t="s">
        <v>81</v>
      </c>
      <c r="J92" s="31">
        <v>191</v>
      </c>
      <c r="K92" s="129">
        <v>45708</v>
      </c>
      <c r="L92" s="128">
        <v>0.61248842592592589</v>
      </c>
      <c r="M92" s="31">
        <v>1</v>
      </c>
      <c r="N92" s="31" t="s">
        <v>82</v>
      </c>
      <c r="O92" s="31">
        <v>6.6600000000000006E-2</v>
      </c>
      <c r="P92" s="31">
        <v>4.4400000000000004E-3</v>
      </c>
      <c r="Q92" s="31">
        <v>15</v>
      </c>
      <c r="R92" s="31" t="s">
        <v>83</v>
      </c>
      <c r="S92" s="34">
        <f t="shared" si="12"/>
        <v>15</v>
      </c>
      <c r="T92" s="31" t="s">
        <v>988</v>
      </c>
      <c r="U92" s="130">
        <v>45708</v>
      </c>
      <c r="V92" s="132">
        <f t="shared" si="14"/>
        <v>16.713124382148003</v>
      </c>
      <c r="W92" s="132" t="s">
        <v>989</v>
      </c>
    </row>
    <row r="93" spans="1:23" x14ac:dyDescent="0.3">
      <c r="A93" s="127">
        <v>45707</v>
      </c>
      <c r="B93" s="128">
        <v>0.375</v>
      </c>
      <c r="C93" s="31" t="s">
        <v>70</v>
      </c>
      <c r="D93" s="31" t="s">
        <v>71</v>
      </c>
      <c r="E93" s="31" t="s">
        <v>917</v>
      </c>
      <c r="F93" s="31">
        <v>1</v>
      </c>
      <c r="G93" s="31" t="s">
        <v>72</v>
      </c>
      <c r="H93" s="31" t="s">
        <v>73</v>
      </c>
      <c r="I93" s="31" t="s">
        <v>81</v>
      </c>
      <c r="J93" s="31">
        <v>192</v>
      </c>
      <c r="K93" s="129">
        <v>45708</v>
      </c>
      <c r="L93" s="128">
        <v>0.61307870370370365</v>
      </c>
      <c r="M93" s="31">
        <v>1</v>
      </c>
      <c r="N93" s="31" t="s">
        <v>82</v>
      </c>
      <c r="O93" s="31">
        <v>9.0800000000000006E-2</v>
      </c>
      <c r="P93" s="31">
        <v>6.1999999999999998E-3</v>
      </c>
      <c r="Q93" s="31">
        <v>20</v>
      </c>
      <c r="R93" s="31" t="s">
        <v>83</v>
      </c>
      <c r="S93" s="34">
        <f t="shared" si="12"/>
        <v>20</v>
      </c>
      <c r="T93" s="31" t="s">
        <v>988</v>
      </c>
      <c r="U93" s="130">
        <v>45708</v>
      </c>
      <c r="V93" s="132">
        <f t="shared" si="14"/>
        <v>21.369606378512003</v>
      </c>
      <c r="W93" s="132" t="s">
        <v>989</v>
      </c>
    </row>
    <row r="94" spans="1:23" x14ac:dyDescent="0.3">
      <c r="A94" s="127">
        <v>45707</v>
      </c>
      <c r="B94" s="128">
        <v>0.375</v>
      </c>
      <c r="C94" s="31" t="s">
        <v>70</v>
      </c>
      <c r="D94" s="31" t="s">
        <v>71</v>
      </c>
      <c r="E94" s="31" t="s">
        <v>918</v>
      </c>
      <c r="F94" s="31">
        <v>1</v>
      </c>
      <c r="G94" s="31" t="s">
        <v>72</v>
      </c>
      <c r="H94" s="31" t="s">
        <v>73</v>
      </c>
      <c r="I94" s="31" t="s">
        <v>81</v>
      </c>
      <c r="J94" s="31">
        <v>193</v>
      </c>
      <c r="K94" s="129">
        <v>45708</v>
      </c>
      <c r="L94" s="128">
        <v>0.61365740740740737</v>
      </c>
      <c r="M94" s="31">
        <v>1</v>
      </c>
      <c r="N94" s="31" t="s">
        <v>82</v>
      </c>
      <c r="O94" s="31">
        <v>0.28199999999999997</v>
      </c>
      <c r="P94" s="31">
        <v>2.47E-2</v>
      </c>
      <c r="Q94" s="31">
        <v>75</v>
      </c>
      <c r="R94" s="31" t="s">
        <v>83</v>
      </c>
      <c r="S94" s="34">
        <f t="shared" si="12"/>
        <v>75</v>
      </c>
      <c r="T94" s="31" t="s">
        <v>988</v>
      </c>
      <c r="U94" s="130">
        <v>45708</v>
      </c>
      <c r="V94" s="132">
        <f t="shared" si="14"/>
        <v>58.26605434919999</v>
      </c>
      <c r="W94" s="132" t="s">
        <v>989</v>
      </c>
    </row>
    <row r="95" spans="1:23" x14ac:dyDescent="0.3">
      <c r="A95" s="127">
        <v>45707</v>
      </c>
      <c r="B95" s="128">
        <v>0.375</v>
      </c>
      <c r="C95" s="31" t="s">
        <v>70</v>
      </c>
      <c r="D95" s="31" t="s">
        <v>71</v>
      </c>
      <c r="E95" s="31" t="s">
        <v>919</v>
      </c>
      <c r="F95" s="31">
        <v>1</v>
      </c>
      <c r="G95" s="31" t="s">
        <v>72</v>
      </c>
      <c r="H95" s="31" t="s">
        <v>73</v>
      </c>
      <c r="I95" s="31" t="s">
        <v>81</v>
      </c>
      <c r="J95" s="31">
        <v>194</v>
      </c>
      <c r="K95" s="129">
        <v>45708</v>
      </c>
      <c r="L95" s="128">
        <v>0.61422453703703705</v>
      </c>
      <c r="M95" s="31">
        <v>1</v>
      </c>
      <c r="N95" s="31" t="s">
        <v>82</v>
      </c>
      <c r="O95" s="31">
        <v>0.58899999999999997</v>
      </c>
      <c r="P95" s="31">
        <v>5.2200000000000003E-2</v>
      </c>
      <c r="Q95" s="31">
        <v>150</v>
      </c>
      <c r="R95" s="31" t="s">
        <v>83</v>
      </c>
      <c r="S95" s="34">
        <f t="shared" si="12"/>
        <v>150</v>
      </c>
      <c r="T95" s="31" t="s">
        <v>988</v>
      </c>
      <c r="U95" s="130">
        <v>45708</v>
      </c>
      <c r="V95" s="132">
        <f t="shared" si="14"/>
        <v>117.90389101929998</v>
      </c>
      <c r="W95" s="132" t="s">
        <v>989</v>
      </c>
    </row>
    <row r="96" spans="1:23" x14ac:dyDescent="0.3">
      <c r="A96" s="127">
        <v>45707</v>
      </c>
      <c r="B96" s="128">
        <v>0.375</v>
      </c>
      <c r="C96" s="31" t="s">
        <v>70</v>
      </c>
      <c r="D96" s="31" t="s">
        <v>71</v>
      </c>
      <c r="E96" s="31" t="s">
        <v>921</v>
      </c>
      <c r="F96" s="31">
        <v>1</v>
      </c>
      <c r="G96" s="31" t="s">
        <v>72</v>
      </c>
      <c r="H96" s="31" t="s">
        <v>73</v>
      </c>
      <c r="I96" s="31" t="s">
        <v>81</v>
      </c>
      <c r="J96" s="31">
        <v>196</v>
      </c>
      <c r="K96" s="129">
        <v>45708</v>
      </c>
      <c r="L96" s="128">
        <v>0.61539351851851853</v>
      </c>
      <c r="M96" s="31">
        <v>1</v>
      </c>
      <c r="N96" s="31" t="s">
        <v>82</v>
      </c>
      <c r="O96" s="31">
        <v>3.4</v>
      </c>
      <c r="P96" s="31">
        <v>0.32200000000000001</v>
      </c>
      <c r="Q96" s="31">
        <v>500</v>
      </c>
      <c r="R96" s="31" t="s">
        <v>83</v>
      </c>
      <c r="S96" s="34">
        <f t="shared" si="12"/>
        <v>500</v>
      </c>
      <c r="T96" s="31" t="s">
        <v>988</v>
      </c>
      <c r="U96" s="130">
        <v>45708</v>
      </c>
      <c r="V96" s="132">
        <f t="shared" si="14"/>
        <v>686.61074799999994</v>
      </c>
      <c r="W96" s="132" t="s">
        <v>989</v>
      </c>
    </row>
  </sheetData>
  <phoneticPr fontId="17" type="noConversion"/>
  <conditionalFormatting sqref="U1">
    <cfRule type="cellIs" dxfId="5" priority="2" operator="lessThan">
      <formula>0</formula>
    </cfRule>
  </conditionalFormatting>
  <conditionalFormatting sqref="AZ1">
    <cfRule type="cellIs" dxfId="4" priority="1" operator="lessThan">
      <formula>0</formula>
    </cfRule>
  </conditionalFormatting>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3C8B8-004A-413B-A541-0264C4503EC6}">
  <dimension ref="A1:BC36"/>
  <sheetViews>
    <sheetView topLeftCell="T1" zoomScale="80" zoomScaleNormal="80" workbookViewId="0">
      <selection activeCell="AE15" sqref="AE15"/>
    </sheetView>
  </sheetViews>
  <sheetFormatPr defaultRowHeight="14.4" x14ac:dyDescent="0.3"/>
  <cols>
    <col min="1" max="1" width="11.5546875" bestFit="1" customWidth="1"/>
    <col min="2" max="2" width="10.88671875" customWidth="1"/>
    <col min="3" max="3" width="6.44140625" bestFit="1" customWidth="1"/>
    <col min="4" max="4" width="7.5546875" bestFit="1" customWidth="1"/>
    <col min="5" max="5" width="8.5546875" bestFit="1" customWidth="1"/>
    <col min="6" max="6" width="5.33203125" bestFit="1" customWidth="1"/>
    <col min="7" max="7" width="7.6640625" bestFit="1" customWidth="1"/>
    <col min="8" max="8" width="5" bestFit="1" customWidth="1"/>
    <col min="9" max="9" width="7.5546875" bestFit="1" customWidth="1"/>
    <col min="10" max="10" width="8.6640625" bestFit="1" customWidth="1"/>
    <col min="11" max="11" width="11.5546875" bestFit="1" customWidth="1"/>
    <col min="12" max="12" width="12" bestFit="1" customWidth="1"/>
    <col min="13" max="13" width="7.6640625" bestFit="1" customWidth="1"/>
    <col min="14" max="14" width="8.6640625" bestFit="1" customWidth="1"/>
    <col min="15" max="15" width="7.6640625" bestFit="1" customWidth="1"/>
    <col min="19" max="19" width="11.109375" bestFit="1" customWidth="1"/>
    <col min="20" max="20" width="45.5546875" bestFit="1" customWidth="1"/>
    <col min="21" max="21" width="11.5546875" bestFit="1" customWidth="1"/>
    <col min="22" max="22" width="11.109375" bestFit="1" customWidth="1"/>
    <col min="23" max="23" width="26.6640625" bestFit="1" customWidth="1"/>
    <col min="31" max="31" width="36.5546875" customWidth="1"/>
    <col min="32" max="32" width="11.5546875" bestFit="1" customWidth="1"/>
    <col min="33" max="33" width="10.88671875" bestFit="1" customWidth="1"/>
    <col min="34" max="34" width="6.44140625" customWidth="1"/>
    <col min="35" max="35" width="7.5546875" bestFit="1" customWidth="1"/>
    <col min="36" max="36" width="8.5546875" bestFit="1" customWidth="1"/>
    <col min="37" max="37" width="5.33203125" bestFit="1" customWidth="1"/>
    <col min="38" max="38" width="7.6640625" bestFit="1" customWidth="1"/>
    <col min="39" max="39" width="5" bestFit="1" customWidth="1"/>
    <col min="40" max="40" width="7.5546875" bestFit="1" customWidth="1"/>
    <col min="41" max="41" width="8.6640625" bestFit="1" customWidth="1"/>
    <col min="42" max="42" width="11.5546875" bestFit="1" customWidth="1"/>
    <col min="43" max="43" width="12" bestFit="1" customWidth="1"/>
    <col min="44" max="44" width="7.6640625" bestFit="1" customWidth="1"/>
    <col min="45" max="45" width="8.6640625" bestFit="1" customWidth="1"/>
    <col min="46" max="46" width="7.6640625" bestFit="1" customWidth="1"/>
    <col min="47" max="47" width="6.6640625" bestFit="1" customWidth="1"/>
    <col min="49" max="49" width="6.44140625" bestFit="1" customWidth="1"/>
    <col min="50" max="50" width="11.109375" bestFit="1" customWidth="1"/>
    <col min="51" max="51" width="45.5546875" bestFit="1" customWidth="1"/>
    <col min="52" max="52" width="11.5546875" bestFit="1" customWidth="1"/>
    <col min="53" max="53" width="11.109375" bestFit="1" customWidth="1"/>
    <col min="54" max="54" width="26.6640625" bestFit="1" customWidth="1"/>
    <col min="55" max="55" width="8.88671875" style="124"/>
  </cols>
  <sheetData>
    <row r="1" spans="1:54" ht="86.4" x14ac:dyDescent="0.3">
      <c r="A1" s="17" t="s">
        <v>0</v>
      </c>
      <c r="B1" s="35" t="s">
        <v>23</v>
      </c>
      <c r="C1" s="19" t="s">
        <v>24</v>
      </c>
      <c r="D1" s="19" t="s">
        <v>25</v>
      </c>
      <c r="E1" s="19" t="s">
        <v>26</v>
      </c>
      <c r="F1" s="19" t="s">
        <v>27</v>
      </c>
      <c r="G1" s="19" t="s">
        <v>28</v>
      </c>
      <c r="H1" s="19" t="s">
        <v>29</v>
      </c>
      <c r="I1" s="19" t="s">
        <v>30</v>
      </c>
      <c r="J1" s="19" t="s">
        <v>31</v>
      </c>
      <c r="K1" s="20" t="s">
        <v>32</v>
      </c>
      <c r="L1" s="21" t="s">
        <v>33</v>
      </c>
      <c r="M1" s="22" t="s">
        <v>34</v>
      </c>
      <c r="N1" s="19" t="s">
        <v>35</v>
      </c>
      <c r="O1" s="23" t="s">
        <v>36</v>
      </c>
      <c r="P1" s="23" t="s">
        <v>37</v>
      </c>
      <c r="Q1" s="24" t="s">
        <v>38</v>
      </c>
      <c r="R1" s="19" t="s">
        <v>39</v>
      </c>
      <c r="S1" s="36" t="s">
        <v>40</v>
      </c>
      <c r="T1" s="19" t="s">
        <v>46</v>
      </c>
      <c r="U1" s="20" t="s">
        <v>77</v>
      </c>
      <c r="V1" s="9" t="s">
        <v>78</v>
      </c>
      <c r="W1" s="3" t="s">
        <v>79</v>
      </c>
      <c r="AF1" s="37" t="s">
        <v>0</v>
      </c>
      <c r="AG1" s="35" t="s">
        <v>23</v>
      </c>
      <c r="AH1" s="38" t="s">
        <v>24</v>
      </c>
      <c r="AI1" s="38" t="s">
        <v>25</v>
      </c>
      <c r="AJ1" s="38" t="s">
        <v>26</v>
      </c>
      <c r="AK1" s="38" t="s">
        <v>27</v>
      </c>
      <c r="AL1" s="38" t="s">
        <v>28</v>
      </c>
      <c r="AM1" s="38" t="s">
        <v>29</v>
      </c>
      <c r="AN1" s="38" t="s">
        <v>30</v>
      </c>
      <c r="AO1" s="38" t="s">
        <v>31</v>
      </c>
      <c r="AP1" s="39" t="s">
        <v>32</v>
      </c>
      <c r="AQ1" s="40" t="s">
        <v>33</v>
      </c>
      <c r="AR1" s="22" t="s">
        <v>34</v>
      </c>
      <c r="AS1" s="38" t="s">
        <v>35</v>
      </c>
      <c r="AT1" s="41" t="s">
        <v>36</v>
      </c>
      <c r="AU1" s="41" t="s">
        <v>37</v>
      </c>
      <c r="AV1" s="42" t="s">
        <v>38</v>
      </c>
      <c r="AW1" s="38" t="s">
        <v>39</v>
      </c>
      <c r="AX1" s="43" t="s">
        <v>40</v>
      </c>
      <c r="AY1" s="38" t="s">
        <v>46</v>
      </c>
      <c r="AZ1" s="39" t="s">
        <v>80</v>
      </c>
      <c r="BA1" s="44" t="s">
        <v>78</v>
      </c>
      <c r="BB1" s="44" t="s">
        <v>79</v>
      </c>
    </row>
    <row r="2" spans="1:54" x14ac:dyDescent="0.3">
      <c r="A2" s="32">
        <v>45678</v>
      </c>
      <c r="B2" s="33">
        <v>0.375</v>
      </c>
      <c r="C2" s="10" t="s">
        <v>70</v>
      </c>
      <c r="D2" s="10" t="s">
        <v>71</v>
      </c>
      <c r="E2" s="10" t="s">
        <v>906</v>
      </c>
      <c r="F2" s="10">
        <v>1</v>
      </c>
      <c r="G2" s="10" t="s">
        <v>72</v>
      </c>
      <c r="H2" s="10" t="s">
        <v>73</v>
      </c>
      <c r="I2" s="10" t="s">
        <v>233</v>
      </c>
      <c r="J2" s="10">
        <v>181</v>
      </c>
      <c r="K2" s="12">
        <v>45679</v>
      </c>
      <c r="L2" s="33">
        <v>0.71538194444444436</v>
      </c>
      <c r="M2" s="10">
        <v>1</v>
      </c>
      <c r="N2" s="10" t="s">
        <v>194</v>
      </c>
      <c r="O2" s="10">
        <v>0.47</v>
      </c>
      <c r="P2" s="10">
        <v>2.3E-2</v>
      </c>
      <c r="Q2" s="10">
        <v>0</v>
      </c>
      <c r="R2" s="10" t="s">
        <v>168</v>
      </c>
      <c r="S2" s="123">
        <f t="shared" ref="S2:S36" si="0">IF(OR(AND(I2&lt;&gt;"TP", I2&lt;&gt;"TDP",I2&lt;&gt;"TN", I2&lt;&gt;"TDN"),H2="CAL"), Q2*M2, IF(OR(AND(I2="TN", Q2&gt;2500), AND(I2="TDN", Q2&gt;2500)),MAX(Q2, AK2)*M2, IF(OR(AND(I2="TN", Q2&lt;=2500), AND(I2="TDN", Q2&lt;=2500)),MAX(Q2, AJ2,AK2)*M2, IF(OR(AND(I2="TP",Q2&gt;500), AND(I2="TDP", Q2&gt;500)),MAX(Q2,AK2)*M2,IF(OR(AND(I2="TP",Q2&lt;=150), AND(I2="TDP", Q2&lt;=150)),MAX(Q2,AG2:AI2,AK2)*M2,IF(OR(AND(I2="TP",Q2&lt;=300), AND(I2="TDP", Q2&lt;=300)),MAX(Q2,AH2,AI2,AK2)*M2,IF(OR(AND(I2="TP",Q2&lt;=500), AND(I2="TDP", Q2&lt;=500)),MAX(Q2,AI2,AK2)*M2,"")))))))</f>
        <v>0</v>
      </c>
      <c r="T2" s="10" t="s">
        <v>935</v>
      </c>
      <c r="U2" s="125">
        <v>45679</v>
      </c>
      <c r="V2" s="126">
        <f>0.857*O2^2+166*O2-84.808</f>
        <v>-6.598688700000011</v>
      </c>
      <c r="W2" s="124" t="s">
        <v>942</v>
      </c>
      <c r="AF2" s="32">
        <v>45678</v>
      </c>
      <c r="AG2" s="33">
        <v>0.375</v>
      </c>
      <c r="AH2" s="10" t="s">
        <v>70</v>
      </c>
      <c r="AI2" s="10" t="s">
        <v>71</v>
      </c>
      <c r="AJ2" s="10" t="s">
        <v>911</v>
      </c>
      <c r="AK2" s="10">
        <v>1</v>
      </c>
      <c r="AL2" s="10" t="s">
        <v>72</v>
      </c>
      <c r="AM2" s="10" t="s">
        <v>73</v>
      </c>
      <c r="AN2" s="10" t="s">
        <v>233</v>
      </c>
      <c r="AO2" s="10">
        <v>186</v>
      </c>
      <c r="AP2" s="12">
        <v>45679</v>
      </c>
      <c r="AQ2" s="33">
        <v>0.71876157407407415</v>
      </c>
      <c r="AR2" s="10">
        <v>1</v>
      </c>
      <c r="AS2" s="10" t="s">
        <v>194</v>
      </c>
      <c r="AT2" s="10">
        <v>14.5</v>
      </c>
      <c r="AU2" s="10">
        <v>0.72399999999999998</v>
      </c>
      <c r="AV2" s="10">
        <v>2500</v>
      </c>
      <c r="AW2" s="10" t="s">
        <v>168</v>
      </c>
      <c r="AX2" s="34">
        <f t="shared" ref="AX2:AX7" si="1">IF(OR(AND(AN2&lt;&gt;"TP", AN2&lt;&gt;"TDP",AN2&lt;&gt;"TN", AN2&lt;&gt;"TDN"),AM2="CAL"), AV2*AR2, IF(OR(AND(AN2="TN", AV2&gt;2500), AND(AN2="TDN", AV2&gt;2500)),MAX(AV2, BP2)*AR2, IF(OR(AND(AN2="TN", AV2&lt;=2500), AND(AN2="TDN", AV2&lt;=2500)),MAX(AV2, BO2,BP2)*AR2, IF(OR(AND(AN2="TP",AV2&gt;500), AND(AN2="TDP", AV2&gt;500)),MAX(AV2,BP2)*AR2,IF(OR(AND(AN2="TP",AV2&lt;=150), AND(AN2="TDP", AV2&lt;=150)),MAX(AV2,BL2:BN2,BP2)*AR2,IF(OR(AND(AN2="TP",AV2&lt;=300), AND(AN2="TDP", AV2&lt;=300)),MAX(AV2,BM2,BN2,BP2)*AR2,IF(OR(AND(AN2="TP",AV2&lt;=500), AND(AN2="TDP", AV2&lt;=500)),MAX(AV2,BN2,BP2)*AR2,"")))))))</f>
        <v>2500</v>
      </c>
      <c r="AY2" s="10" t="s">
        <v>935</v>
      </c>
      <c r="AZ2" s="125">
        <v>45679</v>
      </c>
      <c r="BA2" s="126">
        <f t="shared" ref="BA2" si="2">0.857*AT2^2+166*AT2-84.808</f>
        <v>2502.3762499999998</v>
      </c>
      <c r="BB2" s="124" t="s">
        <v>942</v>
      </c>
    </row>
    <row r="3" spans="1:54" x14ac:dyDescent="0.3">
      <c r="A3" s="32">
        <v>45678</v>
      </c>
      <c r="B3" s="33">
        <v>0.375</v>
      </c>
      <c r="C3" s="10" t="s">
        <v>70</v>
      </c>
      <c r="D3" s="10" t="s">
        <v>71</v>
      </c>
      <c r="E3" s="10" t="s">
        <v>907</v>
      </c>
      <c r="F3" s="10">
        <v>1</v>
      </c>
      <c r="G3" s="10" t="s">
        <v>72</v>
      </c>
      <c r="H3" s="10" t="s">
        <v>73</v>
      </c>
      <c r="I3" s="10" t="s">
        <v>233</v>
      </c>
      <c r="J3" s="10">
        <v>182</v>
      </c>
      <c r="K3" s="12">
        <v>45679</v>
      </c>
      <c r="L3" s="33">
        <v>0.71605324074074073</v>
      </c>
      <c r="M3" s="10">
        <v>1</v>
      </c>
      <c r="N3" s="10" t="s">
        <v>194</v>
      </c>
      <c r="O3" s="10">
        <v>0.78600000000000003</v>
      </c>
      <c r="P3" s="10">
        <v>3.9100000000000003E-2</v>
      </c>
      <c r="Q3" s="10">
        <v>30</v>
      </c>
      <c r="R3" s="10" t="s">
        <v>168</v>
      </c>
      <c r="S3" s="123">
        <f t="shared" si="0"/>
        <v>30</v>
      </c>
      <c r="T3" s="10" t="s">
        <v>935</v>
      </c>
      <c r="U3" s="125">
        <v>45679</v>
      </c>
      <c r="V3" s="126">
        <f t="shared" ref="V3:V7" si="3">0.857*O3^2+166*O3-84.808</f>
        <v>46.197451171999987</v>
      </c>
      <c r="W3" s="124" t="s">
        <v>942</v>
      </c>
      <c r="AF3" s="127">
        <v>45680</v>
      </c>
      <c r="AG3" s="128">
        <v>0.375</v>
      </c>
      <c r="AH3" s="31" t="s">
        <v>70</v>
      </c>
      <c r="AI3" s="31" t="s">
        <v>71</v>
      </c>
      <c r="AJ3" s="31" t="s">
        <v>911</v>
      </c>
      <c r="AK3" s="31">
        <v>1</v>
      </c>
      <c r="AL3" s="31" t="s">
        <v>72</v>
      </c>
      <c r="AM3" s="31" t="s">
        <v>73</v>
      </c>
      <c r="AN3" s="31" t="s">
        <v>233</v>
      </c>
      <c r="AO3" s="31">
        <v>186</v>
      </c>
      <c r="AP3" s="129">
        <v>45681</v>
      </c>
      <c r="AQ3" s="128">
        <v>0.58734953703703707</v>
      </c>
      <c r="AR3" s="31">
        <v>1</v>
      </c>
      <c r="AS3" s="31" t="s">
        <v>194</v>
      </c>
      <c r="AT3" s="31">
        <v>11.2</v>
      </c>
      <c r="AU3" s="31">
        <v>0.64</v>
      </c>
      <c r="AV3" s="31">
        <v>2500</v>
      </c>
      <c r="AW3" s="31" t="s">
        <v>168</v>
      </c>
      <c r="AX3" s="34">
        <f t="shared" si="1"/>
        <v>2500</v>
      </c>
      <c r="AY3" s="31" t="s">
        <v>943</v>
      </c>
      <c r="AZ3" s="130">
        <v>45681</v>
      </c>
      <c r="BA3" s="131">
        <f t="shared" ref="BA3" si="4">2.5732*AT3^2+201.29*AT3-76.99</f>
        <v>2500.2402080000002</v>
      </c>
      <c r="BB3" s="132" t="s">
        <v>945</v>
      </c>
    </row>
    <row r="4" spans="1:54" x14ac:dyDescent="0.3">
      <c r="A4" s="32">
        <v>45678</v>
      </c>
      <c r="B4" s="33">
        <v>0.375</v>
      </c>
      <c r="C4" s="10" t="s">
        <v>70</v>
      </c>
      <c r="D4" s="10" t="s">
        <v>71</v>
      </c>
      <c r="E4" s="10" t="s">
        <v>908</v>
      </c>
      <c r="F4" s="10">
        <v>1</v>
      </c>
      <c r="G4" s="10" t="s">
        <v>72</v>
      </c>
      <c r="H4" s="10" t="s">
        <v>73</v>
      </c>
      <c r="I4" s="10" t="s">
        <v>233</v>
      </c>
      <c r="J4" s="10">
        <v>183</v>
      </c>
      <c r="K4" s="12">
        <v>45679</v>
      </c>
      <c r="L4" s="33">
        <v>0.72079861111111121</v>
      </c>
      <c r="M4" s="10">
        <v>1</v>
      </c>
      <c r="N4" s="10" t="s">
        <v>194</v>
      </c>
      <c r="O4" s="10">
        <v>1.1299999999999999</v>
      </c>
      <c r="P4" s="10">
        <v>5.5500000000000001E-2</v>
      </c>
      <c r="Q4" s="10">
        <v>125</v>
      </c>
      <c r="R4" s="10" t="s">
        <v>168</v>
      </c>
      <c r="S4" s="123">
        <f t="shared" si="0"/>
        <v>125</v>
      </c>
      <c r="T4" s="10" t="s">
        <v>935</v>
      </c>
      <c r="U4" s="125">
        <v>45679</v>
      </c>
      <c r="V4" s="126">
        <f t="shared" si="3"/>
        <v>103.86630329999998</v>
      </c>
      <c r="W4" s="124" t="s">
        <v>942</v>
      </c>
      <c r="AF4" s="32">
        <v>45685</v>
      </c>
      <c r="AG4" s="33">
        <v>0.375</v>
      </c>
      <c r="AH4" s="10" t="s">
        <v>70</v>
      </c>
      <c r="AI4" s="10" t="s">
        <v>71</v>
      </c>
      <c r="AJ4" s="10" t="s">
        <v>911</v>
      </c>
      <c r="AK4" s="10">
        <v>1</v>
      </c>
      <c r="AL4" s="10" t="s">
        <v>72</v>
      </c>
      <c r="AM4" s="10" t="s">
        <v>73</v>
      </c>
      <c r="AN4" s="10" t="s">
        <v>233</v>
      </c>
      <c r="AO4" s="10">
        <v>186</v>
      </c>
      <c r="AP4" s="12">
        <v>45686</v>
      </c>
      <c r="AQ4" s="33">
        <v>0.71317129629629628</v>
      </c>
      <c r="AR4" s="10">
        <v>1</v>
      </c>
      <c r="AS4" s="10" t="s">
        <v>194</v>
      </c>
      <c r="AT4" s="10">
        <v>10.6</v>
      </c>
      <c r="AU4" s="10">
        <v>0.71899999999999997</v>
      </c>
      <c r="AV4" s="10">
        <v>2500</v>
      </c>
      <c r="AW4" s="10" t="s">
        <v>168</v>
      </c>
      <c r="AX4" s="123">
        <f t="shared" si="1"/>
        <v>2500</v>
      </c>
      <c r="AY4" s="10" t="s">
        <v>957</v>
      </c>
      <c r="AZ4" s="125">
        <v>45686</v>
      </c>
      <c r="BA4" s="126">
        <f t="shared" ref="BA4" si="5">-0.1957*AT4^2+248.26*AT4-106.67</f>
        <v>2502.897148</v>
      </c>
      <c r="BB4" s="124" t="s">
        <v>960</v>
      </c>
    </row>
    <row r="5" spans="1:54" x14ac:dyDescent="0.3">
      <c r="A5" s="32">
        <v>45678</v>
      </c>
      <c r="B5" s="33">
        <v>0.375</v>
      </c>
      <c r="C5" s="10" t="s">
        <v>70</v>
      </c>
      <c r="D5" s="10" t="s">
        <v>71</v>
      </c>
      <c r="E5" s="10" t="s">
        <v>909</v>
      </c>
      <c r="F5" s="10">
        <v>1</v>
      </c>
      <c r="G5" s="10" t="s">
        <v>72</v>
      </c>
      <c r="H5" s="10" t="s">
        <v>73</v>
      </c>
      <c r="I5" s="10" t="s">
        <v>233</v>
      </c>
      <c r="J5" s="10">
        <v>184</v>
      </c>
      <c r="K5" s="12">
        <v>45679</v>
      </c>
      <c r="L5" s="33">
        <v>0.71740740740740738</v>
      </c>
      <c r="M5" s="10">
        <v>1</v>
      </c>
      <c r="N5" s="10" t="s">
        <v>194</v>
      </c>
      <c r="O5" s="10">
        <v>3.59</v>
      </c>
      <c r="P5" s="10">
        <v>0.17899999999999999</v>
      </c>
      <c r="Q5" s="10">
        <v>500</v>
      </c>
      <c r="R5" s="10" t="s">
        <v>168</v>
      </c>
      <c r="S5" s="123">
        <f t="shared" si="0"/>
        <v>500</v>
      </c>
      <c r="T5" s="10" t="s">
        <v>935</v>
      </c>
      <c r="U5" s="125">
        <v>45679</v>
      </c>
      <c r="V5" s="126">
        <f t="shared" si="3"/>
        <v>522.17710169999998</v>
      </c>
      <c r="W5" s="124" t="s">
        <v>942</v>
      </c>
      <c r="AF5" s="127">
        <v>45692</v>
      </c>
      <c r="AG5" s="128">
        <v>0.375</v>
      </c>
      <c r="AH5" s="31" t="s">
        <v>70</v>
      </c>
      <c r="AI5" s="31" t="s">
        <v>71</v>
      </c>
      <c r="AJ5" s="31" t="s">
        <v>911</v>
      </c>
      <c r="AK5" s="31">
        <v>1</v>
      </c>
      <c r="AL5" s="31" t="s">
        <v>72</v>
      </c>
      <c r="AM5" s="31" t="s">
        <v>73</v>
      </c>
      <c r="AN5" s="31" t="s">
        <v>233</v>
      </c>
      <c r="AO5" s="31">
        <v>186</v>
      </c>
      <c r="AP5" s="129">
        <v>45693</v>
      </c>
      <c r="AQ5" s="128">
        <v>0.41974537037037035</v>
      </c>
      <c r="AR5" s="31">
        <v>1</v>
      </c>
      <c r="AS5" s="31" t="s">
        <v>194</v>
      </c>
      <c r="AT5" s="31">
        <v>14.7</v>
      </c>
      <c r="AU5" s="31">
        <v>0.72</v>
      </c>
      <c r="AV5" s="31">
        <v>2500</v>
      </c>
      <c r="AW5" s="31" t="s">
        <v>168</v>
      </c>
      <c r="AX5" s="34">
        <f t="shared" si="1"/>
        <v>2500</v>
      </c>
      <c r="AY5" s="31" t="s">
        <v>969</v>
      </c>
      <c r="AZ5" s="130">
        <v>45693</v>
      </c>
      <c r="BA5" s="131">
        <f t="shared" ref="BA5" si="6">0.1329*AT5^2+176.31*AT5-116.96</f>
        <v>2503.5153610000002</v>
      </c>
      <c r="BB5" s="132" t="s">
        <v>971</v>
      </c>
    </row>
    <row r="6" spans="1:54" x14ac:dyDescent="0.3">
      <c r="A6" s="32">
        <v>45678</v>
      </c>
      <c r="B6" s="33">
        <v>0.375</v>
      </c>
      <c r="C6" s="10" t="s">
        <v>70</v>
      </c>
      <c r="D6" s="10" t="s">
        <v>71</v>
      </c>
      <c r="E6" s="10" t="s">
        <v>910</v>
      </c>
      <c r="F6" s="10">
        <v>1</v>
      </c>
      <c r="G6" s="10" t="s">
        <v>72</v>
      </c>
      <c r="H6" s="10" t="s">
        <v>73</v>
      </c>
      <c r="I6" s="10" t="s">
        <v>233</v>
      </c>
      <c r="J6" s="10">
        <v>185</v>
      </c>
      <c r="K6" s="12">
        <v>45679</v>
      </c>
      <c r="L6" s="33">
        <v>0.71807870370370364</v>
      </c>
      <c r="M6" s="10">
        <v>1</v>
      </c>
      <c r="N6" s="10" t="s">
        <v>194</v>
      </c>
      <c r="O6" s="10">
        <v>7.66</v>
      </c>
      <c r="P6" s="10">
        <v>0.38</v>
      </c>
      <c r="Q6" s="10">
        <v>1250</v>
      </c>
      <c r="R6" s="10" t="s">
        <v>168</v>
      </c>
      <c r="S6" s="123">
        <f t="shared" si="0"/>
        <v>1250</v>
      </c>
      <c r="T6" s="10" t="s">
        <v>935</v>
      </c>
      <c r="U6" s="125">
        <v>45679</v>
      </c>
      <c r="V6" s="126">
        <f t="shared" si="3"/>
        <v>1237.0369891999999</v>
      </c>
      <c r="W6" s="124" t="s">
        <v>942</v>
      </c>
      <c r="AF6" s="119">
        <v>45699</v>
      </c>
      <c r="AG6" s="120">
        <v>0.375</v>
      </c>
      <c r="AH6" s="121" t="s">
        <v>70</v>
      </c>
      <c r="AI6" s="121" t="s">
        <v>71</v>
      </c>
      <c r="AJ6" s="121" t="s">
        <v>911</v>
      </c>
      <c r="AK6" s="121">
        <v>1</v>
      </c>
      <c r="AL6" s="121" t="s">
        <v>72</v>
      </c>
      <c r="AM6" s="121" t="s">
        <v>73</v>
      </c>
      <c r="AN6" s="121" t="s">
        <v>233</v>
      </c>
      <c r="AO6" s="121">
        <v>186</v>
      </c>
      <c r="AP6" s="122">
        <v>45700</v>
      </c>
      <c r="AQ6" s="120">
        <v>0.41843750000000002</v>
      </c>
      <c r="AR6" s="121">
        <v>1</v>
      </c>
      <c r="AS6" s="121" t="s">
        <v>194</v>
      </c>
      <c r="AT6" s="121">
        <v>10.9</v>
      </c>
      <c r="AU6" s="121">
        <v>0.69</v>
      </c>
      <c r="AV6" s="121">
        <v>2500</v>
      </c>
      <c r="AW6" s="121" t="s">
        <v>168</v>
      </c>
      <c r="AX6" s="123">
        <f t="shared" si="1"/>
        <v>2500</v>
      </c>
      <c r="AY6" s="10" t="s">
        <v>977</v>
      </c>
      <c r="AZ6" s="125">
        <v>45700</v>
      </c>
      <c r="BA6" s="126">
        <f t="shared" ref="BA6" si="7">0.3081*AT6^2+237.89*AT6-127.61</f>
        <v>2501.9963609999995</v>
      </c>
      <c r="BB6" s="124" t="s">
        <v>979</v>
      </c>
    </row>
    <row r="7" spans="1:54" x14ac:dyDescent="0.3">
      <c r="A7" s="32">
        <v>45678</v>
      </c>
      <c r="B7" s="33">
        <v>0.375</v>
      </c>
      <c r="C7" s="10" t="s">
        <v>70</v>
      </c>
      <c r="D7" s="10" t="s">
        <v>71</v>
      </c>
      <c r="E7" s="10" t="s">
        <v>911</v>
      </c>
      <c r="F7" s="10">
        <v>1</v>
      </c>
      <c r="G7" s="10" t="s">
        <v>72</v>
      </c>
      <c r="H7" s="10" t="s">
        <v>73</v>
      </c>
      <c r="I7" s="10" t="s">
        <v>233</v>
      </c>
      <c r="J7" s="10">
        <v>186</v>
      </c>
      <c r="K7" s="12">
        <v>45679</v>
      </c>
      <c r="L7" s="33">
        <v>0.71876157407407415</v>
      </c>
      <c r="M7" s="10">
        <v>1</v>
      </c>
      <c r="N7" s="10" t="s">
        <v>194</v>
      </c>
      <c r="O7" s="10">
        <v>14.5</v>
      </c>
      <c r="P7" s="10">
        <v>0.72399999999999998</v>
      </c>
      <c r="Q7" s="10">
        <v>2500</v>
      </c>
      <c r="R7" s="10" t="s">
        <v>168</v>
      </c>
      <c r="S7" s="123">
        <f t="shared" si="0"/>
        <v>2500</v>
      </c>
      <c r="T7" s="10" t="s">
        <v>935</v>
      </c>
      <c r="U7" s="125">
        <v>45679</v>
      </c>
      <c r="V7" s="126">
        <f t="shared" si="3"/>
        <v>2502.3762499999998</v>
      </c>
      <c r="W7" s="124" t="s">
        <v>942</v>
      </c>
      <c r="AF7" s="127">
        <v>45707</v>
      </c>
      <c r="AG7" s="128">
        <v>0.375</v>
      </c>
      <c r="AH7" s="31" t="s">
        <v>70</v>
      </c>
      <c r="AI7" s="31" t="s">
        <v>71</v>
      </c>
      <c r="AJ7" s="31" t="s">
        <v>911</v>
      </c>
      <c r="AK7" s="31">
        <v>1</v>
      </c>
      <c r="AL7" s="31" t="s">
        <v>72</v>
      </c>
      <c r="AM7" s="31" t="s">
        <v>73</v>
      </c>
      <c r="AN7" s="31" t="s">
        <v>233</v>
      </c>
      <c r="AO7" s="31">
        <v>186</v>
      </c>
      <c r="AP7" s="129">
        <v>45719</v>
      </c>
      <c r="AQ7" s="128">
        <v>0.46435185185185185</v>
      </c>
      <c r="AR7" s="31">
        <v>1</v>
      </c>
      <c r="AS7" s="31" t="s">
        <v>194</v>
      </c>
      <c r="AT7" s="31">
        <v>14.7</v>
      </c>
      <c r="AU7" s="31">
        <v>0.71699999999999997</v>
      </c>
      <c r="AV7" s="31">
        <v>2500</v>
      </c>
      <c r="AW7" s="31" t="s">
        <v>168</v>
      </c>
      <c r="AX7" s="34">
        <f t="shared" si="1"/>
        <v>2500</v>
      </c>
      <c r="AY7" s="31" t="s">
        <v>985</v>
      </c>
      <c r="AZ7" s="130">
        <v>45719</v>
      </c>
      <c r="BA7" s="131">
        <f t="shared" ref="BA7" si="8">-0.2376*AT7^2+181.4*AT7-114.93</f>
        <v>2500.3070160000002</v>
      </c>
      <c r="BB7" s="132" t="s">
        <v>986</v>
      </c>
    </row>
    <row r="8" spans="1:54" x14ac:dyDescent="0.3">
      <c r="A8" s="127">
        <v>45680</v>
      </c>
      <c r="B8" s="128">
        <v>0.375</v>
      </c>
      <c r="C8" s="31" t="s">
        <v>70</v>
      </c>
      <c r="D8" s="31" t="s">
        <v>71</v>
      </c>
      <c r="E8" s="31" t="s">
        <v>906</v>
      </c>
      <c r="F8" s="31">
        <v>1</v>
      </c>
      <c r="G8" s="31" t="s">
        <v>72</v>
      </c>
      <c r="H8" s="31" t="s">
        <v>73</v>
      </c>
      <c r="I8" s="31" t="s">
        <v>233</v>
      </c>
      <c r="J8" s="31">
        <v>181</v>
      </c>
      <c r="K8" s="129">
        <v>45681</v>
      </c>
      <c r="L8" s="128">
        <v>0.5839699074074074</v>
      </c>
      <c r="M8" s="31">
        <v>1</v>
      </c>
      <c r="N8" s="31" t="s">
        <v>194</v>
      </c>
      <c r="O8" s="31">
        <v>0.39500000000000002</v>
      </c>
      <c r="P8" s="31">
        <v>2.18E-2</v>
      </c>
      <c r="Q8" s="31">
        <v>0</v>
      </c>
      <c r="R8" s="31" t="s">
        <v>168</v>
      </c>
      <c r="S8" s="34">
        <f t="shared" si="0"/>
        <v>0</v>
      </c>
      <c r="T8" s="31" t="s">
        <v>943</v>
      </c>
      <c r="U8" s="130">
        <v>45681</v>
      </c>
      <c r="V8" s="131">
        <f>2.5732*O8^2+201.29*O8-76.99</f>
        <v>2.9210335300000025</v>
      </c>
      <c r="W8" s="132" t="s">
        <v>945</v>
      </c>
    </row>
    <row r="9" spans="1:54" x14ac:dyDescent="0.3">
      <c r="A9" s="127">
        <v>45680</v>
      </c>
      <c r="B9" s="128">
        <v>0.375</v>
      </c>
      <c r="C9" s="31" t="s">
        <v>70</v>
      </c>
      <c r="D9" s="31" t="s">
        <v>71</v>
      </c>
      <c r="E9" s="31" t="s">
        <v>907</v>
      </c>
      <c r="F9" s="31">
        <v>1</v>
      </c>
      <c r="G9" s="31" t="s">
        <v>72</v>
      </c>
      <c r="H9" s="31" t="s">
        <v>73</v>
      </c>
      <c r="I9" s="31" t="s">
        <v>233</v>
      </c>
      <c r="J9" s="31">
        <v>182</v>
      </c>
      <c r="K9" s="129">
        <v>45681</v>
      </c>
      <c r="L9" s="128">
        <v>0.58464120370370376</v>
      </c>
      <c r="M9" s="31">
        <v>1</v>
      </c>
      <c r="N9" s="31" t="s">
        <v>194</v>
      </c>
      <c r="O9" s="31">
        <v>0.51900000000000002</v>
      </c>
      <c r="P9" s="31">
        <v>2.8400000000000002E-2</v>
      </c>
      <c r="Q9" s="31">
        <v>30</v>
      </c>
      <c r="R9" s="31" t="s">
        <v>168</v>
      </c>
      <c r="S9" s="34">
        <f t="shared" si="0"/>
        <v>30</v>
      </c>
      <c r="T9" s="31" t="s">
        <v>943</v>
      </c>
      <c r="U9" s="130">
        <v>45681</v>
      </c>
      <c r="V9" s="131">
        <f t="shared" ref="V9:V13" si="9">2.5732*O9^2+201.29*O9-76.99</f>
        <v>28.172629725200011</v>
      </c>
      <c r="W9" s="132" t="s">
        <v>945</v>
      </c>
    </row>
    <row r="10" spans="1:54" x14ac:dyDescent="0.3">
      <c r="A10" s="127">
        <v>45680</v>
      </c>
      <c r="B10" s="128">
        <v>0.375</v>
      </c>
      <c r="C10" s="31" t="s">
        <v>70</v>
      </c>
      <c r="D10" s="31" t="s">
        <v>71</v>
      </c>
      <c r="E10" s="31" t="s">
        <v>908</v>
      </c>
      <c r="F10" s="31">
        <v>1</v>
      </c>
      <c r="G10" s="31" t="s">
        <v>72</v>
      </c>
      <c r="H10" s="31" t="s">
        <v>73</v>
      </c>
      <c r="I10" s="31" t="s">
        <v>233</v>
      </c>
      <c r="J10" s="31">
        <v>183</v>
      </c>
      <c r="K10" s="129">
        <v>45681</v>
      </c>
      <c r="L10" s="128">
        <v>0.58531250000000001</v>
      </c>
      <c r="M10" s="31">
        <v>1</v>
      </c>
      <c r="N10" s="31" t="s">
        <v>194</v>
      </c>
      <c r="O10" s="31">
        <v>0.97799999999999998</v>
      </c>
      <c r="P10" s="31">
        <v>5.5500000000000001E-2</v>
      </c>
      <c r="Q10" s="31">
        <v>125</v>
      </c>
      <c r="R10" s="31" t="s">
        <v>168</v>
      </c>
      <c r="S10" s="34">
        <f t="shared" si="0"/>
        <v>125</v>
      </c>
      <c r="T10" s="31" t="s">
        <v>943</v>
      </c>
      <c r="U10" s="130">
        <v>45681</v>
      </c>
      <c r="V10" s="131">
        <f t="shared" si="9"/>
        <v>122.3328446288</v>
      </c>
      <c r="W10" s="132" t="s">
        <v>945</v>
      </c>
    </row>
    <row r="11" spans="1:54" x14ac:dyDescent="0.3">
      <c r="A11" s="127">
        <v>45680</v>
      </c>
      <c r="B11" s="128">
        <v>0.375</v>
      </c>
      <c r="C11" s="31" t="s">
        <v>70</v>
      </c>
      <c r="D11" s="31" t="s">
        <v>71</v>
      </c>
      <c r="E11" s="31" t="s">
        <v>909</v>
      </c>
      <c r="F11" s="31">
        <v>1</v>
      </c>
      <c r="G11" s="31" t="s">
        <v>72</v>
      </c>
      <c r="H11" s="31" t="s">
        <v>73</v>
      </c>
      <c r="I11" s="31" t="s">
        <v>233</v>
      </c>
      <c r="J11" s="31">
        <v>184</v>
      </c>
      <c r="K11" s="129">
        <v>45681</v>
      </c>
      <c r="L11" s="128">
        <v>0.58599537037037031</v>
      </c>
      <c r="M11" s="31">
        <v>1</v>
      </c>
      <c r="N11" s="31" t="s">
        <v>194</v>
      </c>
      <c r="O11" s="31">
        <v>2.78</v>
      </c>
      <c r="P11" s="31">
        <v>0.158</v>
      </c>
      <c r="Q11" s="31">
        <v>500</v>
      </c>
      <c r="R11" s="31" t="s">
        <v>168</v>
      </c>
      <c r="S11" s="34">
        <f t="shared" si="0"/>
        <v>500</v>
      </c>
      <c r="T11" s="31" t="s">
        <v>943</v>
      </c>
      <c r="U11" s="130">
        <v>45681</v>
      </c>
      <c r="V11" s="131">
        <f t="shared" si="9"/>
        <v>502.48291887999994</v>
      </c>
      <c r="W11" s="132" t="s">
        <v>945</v>
      </c>
    </row>
    <row r="12" spans="1:54" x14ac:dyDescent="0.3">
      <c r="A12" s="127">
        <v>45680</v>
      </c>
      <c r="B12" s="128">
        <v>0.375</v>
      </c>
      <c r="C12" s="31" t="s">
        <v>70</v>
      </c>
      <c r="D12" s="31" t="s">
        <v>71</v>
      </c>
      <c r="E12" s="31" t="s">
        <v>910</v>
      </c>
      <c r="F12" s="31">
        <v>1</v>
      </c>
      <c r="G12" s="31" t="s">
        <v>72</v>
      </c>
      <c r="H12" s="31" t="s">
        <v>73</v>
      </c>
      <c r="I12" s="31" t="s">
        <v>233</v>
      </c>
      <c r="J12" s="31">
        <v>185</v>
      </c>
      <c r="K12" s="129">
        <v>45681</v>
      </c>
      <c r="L12" s="128">
        <v>0.58666666666666667</v>
      </c>
      <c r="M12" s="31">
        <v>1</v>
      </c>
      <c r="N12" s="31" t="s">
        <v>194</v>
      </c>
      <c r="O12" s="31">
        <v>6.11</v>
      </c>
      <c r="P12" s="31">
        <v>0.34699999999999998</v>
      </c>
      <c r="Q12" s="31">
        <v>1250</v>
      </c>
      <c r="R12" s="31" t="s">
        <v>168</v>
      </c>
      <c r="S12" s="34">
        <f t="shared" si="0"/>
        <v>1250</v>
      </c>
      <c r="T12" s="31" t="s">
        <v>943</v>
      </c>
      <c r="U12" s="130">
        <v>45681</v>
      </c>
      <c r="V12" s="131">
        <f t="shared" si="9"/>
        <v>1248.9548597200001</v>
      </c>
      <c r="W12" s="132" t="s">
        <v>945</v>
      </c>
    </row>
    <row r="13" spans="1:54" x14ac:dyDescent="0.3">
      <c r="A13" s="127">
        <v>45680</v>
      </c>
      <c r="B13" s="128">
        <v>0.375</v>
      </c>
      <c r="C13" s="31" t="s">
        <v>70</v>
      </c>
      <c r="D13" s="31" t="s">
        <v>71</v>
      </c>
      <c r="E13" s="31" t="s">
        <v>911</v>
      </c>
      <c r="F13" s="31">
        <v>1</v>
      </c>
      <c r="G13" s="31" t="s">
        <v>72</v>
      </c>
      <c r="H13" s="31" t="s">
        <v>73</v>
      </c>
      <c r="I13" s="31" t="s">
        <v>233</v>
      </c>
      <c r="J13" s="31">
        <v>186</v>
      </c>
      <c r="K13" s="129">
        <v>45681</v>
      </c>
      <c r="L13" s="128">
        <v>0.58734953703703707</v>
      </c>
      <c r="M13" s="31">
        <v>1</v>
      </c>
      <c r="N13" s="31" t="s">
        <v>194</v>
      </c>
      <c r="O13" s="31">
        <v>11.2</v>
      </c>
      <c r="P13" s="31">
        <v>0.64</v>
      </c>
      <c r="Q13" s="31">
        <v>2500</v>
      </c>
      <c r="R13" s="31" t="s">
        <v>168</v>
      </c>
      <c r="S13" s="34">
        <f t="shared" si="0"/>
        <v>2500</v>
      </c>
      <c r="T13" s="31" t="s">
        <v>943</v>
      </c>
      <c r="U13" s="130">
        <v>45681</v>
      </c>
      <c r="V13" s="131">
        <f t="shared" si="9"/>
        <v>2500.2402080000002</v>
      </c>
      <c r="W13" s="132" t="s">
        <v>945</v>
      </c>
    </row>
    <row r="14" spans="1:54" x14ac:dyDescent="0.3">
      <c r="A14" s="32">
        <v>45685</v>
      </c>
      <c r="B14" s="33">
        <v>0.375</v>
      </c>
      <c r="C14" s="10" t="s">
        <v>70</v>
      </c>
      <c r="D14" s="10" t="s">
        <v>71</v>
      </c>
      <c r="E14" s="10" t="s">
        <v>906</v>
      </c>
      <c r="F14" s="10">
        <v>1</v>
      </c>
      <c r="G14" s="10" t="s">
        <v>72</v>
      </c>
      <c r="H14" s="10" t="s">
        <v>73</v>
      </c>
      <c r="I14" s="10" t="s">
        <v>233</v>
      </c>
      <c r="J14" s="10">
        <v>181</v>
      </c>
      <c r="K14" s="12">
        <v>45686</v>
      </c>
      <c r="L14" s="33">
        <v>0.71520833333333333</v>
      </c>
      <c r="M14" s="10">
        <v>1</v>
      </c>
      <c r="N14" s="10" t="s">
        <v>194</v>
      </c>
      <c r="O14" s="10">
        <v>0.42899999999999999</v>
      </c>
      <c r="P14" s="10">
        <v>2.8299999999999999E-2</v>
      </c>
      <c r="Q14" s="10">
        <v>0</v>
      </c>
      <c r="R14" s="10" t="s">
        <v>168</v>
      </c>
      <c r="S14" s="123">
        <f t="shared" si="0"/>
        <v>0</v>
      </c>
      <c r="T14" s="10" t="s">
        <v>957</v>
      </c>
      <c r="U14" s="125">
        <v>45686</v>
      </c>
      <c r="V14" s="126">
        <f>-0.1957*O14^2+248.26*O14-106.67</f>
        <v>-0.20247682369999609</v>
      </c>
      <c r="W14" s="124" t="s">
        <v>960</v>
      </c>
    </row>
    <row r="15" spans="1:54" x14ac:dyDescent="0.3">
      <c r="A15" s="32">
        <v>45685</v>
      </c>
      <c r="B15" s="33">
        <v>0.375</v>
      </c>
      <c r="C15" s="10" t="s">
        <v>70</v>
      </c>
      <c r="D15" s="10" t="s">
        <v>71</v>
      </c>
      <c r="E15" s="10" t="s">
        <v>907</v>
      </c>
      <c r="F15" s="10">
        <v>1</v>
      </c>
      <c r="G15" s="10" t="s">
        <v>72</v>
      </c>
      <c r="H15" s="10" t="s">
        <v>73</v>
      </c>
      <c r="I15" s="10" t="s">
        <v>233</v>
      </c>
      <c r="J15" s="10">
        <v>182</v>
      </c>
      <c r="K15" s="12">
        <v>45686</v>
      </c>
      <c r="L15" s="33">
        <v>0.71045138888888892</v>
      </c>
      <c r="M15" s="10">
        <v>1</v>
      </c>
      <c r="N15" s="10" t="s">
        <v>194</v>
      </c>
      <c r="O15" s="10">
        <v>0.49399999999999999</v>
      </c>
      <c r="P15" s="10">
        <v>3.1E-2</v>
      </c>
      <c r="Q15" s="10">
        <v>30</v>
      </c>
      <c r="R15" s="10" t="s">
        <v>168</v>
      </c>
      <c r="S15" s="123">
        <f t="shared" si="0"/>
        <v>30</v>
      </c>
      <c r="T15" s="10" t="s">
        <v>957</v>
      </c>
      <c r="U15" s="125">
        <v>45686</v>
      </c>
      <c r="V15" s="126">
        <f t="shared" ref="V15:V19" si="10">-0.1957*O15^2+248.26*O15-106.67</f>
        <v>15.9226821548</v>
      </c>
      <c r="W15" s="124" t="s">
        <v>960</v>
      </c>
    </row>
    <row r="16" spans="1:54" x14ac:dyDescent="0.3">
      <c r="A16" s="32">
        <v>45685</v>
      </c>
      <c r="B16" s="33">
        <v>0.375</v>
      </c>
      <c r="C16" s="10" t="s">
        <v>70</v>
      </c>
      <c r="D16" s="10" t="s">
        <v>71</v>
      </c>
      <c r="E16" s="10" t="s">
        <v>908</v>
      </c>
      <c r="F16" s="10">
        <v>1</v>
      </c>
      <c r="G16" s="10" t="s">
        <v>72</v>
      </c>
      <c r="H16" s="10" t="s">
        <v>73</v>
      </c>
      <c r="I16" s="10" t="s">
        <v>233</v>
      </c>
      <c r="J16" s="10">
        <v>183</v>
      </c>
      <c r="K16" s="12">
        <v>45686</v>
      </c>
      <c r="L16" s="33">
        <v>0.71113425925925933</v>
      </c>
      <c r="M16" s="10">
        <v>1</v>
      </c>
      <c r="N16" s="10" t="s">
        <v>194</v>
      </c>
      <c r="O16" s="10">
        <v>0.94599999999999995</v>
      </c>
      <c r="P16" s="10">
        <v>6.13E-2</v>
      </c>
      <c r="Q16" s="10">
        <v>125</v>
      </c>
      <c r="R16" s="10" t="s">
        <v>168</v>
      </c>
      <c r="S16" s="123">
        <f t="shared" si="0"/>
        <v>125</v>
      </c>
      <c r="T16" s="10" t="s">
        <v>957</v>
      </c>
      <c r="U16" s="125">
        <v>45686</v>
      </c>
      <c r="V16" s="126">
        <f t="shared" si="10"/>
        <v>128.00882493879999</v>
      </c>
      <c r="W16" s="124" t="s">
        <v>960</v>
      </c>
    </row>
    <row r="17" spans="1:23" x14ac:dyDescent="0.3">
      <c r="A17" s="32">
        <v>45685</v>
      </c>
      <c r="B17" s="33">
        <v>0.375</v>
      </c>
      <c r="C17" s="10" t="s">
        <v>70</v>
      </c>
      <c r="D17" s="10" t="s">
        <v>71</v>
      </c>
      <c r="E17" s="10" t="s">
        <v>909</v>
      </c>
      <c r="F17" s="10">
        <v>1</v>
      </c>
      <c r="G17" s="10" t="s">
        <v>72</v>
      </c>
      <c r="H17" s="10" t="s">
        <v>73</v>
      </c>
      <c r="I17" s="10" t="s">
        <v>233</v>
      </c>
      <c r="J17" s="10">
        <v>184</v>
      </c>
      <c r="K17" s="12">
        <v>45686</v>
      </c>
      <c r="L17" s="33">
        <v>0.71180555555555547</v>
      </c>
      <c r="M17" s="10">
        <v>1</v>
      </c>
      <c r="N17" s="10" t="s">
        <v>194</v>
      </c>
      <c r="O17" s="10">
        <v>2.5499999999999998</v>
      </c>
      <c r="P17" s="10">
        <v>0.16300000000000001</v>
      </c>
      <c r="Q17" s="10">
        <v>500</v>
      </c>
      <c r="R17" s="10" t="s">
        <v>168</v>
      </c>
      <c r="S17" s="123">
        <f t="shared" si="0"/>
        <v>500</v>
      </c>
      <c r="T17" s="10" t="s">
        <v>957</v>
      </c>
      <c r="U17" s="125">
        <v>45686</v>
      </c>
      <c r="V17" s="126">
        <f t="shared" si="10"/>
        <v>525.12046075000001</v>
      </c>
      <c r="W17" s="124" t="s">
        <v>960</v>
      </c>
    </row>
    <row r="18" spans="1:23" x14ac:dyDescent="0.3">
      <c r="A18" s="32">
        <v>45685</v>
      </c>
      <c r="B18" s="33">
        <v>0.375</v>
      </c>
      <c r="C18" s="10" t="s">
        <v>70</v>
      </c>
      <c r="D18" s="10" t="s">
        <v>71</v>
      </c>
      <c r="E18" s="10" t="s">
        <v>910</v>
      </c>
      <c r="F18" s="10">
        <v>1</v>
      </c>
      <c r="G18" s="10" t="s">
        <v>72</v>
      </c>
      <c r="H18" s="10" t="s">
        <v>73</v>
      </c>
      <c r="I18" s="10" t="s">
        <v>233</v>
      </c>
      <c r="J18" s="10">
        <v>185</v>
      </c>
      <c r="K18" s="12">
        <v>45686</v>
      </c>
      <c r="L18" s="33">
        <v>0.71248842592592598</v>
      </c>
      <c r="M18" s="10">
        <v>1</v>
      </c>
      <c r="N18" s="10" t="s">
        <v>194</v>
      </c>
      <c r="O18" s="10">
        <v>5.42</v>
      </c>
      <c r="P18" s="10">
        <v>0.34899999999999998</v>
      </c>
      <c r="Q18" s="10">
        <v>1250</v>
      </c>
      <c r="R18" s="10" t="s">
        <v>168</v>
      </c>
      <c r="S18" s="123">
        <f t="shared" si="0"/>
        <v>1250</v>
      </c>
      <c r="T18" s="10" t="s">
        <v>957</v>
      </c>
      <c r="U18" s="125">
        <v>45686</v>
      </c>
      <c r="V18" s="126">
        <f t="shared" si="10"/>
        <v>1233.1502385199999</v>
      </c>
      <c r="W18" s="124" t="s">
        <v>960</v>
      </c>
    </row>
    <row r="19" spans="1:23" x14ac:dyDescent="0.3">
      <c r="A19" s="32">
        <v>45685</v>
      </c>
      <c r="B19" s="33">
        <v>0.375</v>
      </c>
      <c r="C19" s="10" t="s">
        <v>70</v>
      </c>
      <c r="D19" s="10" t="s">
        <v>71</v>
      </c>
      <c r="E19" s="10" t="s">
        <v>911</v>
      </c>
      <c r="F19" s="10">
        <v>1</v>
      </c>
      <c r="G19" s="10" t="s">
        <v>72</v>
      </c>
      <c r="H19" s="10" t="s">
        <v>73</v>
      </c>
      <c r="I19" s="10" t="s">
        <v>233</v>
      </c>
      <c r="J19" s="10">
        <v>186</v>
      </c>
      <c r="K19" s="12">
        <v>45686</v>
      </c>
      <c r="L19" s="33">
        <v>0.71317129629629628</v>
      </c>
      <c r="M19" s="10">
        <v>1</v>
      </c>
      <c r="N19" s="10" t="s">
        <v>194</v>
      </c>
      <c r="O19" s="10">
        <v>10.6</v>
      </c>
      <c r="P19" s="10">
        <v>0.71899999999999997</v>
      </c>
      <c r="Q19" s="10">
        <v>2500</v>
      </c>
      <c r="R19" s="10" t="s">
        <v>168</v>
      </c>
      <c r="S19" s="123">
        <f t="shared" si="0"/>
        <v>2500</v>
      </c>
      <c r="T19" s="10" t="s">
        <v>957</v>
      </c>
      <c r="U19" s="125">
        <v>45686</v>
      </c>
      <c r="V19" s="126">
        <f t="shared" si="10"/>
        <v>2502.897148</v>
      </c>
      <c r="W19" s="124" t="s">
        <v>960</v>
      </c>
    </row>
    <row r="20" spans="1:23" x14ac:dyDescent="0.3">
      <c r="A20" s="127">
        <v>45692</v>
      </c>
      <c r="B20" s="128">
        <v>0.375</v>
      </c>
      <c r="C20" s="31" t="s">
        <v>70</v>
      </c>
      <c r="D20" s="31" t="s">
        <v>71</v>
      </c>
      <c r="E20" s="31" t="s">
        <v>906</v>
      </c>
      <c r="F20" s="31">
        <v>1</v>
      </c>
      <c r="G20" s="31" t="s">
        <v>72</v>
      </c>
      <c r="H20" s="31" t="s">
        <v>73</v>
      </c>
      <c r="I20" s="31" t="s">
        <v>233</v>
      </c>
      <c r="J20" s="31">
        <v>181</v>
      </c>
      <c r="K20" s="129">
        <v>45693</v>
      </c>
      <c r="L20" s="128">
        <v>0.41635416666666664</v>
      </c>
      <c r="M20" s="31">
        <v>1</v>
      </c>
      <c r="N20" s="31" t="s">
        <v>194</v>
      </c>
      <c r="O20" s="31">
        <v>0.65400000000000003</v>
      </c>
      <c r="P20" s="31">
        <v>3.1899999999999998E-2</v>
      </c>
      <c r="Q20" s="31">
        <v>0</v>
      </c>
      <c r="R20" s="31" t="s">
        <v>168</v>
      </c>
      <c r="S20" s="34">
        <f t="shared" si="0"/>
        <v>0</v>
      </c>
      <c r="T20" s="31" t="s">
        <v>969</v>
      </c>
      <c r="U20" s="130">
        <v>45693</v>
      </c>
      <c r="V20" s="131">
        <f>0.1329*O20^2+176.31*O20-116.96</f>
        <v>-1.596416543599986</v>
      </c>
      <c r="W20" s="132" t="s">
        <v>971</v>
      </c>
    </row>
    <row r="21" spans="1:23" x14ac:dyDescent="0.3">
      <c r="A21" s="127">
        <v>45692</v>
      </c>
      <c r="B21" s="128">
        <v>0.375</v>
      </c>
      <c r="C21" s="31" t="s">
        <v>70</v>
      </c>
      <c r="D21" s="31" t="s">
        <v>71</v>
      </c>
      <c r="E21" s="31" t="s">
        <v>907</v>
      </c>
      <c r="F21" s="31">
        <v>1</v>
      </c>
      <c r="G21" s="31" t="s">
        <v>72</v>
      </c>
      <c r="H21" s="31" t="s">
        <v>73</v>
      </c>
      <c r="I21" s="31" t="s">
        <v>233</v>
      </c>
      <c r="J21" s="31">
        <v>182</v>
      </c>
      <c r="K21" s="129">
        <v>45693</v>
      </c>
      <c r="L21" s="128">
        <v>0.41703703703703704</v>
      </c>
      <c r="M21" s="31">
        <v>1</v>
      </c>
      <c r="N21" s="31" t="s">
        <v>194</v>
      </c>
      <c r="O21" s="31">
        <v>0.84199999999999997</v>
      </c>
      <c r="P21" s="31">
        <v>4.0300000000000002E-2</v>
      </c>
      <c r="Q21" s="31">
        <v>30</v>
      </c>
      <c r="R21" s="31" t="s">
        <v>168</v>
      </c>
      <c r="S21" s="34">
        <f t="shared" si="0"/>
        <v>30</v>
      </c>
      <c r="T21" s="31" t="s">
        <v>969</v>
      </c>
      <c r="U21" s="130">
        <v>45693</v>
      </c>
      <c r="V21" s="131">
        <f t="shared" ref="V21:V25" si="11">0.1329*O21^2+176.31*O21-116.96</f>
        <v>31.587241315600025</v>
      </c>
      <c r="W21" s="132" t="s">
        <v>971</v>
      </c>
    </row>
    <row r="22" spans="1:23" x14ac:dyDescent="0.3">
      <c r="A22" s="127">
        <v>45692</v>
      </c>
      <c r="B22" s="128">
        <v>0.375</v>
      </c>
      <c r="C22" s="31" t="s">
        <v>70</v>
      </c>
      <c r="D22" s="31" t="s">
        <v>71</v>
      </c>
      <c r="E22" s="31" t="s">
        <v>908</v>
      </c>
      <c r="F22" s="31">
        <v>1</v>
      </c>
      <c r="G22" s="31" t="s">
        <v>72</v>
      </c>
      <c r="H22" s="31" t="s">
        <v>73</v>
      </c>
      <c r="I22" s="31" t="s">
        <v>233</v>
      </c>
      <c r="J22" s="31">
        <v>183</v>
      </c>
      <c r="K22" s="129">
        <v>45693</v>
      </c>
      <c r="L22" s="128">
        <v>0.41770833333333335</v>
      </c>
      <c r="M22" s="31">
        <v>1</v>
      </c>
      <c r="N22" s="31" t="s">
        <v>194</v>
      </c>
      <c r="O22" s="31">
        <v>1.27</v>
      </c>
      <c r="P22" s="31">
        <v>6.2300000000000001E-2</v>
      </c>
      <c r="Q22" s="31">
        <v>125</v>
      </c>
      <c r="R22" s="31" t="s">
        <v>168</v>
      </c>
      <c r="S22" s="34">
        <f t="shared" si="0"/>
        <v>125</v>
      </c>
      <c r="T22" s="31" t="s">
        <v>969</v>
      </c>
      <c r="U22" s="130">
        <v>45693</v>
      </c>
      <c r="V22" s="131">
        <f t="shared" si="11"/>
        <v>107.16805441000001</v>
      </c>
      <c r="W22" s="132" t="s">
        <v>971</v>
      </c>
    </row>
    <row r="23" spans="1:23" x14ac:dyDescent="0.3">
      <c r="A23" s="127">
        <v>45692</v>
      </c>
      <c r="B23" s="128">
        <v>0.375</v>
      </c>
      <c r="C23" s="31" t="s">
        <v>70</v>
      </c>
      <c r="D23" s="31" t="s">
        <v>71</v>
      </c>
      <c r="E23" s="31" t="s">
        <v>909</v>
      </c>
      <c r="F23" s="31">
        <v>1</v>
      </c>
      <c r="G23" s="31" t="s">
        <v>72</v>
      </c>
      <c r="H23" s="31" t="s">
        <v>73</v>
      </c>
      <c r="I23" s="31" t="s">
        <v>233</v>
      </c>
      <c r="J23" s="31">
        <v>184</v>
      </c>
      <c r="K23" s="129">
        <v>45693</v>
      </c>
      <c r="L23" s="128">
        <v>0.4183912037037037</v>
      </c>
      <c r="M23" s="31">
        <v>1</v>
      </c>
      <c r="N23" s="31" t="s">
        <v>194</v>
      </c>
      <c r="O23" s="31">
        <v>3.69</v>
      </c>
      <c r="P23" s="31">
        <v>0.17899999999999999</v>
      </c>
      <c r="Q23" s="31">
        <v>500</v>
      </c>
      <c r="R23" s="31" t="s">
        <v>168</v>
      </c>
      <c r="S23" s="34">
        <f t="shared" si="0"/>
        <v>500</v>
      </c>
      <c r="T23" s="31" t="s">
        <v>969</v>
      </c>
      <c r="U23" s="130">
        <v>45693</v>
      </c>
      <c r="V23" s="131">
        <f t="shared" si="11"/>
        <v>535.4334796899999</v>
      </c>
      <c r="W23" s="132" t="s">
        <v>971</v>
      </c>
    </row>
    <row r="24" spans="1:23" x14ac:dyDescent="0.3">
      <c r="A24" s="127">
        <v>45692</v>
      </c>
      <c r="B24" s="128">
        <v>0.375</v>
      </c>
      <c r="C24" s="31" t="s">
        <v>70</v>
      </c>
      <c r="D24" s="31" t="s">
        <v>71</v>
      </c>
      <c r="E24" s="31" t="s">
        <v>910</v>
      </c>
      <c r="F24" s="31">
        <v>1</v>
      </c>
      <c r="G24" s="31" t="s">
        <v>72</v>
      </c>
      <c r="H24" s="31" t="s">
        <v>73</v>
      </c>
      <c r="I24" s="31" t="s">
        <v>233</v>
      </c>
      <c r="J24" s="31">
        <v>185</v>
      </c>
      <c r="K24" s="129">
        <v>45693</v>
      </c>
      <c r="L24" s="128">
        <v>0.4190740740740741</v>
      </c>
      <c r="M24" s="31">
        <v>1</v>
      </c>
      <c r="N24" s="31" t="s">
        <v>194</v>
      </c>
      <c r="O24" s="31">
        <v>7.59</v>
      </c>
      <c r="P24" s="31">
        <v>0.371</v>
      </c>
      <c r="Q24" s="31">
        <v>1250</v>
      </c>
      <c r="R24" s="31" t="s">
        <v>168</v>
      </c>
      <c r="S24" s="34">
        <f t="shared" si="0"/>
        <v>1250</v>
      </c>
      <c r="T24" s="31" t="s">
        <v>969</v>
      </c>
      <c r="U24" s="130">
        <v>45693</v>
      </c>
      <c r="V24" s="131">
        <f t="shared" si="11"/>
        <v>1228.8890164899999</v>
      </c>
      <c r="W24" s="132" t="s">
        <v>971</v>
      </c>
    </row>
    <row r="25" spans="1:23" x14ac:dyDescent="0.3">
      <c r="A25" s="127">
        <v>45692</v>
      </c>
      <c r="B25" s="128">
        <v>0.375</v>
      </c>
      <c r="C25" s="31" t="s">
        <v>70</v>
      </c>
      <c r="D25" s="31" t="s">
        <v>71</v>
      </c>
      <c r="E25" s="31" t="s">
        <v>911</v>
      </c>
      <c r="F25" s="31">
        <v>1</v>
      </c>
      <c r="G25" s="31" t="s">
        <v>72</v>
      </c>
      <c r="H25" s="31" t="s">
        <v>73</v>
      </c>
      <c r="I25" s="31" t="s">
        <v>233</v>
      </c>
      <c r="J25" s="31">
        <v>186</v>
      </c>
      <c r="K25" s="129">
        <v>45693</v>
      </c>
      <c r="L25" s="128">
        <v>0.41974537037037035</v>
      </c>
      <c r="M25" s="31">
        <v>1</v>
      </c>
      <c r="N25" s="31" t="s">
        <v>194</v>
      </c>
      <c r="O25" s="31">
        <v>14.7</v>
      </c>
      <c r="P25" s="31">
        <v>0.72</v>
      </c>
      <c r="Q25" s="31">
        <v>2500</v>
      </c>
      <c r="R25" s="31" t="s">
        <v>168</v>
      </c>
      <c r="S25" s="34">
        <f t="shared" si="0"/>
        <v>2500</v>
      </c>
      <c r="T25" s="31" t="s">
        <v>969</v>
      </c>
      <c r="U25" s="130">
        <v>45693</v>
      </c>
      <c r="V25" s="131">
        <f t="shared" si="11"/>
        <v>2503.5153610000002</v>
      </c>
      <c r="W25" s="132" t="s">
        <v>971</v>
      </c>
    </row>
    <row r="26" spans="1:23" x14ac:dyDescent="0.3">
      <c r="A26" s="119">
        <v>45699</v>
      </c>
      <c r="B26" s="120">
        <v>0.375</v>
      </c>
      <c r="C26" s="121" t="s">
        <v>70</v>
      </c>
      <c r="D26" s="121" t="s">
        <v>71</v>
      </c>
      <c r="E26" s="121" t="s">
        <v>906</v>
      </c>
      <c r="F26" s="121">
        <v>1</v>
      </c>
      <c r="G26" s="121" t="s">
        <v>72</v>
      </c>
      <c r="H26" s="121" t="s">
        <v>73</v>
      </c>
      <c r="I26" s="121" t="s">
        <v>233</v>
      </c>
      <c r="J26" s="121">
        <v>181</v>
      </c>
      <c r="K26" s="122">
        <v>45700</v>
      </c>
      <c r="L26" s="120">
        <v>0.41504629629629625</v>
      </c>
      <c r="M26" s="121">
        <v>1</v>
      </c>
      <c r="N26" s="121" t="s">
        <v>194</v>
      </c>
      <c r="O26" s="121">
        <v>0.57699999999999996</v>
      </c>
      <c r="P26" s="121">
        <v>3.6299999999999999E-2</v>
      </c>
      <c r="Q26" s="121">
        <v>0</v>
      </c>
      <c r="R26" s="121" t="s">
        <v>168</v>
      </c>
      <c r="S26" s="123">
        <f t="shared" si="0"/>
        <v>0</v>
      </c>
      <c r="T26" s="10" t="s">
        <v>977</v>
      </c>
      <c r="U26" s="125">
        <v>45700</v>
      </c>
      <c r="V26" s="126">
        <f>0.3081*O26^2+237.89*O26-127.61</f>
        <v>9.7551054248999804</v>
      </c>
      <c r="W26" s="124" t="s">
        <v>979</v>
      </c>
    </row>
    <row r="27" spans="1:23" x14ac:dyDescent="0.3">
      <c r="A27" s="119">
        <v>45699</v>
      </c>
      <c r="B27" s="120">
        <v>0.375</v>
      </c>
      <c r="C27" s="121" t="s">
        <v>70</v>
      </c>
      <c r="D27" s="121" t="s">
        <v>71</v>
      </c>
      <c r="E27" s="121" t="s">
        <v>907</v>
      </c>
      <c r="F27" s="121">
        <v>1</v>
      </c>
      <c r="G27" s="121" t="s">
        <v>72</v>
      </c>
      <c r="H27" s="121" t="s">
        <v>73</v>
      </c>
      <c r="I27" s="121" t="s">
        <v>233</v>
      </c>
      <c r="J27" s="121">
        <v>182</v>
      </c>
      <c r="K27" s="122">
        <v>45700</v>
      </c>
      <c r="L27" s="120">
        <v>0.41572916666666665</v>
      </c>
      <c r="M27" s="121">
        <v>1</v>
      </c>
      <c r="N27" s="121" t="s">
        <v>194</v>
      </c>
      <c r="O27" s="121">
        <v>0.63900000000000001</v>
      </c>
      <c r="P27" s="121">
        <v>4.0099999999999997E-2</v>
      </c>
      <c r="Q27" s="121">
        <v>30</v>
      </c>
      <c r="R27" s="121" t="s">
        <v>168</v>
      </c>
      <c r="S27" s="123">
        <f t="shared" si="0"/>
        <v>30</v>
      </c>
      <c r="T27" s="10" t="s">
        <v>977</v>
      </c>
      <c r="U27" s="125">
        <v>45700</v>
      </c>
      <c r="V27" s="126">
        <f t="shared" ref="V27:V31" si="12">0.3081*O27^2+237.89*O27-127.61</f>
        <v>24.527513700099988</v>
      </c>
      <c r="W27" s="124" t="s">
        <v>979</v>
      </c>
    </row>
    <row r="28" spans="1:23" x14ac:dyDescent="0.3">
      <c r="A28" s="119">
        <v>45699</v>
      </c>
      <c r="B28" s="120">
        <v>0.375</v>
      </c>
      <c r="C28" s="121" t="s">
        <v>70</v>
      </c>
      <c r="D28" s="121" t="s">
        <v>71</v>
      </c>
      <c r="E28" s="121" t="s">
        <v>908</v>
      </c>
      <c r="F28" s="121">
        <v>1</v>
      </c>
      <c r="G28" s="121" t="s">
        <v>72</v>
      </c>
      <c r="H28" s="121" t="s">
        <v>73</v>
      </c>
      <c r="I28" s="121" t="s">
        <v>233</v>
      </c>
      <c r="J28" s="121">
        <v>183</v>
      </c>
      <c r="K28" s="122">
        <v>45700</v>
      </c>
      <c r="L28" s="120">
        <v>0.41640046296296296</v>
      </c>
      <c r="M28" s="121">
        <v>1</v>
      </c>
      <c r="N28" s="121" t="s">
        <v>194</v>
      </c>
      <c r="O28" s="121">
        <v>0.99199999999999999</v>
      </c>
      <c r="P28" s="121">
        <v>6.25E-2</v>
      </c>
      <c r="Q28" s="121">
        <v>125</v>
      </c>
      <c r="R28" s="121" t="s">
        <v>168</v>
      </c>
      <c r="S28" s="123">
        <f t="shared" si="0"/>
        <v>125</v>
      </c>
      <c r="T28" s="10" t="s">
        <v>977</v>
      </c>
      <c r="U28" s="125">
        <v>45700</v>
      </c>
      <c r="V28" s="126">
        <f t="shared" si="12"/>
        <v>108.6800701184</v>
      </c>
      <c r="W28" s="124" t="s">
        <v>979</v>
      </c>
    </row>
    <row r="29" spans="1:23" x14ac:dyDescent="0.3">
      <c r="A29" s="119">
        <v>45699</v>
      </c>
      <c r="B29" s="120">
        <v>0.375</v>
      </c>
      <c r="C29" s="121" t="s">
        <v>70</v>
      </c>
      <c r="D29" s="121" t="s">
        <v>71</v>
      </c>
      <c r="E29" s="121" t="s">
        <v>909</v>
      </c>
      <c r="F29" s="121">
        <v>1</v>
      </c>
      <c r="G29" s="121" t="s">
        <v>72</v>
      </c>
      <c r="H29" s="121" t="s">
        <v>73</v>
      </c>
      <c r="I29" s="121" t="s">
        <v>233</v>
      </c>
      <c r="J29" s="121">
        <v>184</v>
      </c>
      <c r="K29" s="122">
        <v>45700</v>
      </c>
      <c r="L29" s="120">
        <v>0.41708333333333331</v>
      </c>
      <c r="M29" s="121">
        <v>1</v>
      </c>
      <c r="N29" s="121" t="s">
        <v>194</v>
      </c>
      <c r="O29" s="121">
        <v>2.72</v>
      </c>
      <c r="P29" s="121">
        <v>0.17100000000000001</v>
      </c>
      <c r="Q29" s="121">
        <v>500</v>
      </c>
      <c r="R29" s="121" t="s">
        <v>168</v>
      </c>
      <c r="S29" s="123">
        <f t="shared" si="0"/>
        <v>500</v>
      </c>
      <c r="T29" s="10" t="s">
        <v>977</v>
      </c>
      <c r="U29" s="125">
        <v>45700</v>
      </c>
      <c r="V29" s="126">
        <f t="shared" si="12"/>
        <v>521.73024703999999</v>
      </c>
      <c r="W29" s="124" t="s">
        <v>979</v>
      </c>
    </row>
    <row r="30" spans="1:23" x14ac:dyDescent="0.3">
      <c r="A30" s="119">
        <v>45699</v>
      </c>
      <c r="B30" s="120">
        <v>0.375</v>
      </c>
      <c r="C30" s="121" t="s">
        <v>70</v>
      </c>
      <c r="D30" s="121" t="s">
        <v>71</v>
      </c>
      <c r="E30" s="121" t="s">
        <v>910</v>
      </c>
      <c r="F30" s="121">
        <v>1</v>
      </c>
      <c r="G30" s="121" t="s">
        <v>72</v>
      </c>
      <c r="H30" s="121" t="s">
        <v>73</v>
      </c>
      <c r="I30" s="121" t="s">
        <v>233</v>
      </c>
      <c r="J30" s="121">
        <v>185</v>
      </c>
      <c r="K30" s="122">
        <v>45700</v>
      </c>
      <c r="L30" s="120">
        <v>0.41776620370370371</v>
      </c>
      <c r="M30" s="121">
        <v>1</v>
      </c>
      <c r="N30" s="121" t="s">
        <v>194</v>
      </c>
      <c r="O30" s="121">
        <v>5.7</v>
      </c>
      <c r="P30" s="121">
        <v>0.35899999999999999</v>
      </c>
      <c r="Q30" s="121">
        <v>1250</v>
      </c>
      <c r="R30" s="121" t="s">
        <v>168</v>
      </c>
      <c r="S30" s="123">
        <f t="shared" si="0"/>
        <v>1250</v>
      </c>
      <c r="T30" s="10" t="s">
        <v>977</v>
      </c>
      <c r="U30" s="125">
        <v>45700</v>
      </c>
      <c r="V30" s="126">
        <f t="shared" si="12"/>
        <v>1238.373169</v>
      </c>
      <c r="W30" s="124" t="s">
        <v>979</v>
      </c>
    </row>
    <row r="31" spans="1:23" x14ac:dyDescent="0.3">
      <c r="A31" s="119">
        <v>45699</v>
      </c>
      <c r="B31" s="120">
        <v>0.375</v>
      </c>
      <c r="C31" s="121" t="s">
        <v>70</v>
      </c>
      <c r="D31" s="121" t="s">
        <v>71</v>
      </c>
      <c r="E31" s="121" t="s">
        <v>911</v>
      </c>
      <c r="F31" s="121">
        <v>1</v>
      </c>
      <c r="G31" s="121" t="s">
        <v>72</v>
      </c>
      <c r="H31" s="121" t="s">
        <v>73</v>
      </c>
      <c r="I31" s="121" t="s">
        <v>233</v>
      </c>
      <c r="J31" s="121">
        <v>186</v>
      </c>
      <c r="K31" s="122">
        <v>45700</v>
      </c>
      <c r="L31" s="120">
        <v>0.41843750000000002</v>
      </c>
      <c r="M31" s="121">
        <v>1</v>
      </c>
      <c r="N31" s="121" t="s">
        <v>194</v>
      </c>
      <c r="O31" s="121">
        <v>10.9</v>
      </c>
      <c r="P31" s="121">
        <v>0.69</v>
      </c>
      <c r="Q31" s="121">
        <v>2500</v>
      </c>
      <c r="R31" s="121" t="s">
        <v>168</v>
      </c>
      <c r="S31" s="123">
        <f t="shared" si="0"/>
        <v>2500</v>
      </c>
      <c r="T31" s="10" t="s">
        <v>977</v>
      </c>
      <c r="U31" s="125">
        <v>45700</v>
      </c>
      <c r="V31" s="126">
        <f t="shared" si="12"/>
        <v>2501.9963609999995</v>
      </c>
      <c r="W31" s="124" t="s">
        <v>979</v>
      </c>
    </row>
    <row r="32" spans="1:23" x14ac:dyDescent="0.3">
      <c r="A32" s="127">
        <v>45707</v>
      </c>
      <c r="B32" s="128">
        <v>0.375</v>
      </c>
      <c r="C32" s="31" t="s">
        <v>70</v>
      </c>
      <c r="D32" s="31" t="s">
        <v>71</v>
      </c>
      <c r="E32" s="31" t="s">
        <v>907</v>
      </c>
      <c r="F32" s="31">
        <v>1</v>
      </c>
      <c r="G32" s="31" t="s">
        <v>72</v>
      </c>
      <c r="H32" s="31" t="s">
        <v>73</v>
      </c>
      <c r="I32" s="31" t="s">
        <v>233</v>
      </c>
      <c r="J32" s="31">
        <v>182</v>
      </c>
      <c r="K32" s="129">
        <v>45719</v>
      </c>
      <c r="L32" s="128">
        <v>0.46164351851851854</v>
      </c>
      <c r="M32" s="31">
        <v>1</v>
      </c>
      <c r="N32" s="31" t="s">
        <v>194</v>
      </c>
      <c r="O32" s="31">
        <v>0.78800000000000003</v>
      </c>
      <c r="P32" s="31">
        <v>3.8899999999999997E-2</v>
      </c>
      <c r="Q32" s="31">
        <v>30</v>
      </c>
      <c r="R32" s="31" t="s">
        <v>168</v>
      </c>
      <c r="S32" s="34">
        <f t="shared" si="0"/>
        <v>30</v>
      </c>
      <c r="T32" s="31" t="s">
        <v>985</v>
      </c>
      <c r="U32" s="130">
        <v>45719</v>
      </c>
      <c r="V32" s="131">
        <f>-0.2376*O32^2+181.4*O32-114.93</f>
        <v>27.865663705600014</v>
      </c>
      <c r="W32" s="132" t="s">
        <v>986</v>
      </c>
    </row>
    <row r="33" spans="1:23" x14ac:dyDescent="0.3">
      <c r="A33" s="127">
        <v>45707</v>
      </c>
      <c r="B33" s="128">
        <v>0.375</v>
      </c>
      <c r="C33" s="31" t="s">
        <v>70</v>
      </c>
      <c r="D33" s="31" t="s">
        <v>71</v>
      </c>
      <c r="E33" s="31" t="s">
        <v>908</v>
      </c>
      <c r="F33" s="31">
        <v>1</v>
      </c>
      <c r="G33" s="31" t="s">
        <v>72</v>
      </c>
      <c r="H33" s="31" t="s">
        <v>73</v>
      </c>
      <c r="I33" s="31" t="s">
        <v>233</v>
      </c>
      <c r="J33" s="31">
        <v>183</v>
      </c>
      <c r="K33" s="129">
        <v>45719</v>
      </c>
      <c r="L33" s="128">
        <v>0.46232638888888888</v>
      </c>
      <c r="M33" s="31">
        <v>1</v>
      </c>
      <c r="N33" s="31" t="s">
        <v>194</v>
      </c>
      <c r="O33" s="31">
        <v>1.33</v>
      </c>
      <c r="P33" s="31">
        <v>6.4000000000000001E-2</v>
      </c>
      <c r="Q33" s="31">
        <v>125</v>
      </c>
      <c r="R33" s="31" t="s">
        <v>168</v>
      </c>
      <c r="S33" s="34">
        <f t="shared" si="0"/>
        <v>125</v>
      </c>
      <c r="T33" s="31" t="s">
        <v>985</v>
      </c>
      <c r="U33" s="130">
        <v>45719</v>
      </c>
      <c r="V33" s="131">
        <f t="shared" ref="V33:V36" si="13">-0.2376*O33^2+181.4*O33-114.93</f>
        <v>125.91170936000003</v>
      </c>
      <c r="W33" s="132" t="s">
        <v>986</v>
      </c>
    </row>
    <row r="34" spans="1:23" x14ac:dyDescent="0.3">
      <c r="A34" s="127">
        <v>45707</v>
      </c>
      <c r="B34" s="128">
        <v>0.375</v>
      </c>
      <c r="C34" s="31" t="s">
        <v>70</v>
      </c>
      <c r="D34" s="31" t="s">
        <v>71</v>
      </c>
      <c r="E34" s="31" t="s">
        <v>909</v>
      </c>
      <c r="F34" s="31">
        <v>1</v>
      </c>
      <c r="G34" s="31" t="s">
        <v>72</v>
      </c>
      <c r="H34" s="31" t="s">
        <v>73</v>
      </c>
      <c r="I34" s="31" t="s">
        <v>233</v>
      </c>
      <c r="J34" s="31">
        <v>184</v>
      </c>
      <c r="K34" s="129">
        <v>45719</v>
      </c>
      <c r="L34" s="128">
        <v>0.46299768518518519</v>
      </c>
      <c r="M34" s="31">
        <v>1</v>
      </c>
      <c r="N34" s="31" t="s">
        <v>194</v>
      </c>
      <c r="O34" s="31">
        <v>3.42</v>
      </c>
      <c r="P34" s="31">
        <v>0.16700000000000001</v>
      </c>
      <c r="Q34" s="31">
        <v>500</v>
      </c>
      <c r="R34" s="31" t="s">
        <v>168</v>
      </c>
      <c r="S34" s="34">
        <f t="shared" si="0"/>
        <v>500</v>
      </c>
      <c r="T34" s="31" t="s">
        <v>985</v>
      </c>
      <c r="U34" s="130">
        <v>45719</v>
      </c>
      <c r="V34" s="131">
        <f t="shared" si="13"/>
        <v>502.67893536000003</v>
      </c>
      <c r="W34" s="132" t="s">
        <v>986</v>
      </c>
    </row>
    <row r="35" spans="1:23" x14ac:dyDescent="0.3">
      <c r="A35" s="127">
        <v>45707</v>
      </c>
      <c r="B35" s="128">
        <v>0.375</v>
      </c>
      <c r="C35" s="31" t="s">
        <v>70</v>
      </c>
      <c r="D35" s="31" t="s">
        <v>71</v>
      </c>
      <c r="E35" s="31" t="s">
        <v>910</v>
      </c>
      <c r="F35" s="31">
        <v>1</v>
      </c>
      <c r="G35" s="31" t="s">
        <v>72</v>
      </c>
      <c r="H35" s="31" t="s">
        <v>73</v>
      </c>
      <c r="I35" s="31" t="s">
        <v>233</v>
      </c>
      <c r="J35" s="31">
        <v>185</v>
      </c>
      <c r="K35" s="129">
        <v>45719</v>
      </c>
      <c r="L35" s="128">
        <v>0.4636805555555556</v>
      </c>
      <c r="M35" s="31">
        <v>1</v>
      </c>
      <c r="N35" s="31" t="s">
        <v>194</v>
      </c>
      <c r="O35" s="31">
        <v>7.59</v>
      </c>
      <c r="P35" s="31">
        <v>0.373</v>
      </c>
      <c r="Q35" s="31">
        <v>1250</v>
      </c>
      <c r="R35" s="31" t="s">
        <v>168</v>
      </c>
      <c r="S35" s="34">
        <f t="shared" si="0"/>
        <v>1250</v>
      </c>
      <c r="T35" s="31" t="s">
        <v>985</v>
      </c>
      <c r="U35" s="130">
        <v>45719</v>
      </c>
      <c r="V35" s="131">
        <f t="shared" si="13"/>
        <v>1248.20831544</v>
      </c>
      <c r="W35" s="132" t="s">
        <v>986</v>
      </c>
    </row>
    <row r="36" spans="1:23" x14ac:dyDescent="0.3">
      <c r="A36" s="127">
        <v>45707</v>
      </c>
      <c r="B36" s="128">
        <v>0.375</v>
      </c>
      <c r="C36" s="31" t="s">
        <v>70</v>
      </c>
      <c r="D36" s="31" t="s">
        <v>71</v>
      </c>
      <c r="E36" s="31" t="s">
        <v>911</v>
      </c>
      <c r="F36" s="31">
        <v>1</v>
      </c>
      <c r="G36" s="31" t="s">
        <v>72</v>
      </c>
      <c r="H36" s="31" t="s">
        <v>73</v>
      </c>
      <c r="I36" s="31" t="s">
        <v>233</v>
      </c>
      <c r="J36" s="31">
        <v>186</v>
      </c>
      <c r="K36" s="129">
        <v>45719</v>
      </c>
      <c r="L36" s="128">
        <v>0.46435185185185185</v>
      </c>
      <c r="M36" s="31">
        <v>1</v>
      </c>
      <c r="N36" s="31" t="s">
        <v>194</v>
      </c>
      <c r="O36" s="31">
        <v>14.7</v>
      </c>
      <c r="P36" s="31">
        <v>0.71699999999999997</v>
      </c>
      <c r="Q36" s="31">
        <v>2500</v>
      </c>
      <c r="R36" s="31" t="s">
        <v>168</v>
      </c>
      <c r="S36" s="34">
        <f t="shared" si="0"/>
        <v>2500</v>
      </c>
      <c r="T36" s="31" t="s">
        <v>985</v>
      </c>
      <c r="U36" s="130">
        <v>45719</v>
      </c>
      <c r="V36" s="131">
        <f t="shared" si="13"/>
        <v>2500.3070160000002</v>
      </c>
      <c r="W36" s="132" t="s">
        <v>986</v>
      </c>
    </row>
  </sheetData>
  <phoneticPr fontId="17" type="noConversion"/>
  <conditionalFormatting sqref="U1">
    <cfRule type="cellIs" dxfId="3" priority="2" operator="lessThan">
      <formula>0</formula>
    </cfRule>
  </conditionalFormatting>
  <conditionalFormatting sqref="AZ1">
    <cfRule type="cellIs" dxfId="2" priority="1" operator="lessThan">
      <formula>0</formula>
    </cfRule>
  </conditionalFormatting>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12C6A-4EAE-414F-A18E-C1CCEE6C768A}">
  <dimension ref="A1:BB56"/>
  <sheetViews>
    <sheetView zoomScale="90" zoomScaleNormal="90" workbookViewId="0">
      <selection activeCell="AF7" sqref="AF7:BB7"/>
    </sheetView>
  </sheetViews>
  <sheetFormatPr defaultRowHeight="14.4" x14ac:dyDescent="0.3"/>
  <cols>
    <col min="1" max="1" width="10.6640625" bestFit="1" customWidth="1"/>
    <col min="2" max="2" width="11.44140625" bestFit="1" customWidth="1"/>
    <col min="3" max="3" width="5.88671875" bestFit="1" customWidth="1"/>
    <col min="4" max="4" width="7.5546875" bestFit="1" customWidth="1"/>
    <col min="5" max="5" width="7.6640625" bestFit="1" customWidth="1"/>
    <col min="6" max="6" width="5.33203125" bestFit="1" customWidth="1"/>
    <col min="7" max="7" width="7.6640625" bestFit="1" customWidth="1"/>
    <col min="8" max="8" width="5.109375" bestFit="1" customWidth="1"/>
    <col min="9" max="9" width="7.6640625" bestFit="1" customWidth="1"/>
    <col min="10" max="10" width="8.44140625" bestFit="1" customWidth="1"/>
    <col min="11" max="11" width="11.33203125" bestFit="1" customWidth="1"/>
    <col min="12" max="12" width="12.5546875" bestFit="1" customWidth="1"/>
    <col min="13" max="13" width="7.33203125" bestFit="1" customWidth="1"/>
    <col min="15" max="15" width="7.6640625" bestFit="1" customWidth="1"/>
    <col min="16" max="16" width="8.33203125" bestFit="1" customWidth="1"/>
    <col min="17" max="17" width="8.5546875" bestFit="1" customWidth="1"/>
    <col min="18" max="18" width="6.44140625" bestFit="1" customWidth="1"/>
    <col min="19" max="19" width="8.6640625" bestFit="1" customWidth="1"/>
    <col min="20" max="20" width="44.33203125" bestFit="1" customWidth="1"/>
    <col min="21" max="21" width="13" bestFit="1" customWidth="1"/>
    <col min="22" max="22" width="10" bestFit="1" customWidth="1"/>
    <col min="23" max="23" width="26.88671875" bestFit="1" customWidth="1"/>
    <col min="32" max="32" width="10.6640625" bestFit="1" customWidth="1"/>
    <col min="33" max="33" width="11.44140625" bestFit="1" customWidth="1"/>
    <col min="34" max="34" width="5.88671875" bestFit="1" customWidth="1"/>
    <col min="35" max="35" width="7.5546875" bestFit="1" customWidth="1"/>
    <col min="36" max="36" width="7.6640625" bestFit="1" customWidth="1"/>
    <col min="37" max="37" width="5.33203125" bestFit="1" customWidth="1"/>
    <col min="38" max="38" width="7.6640625" bestFit="1" customWidth="1"/>
    <col min="39" max="39" width="5.109375" bestFit="1" customWidth="1"/>
    <col min="40" max="40" width="7.6640625" bestFit="1" customWidth="1"/>
    <col min="41" max="41" width="8.44140625" bestFit="1" customWidth="1"/>
    <col min="42" max="42" width="11.6640625" bestFit="1" customWidth="1"/>
    <col min="43" max="43" width="12" bestFit="1" customWidth="1"/>
    <col min="44" max="44" width="6.44140625" bestFit="1" customWidth="1"/>
    <col min="46" max="46" width="7.6640625" bestFit="1" customWidth="1"/>
    <col min="47" max="47" width="6.6640625" bestFit="1" customWidth="1"/>
    <col min="48" max="48" width="8.5546875" bestFit="1" customWidth="1"/>
    <col min="49" max="49" width="6.44140625" bestFit="1" customWidth="1"/>
    <col min="50" max="50" width="8.6640625" bestFit="1" customWidth="1"/>
    <col min="51" max="51" width="44.33203125" bestFit="1" customWidth="1"/>
    <col min="52" max="52" width="13" bestFit="1" customWidth="1"/>
    <col min="53" max="53" width="12.44140625" bestFit="1" customWidth="1"/>
    <col min="54" max="54" width="25.6640625" bestFit="1" customWidth="1"/>
  </cols>
  <sheetData>
    <row r="1" spans="1:54" ht="100.8" x14ac:dyDescent="0.3">
      <c r="A1" s="17" t="s">
        <v>0</v>
      </c>
      <c r="B1" s="35" t="s">
        <v>23</v>
      </c>
      <c r="C1" s="19" t="s">
        <v>24</v>
      </c>
      <c r="D1" s="19" t="s">
        <v>25</v>
      </c>
      <c r="E1" s="19" t="s">
        <v>26</v>
      </c>
      <c r="F1" s="19" t="s">
        <v>27</v>
      </c>
      <c r="G1" s="19" t="s">
        <v>28</v>
      </c>
      <c r="H1" s="19" t="s">
        <v>29</v>
      </c>
      <c r="I1" s="19" t="s">
        <v>30</v>
      </c>
      <c r="J1" s="19" t="s">
        <v>31</v>
      </c>
      <c r="K1" s="20" t="s">
        <v>32</v>
      </c>
      <c r="L1" s="21" t="s">
        <v>33</v>
      </c>
      <c r="M1" s="22" t="s">
        <v>34</v>
      </c>
      <c r="N1" s="19" t="s">
        <v>35</v>
      </c>
      <c r="O1" s="23" t="s">
        <v>36</v>
      </c>
      <c r="P1" s="23" t="s">
        <v>37</v>
      </c>
      <c r="Q1" s="24" t="s">
        <v>38</v>
      </c>
      <c r="R1" s="19" t="s">
        <v>39</v>
      </c>
      <c r="S1" s="36" t="s">
        <v>40</v>
      </c>
      <c r="T1" s="19" t="s">
        <v>46</v>
      </c>
      <c r="U1" s="20" t="s">
        <v>77</v>
      </c>
      <c r="V1" s="9" t="s">
        <v>78</v>
      </c>
      <c r="W1" s="3" t="s">
        <v>79</v>
      </c>
      <c r="AF1" s="37" t="s">
        <v>0</v>
      </c>
      <c r="AG1" s="35" t="s">
        <v>23</v>
      </c>
      <c r="AH1" s="38" t="s">
        <v>24</v>
      </c>
      <c r="AI1" s="38" t="s">
        <v>25</v>
      </c>
      <c r="AJ1" s="38" t="s">
        <v>26</v>
      </c>
      <c r="AK1" s="38" t="s">
        <v>27</v>
      </c>
      <c r="AL1" s="38" t="s">
        <v>28</v>
      </c>
      <c r="AM1" s="38" t="s">
        <v>29</v>
      </c>
      <c r="AN1" s="38" t="s">
        <v>30</v>
      </c>
      <c r="AO1" s="38" t="s">
        <v>31</v>
      </c>
      <c r="AP1" s="39" t="s">
        <v>32</v>
      </c>
      <c r="AQ1" s="40" t="s">
        <v>33</v>
      </c>
      <c r="AR1" s="22" t="s">
        <v>34</v>
      </c>
      <c r="AS1" s="38" t="s">
        <v>35</v>
      </c>
      <c r="AT1" s="41" t="s">
        <v>36</v>
      </c>
      <c r="AU1" s="41" t="s">
        <v>37</v>
      </c>
      <c r="AV1" s="42" t="s">
        <v>38</v>
      </c>
      <c r="AW1" s="38" t="s">
        <v>39</v>
      </c>
      <c r="AX1" s="43" t="s">
        <v>40</v>
      </c>
      <c r="AY1" s="38" t="s">
        <v>46</v>
      </c>
      <c r="AZ1" s="39" t="s">
        <v>80</v>
      </c>
      <c r="BA1" s="44" t="s">
        <v>78</v>
      </c>
      <c r="BB1" s="44" t="s">
        <v>79</v>
      </c>
    </row>
    <row r="2" spans="1:54" s="124" customFormat="1" x14ac:dyDescent="0.3">
      <c r="A2" s="32">
        <v>45678</v>
      </c>
      <c r="B2" s="33">
        <v>0.375</v>
      </c>
      <c r="C2" s="10" t="s">
        <v>70</v>
      </c>
      <c r="D2" s="10" t="s">
        <v>71</v>
      </c>
      <c r="E2" s="10" t="s">
        <v>906</v>
      </c>
      <c r="F2" s="10">
        <v>1</v>
      </c>
      <c r="G2" s="10" t="s">
        <v>72</v>
      </c>
      <c r="H2" s="10" t="s">
        <v>73</v>
      </c>
      <c r="I2" s="10" t="s">
        <v>233</v>
      </c>
      <c r="J2" s="10">
        <v>181</v>
      </c>
      <c r="K2" s="12">
        <v>45679</v>
      </c>
      <c r="L2" s="33">
        <v>0.71538194444444436</v>
      </c>
      <c r="M2" s="10">
        <v>1</v>
      </c>
      <c r="N2" s="10" t="s">
        <v>194</v>
      </c>
      <c r="O2" s="10">
        <v>0.47</v>
      </c>
      <c r="P2" s="10">
        <v>2.3E-2</v>
      </c>
      <c r="Q2" s="10">
        <v>0</v>
      </c>
      <c r="R2" s="10" t="s">
        <v>168</v>
      </c>
      <c r="S2" s="123">
        <f t="shared" ref="S2:S48" si="0">IF(OR(AND(I2&lt;&gt;"TP", I2&lt;&gt;"TDP",I2&lt;&gt;"TN", I2&lt;&gt;"TDN"),H2="CAL"), Q2*M2, IF(OR(AND(I2="TN", Q2&gt;2500), AND(I2="TDN", Q2&gt;2500)),MAX(Q2, AK2)*M2, IF(OR(AND(I2="TN", Q2&lt;=2500), AND(I2="TDN", Q2&lt;=2500)),MAX(Q2, AJ2,AK2)*M2, IF(OR(AND(I2="TP",Q2&gt;500), AND(I2="TDP", Q2&gt;500)),MAX(Q2,AK2)*M2,IF(OR(AND(I2="TP",Q2&lt;=150), AND(I2="TDP", Q2&lt;=150)),MAX(Q2,AG2:AI2,AK2)*M2,IF(OR(AND(I2="TP",Q2&lt;=300), AND(I2="TDP", Q2&lt;=300)),MAX(Q2,AH2,AI2,AK2)*M2,IF(OR(AND(I2="TP",Q2&lt;=500), AND(I2="TDP", Q2&lt;=500)),MAX(Q2,AI2,AK2)*M2,"")))))))</f>
        <v>0</v>
      </c>
      <c r="T2" s="10" t="s">
        <v>935</v>
      </c>
      <c r="U2" s="125">
        <v>45679</v>
      </c>
      <c r="V2" s="126">
        <f>0.457*O2^2+171.06*O2-90.902</f>
        <v>-10.402848699999993</v>
      </c>
      <c r="W2" s="124" t="s">
        <v>936</v>
      </c>
      <c r="AF2" s="32">
        <v>45678</v>
      </c>
      <c r="AG2" s="33">
        <v>0.375</v>
      </c>
      <c r="AH2" s="10" t="s">
        <v>70</v>
      </c>
      <c r="AI2" s="10" t="s">
        <v>71</v>
      </c>
      <c r="AJ2" s="10" t="s">
        <v>913</v>
      </c>
      <c r="AK2" s="10">
        <v>1</v>
      </c>
      <c r="AL2" s="10" t="s">
        <v>72</v>
      </c>
      <c r="AM2" s="10" t="s">
        <v>73</v>
      </c>
      <c r="AN2" s="10" t="s">
        <v>233</v>
      </c>
      <c r="AO2" s="10">
        <v>188</v>
      </c>
      <c r="AP2" s="12">
        <v>45679</v>
      </c>
      <c r="AQ2" s="33">
        <v>0.7201157407407407</v>
      </c>
      <c r="AR2" s="10">
        <v>1</v>
      </c>
      <c r="AS2" s="10" t="s">
        <v>194</v>
      </c>
      <c r="AT2" s="10">
        <v>27.7</v>
      </c>
      <c r="AU2" s="10">
        <v>1.38</v>
      </c>
      <c r="AV2" s="10">
        <v>5000</v>
      </c>
      <c r="AW2" s="10" t="s">
        <v>168</v>
      </c>
      <c r="AX2" s="34">
        <f>IF(OR(AND(AN2&lt;&gt;"TP", AN2&lt;&gt;"TDP",AN2&lt;&gt;"TN", AN2&lt;&gt;"TDN"),AM2="CAL"), AV2*AR2, IF(OR(AND(AN2="TN", AV2&gt;2500), AND(AN2="TDN", AV2&gt;2500)),MAX(AV2, BP2)*AR2, IF(OR(AND(AN2="TN", AV2&lt;=2500), AND(AN2="TDN", AV2&lt;=2500)),MAX(AV2, BO2,BP2)*AR2, IF(OR(AND(AN2="TP",AV2&gt;500), AND(AN2="TDP", AV2&gt;500)),MAX(AV2,BP2)*AR2,IF(OR(AND(AN2="TP",AV2&lt;=150), AND(AN2="TDP", AV2&lt;=150)),MAX(AV2,BL2:BN2,BP2)*AR2,IF(OR(AND(AN2="TP",AV2&lt;=300), AND(AN2="TDP", AV2&lt;=300)),MAX(AV2,BM2,BN2,BP2)*AR2,IF(OR(AND(AN2="TP",AV2&lt;=500), AND(AN2="TDP", AV2&lt;=500)),MAX(AV2,BN2,BP2)*AR2,"")))))))</f>
        <v>5000</v>
      </c>
      <c r="AY2" s="10" t="s">
        <v>935</v>
      </c>
      <c r="AZ2" s="125">
        <v>45679</v>
      </c>
      <c r="BA2" s="126">
        <f>0.457*AT2^2+171.06*AT2-90.902</f>
        <v>4998.1115300000001</v>
      </c>
      <c r="BB2" s="124" t="s">
        <v>936</v>
      </c>
    </row>
    <row r="3" spans="1:54" s="124" customFormat="1" x14ac:dyDescent="0.3">
      <c r="A3" s="32">
        <v>45678</v>
      </c>
      <c r="B3" s="33">
        <v>0.375</v>
      </c>
      <c r="C3" s="10" t="s">
        <v>70</v>
      </c>
      <c r="D3" s="10" t="s">
        <v>71</v>
      </c>
      <c r="E3" s="10" t="s">
        <v>907</v>
      </c>
      <c r="F3" s="10">
        <v>1</v>
      </c>
      <c r="G3" s="10" t="s">
        <v>72</v>
      </c>
      <c r="H3" s="10" t="s">
        <v>73</v>
      </c>
      <c r="I3" s="10" t="s">
        <v>233</v>
      </c>
      <c r="J3" s="10">
        <v>182</v>
      </c>
      <c r="K3" s="12">
        <v>45679</v>
      </c>
      <c r="L3" s="33">
        <v>0.71605324074074073</v>
      </c>
      <c r="M3" s="10">
        <v>1</v>
      </c>
      <c r="N3" s="10" t="s">
        <v>194</v>
      </c>
      <c r="O3" s="10">
        <v>0.78600000000000003</v>
      </c>
      <c r="P3" s="10">
        <v>3.9100000000000003E-2</v>
      </c>
      <c r="Q3" s="10">
        <v>30</v>
      </c>
      <c r="R3" s="10" t="s">
        <v>168</v>
      </c>
      <c r="S3" s="123">
        <f t="shared" si="0"/>
        <v>30</v>
      </c>
      <c r="T3" s="10" t="s">
        <v>935</v>
      </c>
      <c r="U3" s="125">
        <v>45679</v>
      </c>
      <c r="V3" s="126">
        <f t="shared" ref="V3:V9" si="1">0.457*O3^2+171.06*O3-90.902</f>
        <v>43.833492771999985</v>
      </c>
      <c r="W3" s="124" t="s">
        <v>936</v>
      </c>
      <c r="AF3" s="127">
        <v>45680</v>
      </c>
      <c r="AG3" s="128">
        <v>0.375</v>
      </c>
      <c r="AH3" s="31" t="s">
        <v>70</v>
      </c>
      <c r="AI3" s="31" t="s">
        <v>71</v>
      </c>
      <c r="AJ3" s="31" t="s">
        <v>913</v>
      </c>
      <c r="AK3" s="31">
        <v>1</v>
      </c>
      <c r="AL3" s="31" t="s">
        <v>72</v>
      </c>
      <c r="AM3" s="31" t="s">
        <v>73</v>
      </c>
      <c r="AN3" s="31" t="s">
        <v>233</v>
      </c>
      <c r="AO3" s="31">
        <v>188</v>
      </c>
      <c r="AP3" s="129">
        <v>45681</v>
      </c>
      <c r="AQ3" s="128">
        <v>0.58870370370370373</v>
      </c>
      <c r="AR3" s="31">
        <v>1</v>
      </c>
      <c r="AS3" s="31" t="s">
        <v>194</v>
      </c>
      <c r="AT3" s="31">
        <v>22.5</v>
      </c>
      <c r="AU3" s="31">
        <v>1.27</v>
      </c>
      <c r="AV3" s="31">
        <v>5000</v>
      </c>
      <c r="AW3" s="31" t="s">
        <v>168</v>
      </c>
      <c r="AX3" s="34">
        <f t="shared" ref="AX3:AX7" si="2">IF(OR(AND(AN3&lt;&gt;"TP", AN3&lt;&gt;"TDP",AN3&lt;&gt;"TN", AN3&lt;&gt;"TDN"),AM3="CAL"), AV3*AR3, IF(OR(AND(AN3="TN", AV3&gt;2500), AND(AN3="TDN", AV3&gt;2500)),MAX(AV3, BP3)*AR3, IF(OR(AND(AN3="TN", AV3&lt;=2500), AND(AN3="TDN", AV3&lt;=2500)),MAX(AV3, BO3,BP3)*AR3, IF(OR(AND(AN3="TP",AV3&gt;500), AND(AN3="TDP", AV3&gt;500)),MAX(AV3,BP3)*AR3,IF(OR(AND(AN3="TP",AV3&lt;=150), AND(AN3="TDP", AV3&lt;=150)),MAX(AV3,BL3:BN3,BP3)*AR3,IF(OR(AND(AN3="TP",AV3&lt;=300), AND(AN3="TDP", AV3&lt;=300)),MAX(AV3,BM3,BN3,BP3)*AR3,IF(OR(AND(AN3="TP",AV3&lt;=500), AND(AN3="TDP", AV3&lt;=500)),MAX(AV3,BN3,BP3)*AR3,"")))))))</f>
        <v>5000</v>
      </c>
      <c r="AY3" s="31" t="s">
        <v>943</v>
      </c>
      <c r="AZ3" s="130">
        <v>45681</v>
      </c>
      <c r="BA3" s="131">
        <f t="shared" ref="BA3" si="3">-0.0851*AT3^2+228.88*AT3-104.36</f>
        <v>5002.3581250000007</v>
      </c>
      <c r="BB3" s="132" t="s">
        <v>944</v>
      </c>
    </row>
    <row r="4" spans="1:54" s="124" customFormat="1" x14ac:dyDescent="0.3">
      <c r="A4" s="32">
        <v>45678</v>
      </c>
      <c r="B4" s="33">
        <v>0.375</v>
      </c>
      <c r="C4" s="10" t="s">
        <v>70</v>
      </c>
      <c r="D4" s="10" t="s">
        <v>71</v>
      </c>
      <c r="E4" s="10" t="s">
        <v>908</v>
      </c>
      <c r="F4" s="10">
        <v>1</v>
      </c>
      <c r="G4" s="10" t="s">
        <v>72</v>
      </c>
      <c r="H4" s="10" t="s">
        <v>73</v>
      </c>
      <c r="I4" s="10" t="s">
        <v>233</v>
      </c>
      <c r="J4" s="10">
        <v>183</v>
      </c>
      <c r="K4" s="12">
        <v>45679</v>
      </c>
      <c r="L4" s="33">
        <v>0.72079861111111121</v>
      </c>
      <c r="M4" s="10">
        <v>1</v>
      </c>
      <c r="N4" s="10" t="s">
        <v>194</v>
      </c>
      <c r="O4" s="10">
        <v>1.1299999999999999</v>
      </c>
      <c r="P4" s="10">
        <v>5.5500000000000001E-2</v>
      </c>
      <c r="Q4" s="10">
        <v>125</v>
      </c>
      <c r="R4" s="10" t="s">
        <v>168</v>
      </c>
      <c r="S4" s="123">
        <f t="shared" si="0"/>
        <v>125</v>
      </c>
      <c r="T4" s="10" t="s">
        <v>935</v>
      </c>
      <c r="U4" s="125">
        <v>45679</v>
      </c>
      <c r="V4" s="126">
        <f t="shared" si="1"/>
        <v>102.9793433</v>
      </c>
      <c r="W4" s="124" t="s">
        <v>936</v>
      </c>
      <c r="AF4" s="32">
        <v>45685</v>
      </c>
      <c r="AG4" s="33">
        <v>0.375</v>
      </c>
      <c r="AH4" s="10" t="s">
        <v>70</v>
      </c>
      <c r="AI4" s="10" t="s">
        <v>71</v>
      </c>
      <c r="AJ4" s="10" t="s">
        <v>913</v>
      </c>
      <c r="AK4" s="10">
        <v>1</v>
      </c>
      <c r="AL4" s="10" t="s">
        <v>72</v>
      </c>
      <c r="AM4" s="10" t="s">
        <v>73</v>
      </c>
      <c r="AN4" s="10" t="s">
        <v>233</v>
      </c>
      <c r="AO4" s="10">
        <v>188</v>
      </c>
      <c r="AP4" s="12">
        <v>45686</v>
      </c>
      <c r="AQ4" s="33">
        <v>0.71452546296296304</v>
      </c>
      <c r="AR4" s="10">
        <v>1</v>
      </c>
      <c r="AS4" s="10" t="s">
        <v>194</v>
      </c>
      <c r="AT4" s="10">
        <v>20.7</v>
      </c>
      <c r="AU4" s="10">
        <v>1.32</v>
      </c>
      <c r="AV4" s="10">
        <v>5000</v>
      </c>
      <c r="AW4" s="10" t="s">
        <v>168</v>
      </c>
      <c r="AX4" s="123">
        <f t="shared" si="2"/>
        <v>5000</v>
      </c>
      <c r="AY4" s="10" t="s">
        <v>957</v>
      </c>
      <c r="AZ4" s="125">
        <v>45686</v>
      </c>
      <c r="BA4" s="126">
        <f t="shared" ref="BA4" si="4">-0.184*AT4^2+251.8*AT4-113.39</f>
        <v>5020.0278399999997</v>
      </c>
      <c r="BB4" s="124" t="s">
        <v>959</v>
      </c>
    </row>
    <row r="5" spans="1:54" s="124" customFormat="1" x14ac:dyDescent="0.3">
      <c r="A5" s="32">
        <v>45678</v>
      </c>
      <c r="B5" s="33">
        <v>0.375</v>
      </c>
      <c r="C5" s="10" t="s">
        <v>70</v>
      </c>
      <c r="D5" s="10" t="s">
        <v>71</v>
      </c>
      <c r="E5" s="10" t="s">
        <v>909</v>
      </c>
      <c r="F5" s="10">
        <v>1</v>
      </c>
      <c r="G5" s="10" t="s">
        <v>72</v>
      </c>
      <c r="H5" s="10" t="s">
        <v>73</v>
      </c>
      <c r="I5" s="10" t="s">
        <v>233</v>
      </c>
      <c r="J5" s="10">
        <v>184</v>
      </c>
      <c r="K5" s="12">
        <v>45679</v>
      </c>
      <c r="L5" s="33">
        <v>0.71740740740740738</v>
      </c>
      <c r="M5" s="10">
        <v>1</v>
      </c>
      <c r="N5" s="10" t="s">
        <v>194</v>
      </c>
      <c r="O5" s="10">
        <v>3.59</v>
      </c>
      <c r="P5" s="10">
        <v>0.17899999999999999</v>
      </c>
      <c r="Q5" s="10">
        <v>500</v>
      </c>
      <c r="R5" s="10" t="s">
        <v>168</v>
      </c>
      <c r="S5" s="123">
        <f t="shared" si="0"/>
        <v>500</v>
      </c>
      <c r="T5" s="10" t="s">
        <v>935</v>
      </c>
      <c r="U5" s="125">
        <v>45679</v>
      </c>
      <c r="V5" s="126">
        <f t="shared" si="1"/>
        <v>529.09326169999997</v>
      </c>
      <c r="W5" s="124" t="s">
        <v>936</v>
      </c>
      <c r="AF5" s="127">
        <v>45692</v>
      </c>
      <c r="AG5" s="128">
        <v>0.375</v>
      </c>
      <c r="AH5" s="31" t="s">
        <v>70</v>
      </c>
      <c r="AI5" s="31" t="s">
        <v>71</v>
      </c>
      <c r="AJ5" s="31" t="s">
        <v>913</v>
      </c>
      <c r="AK5" s="31">
        <v>1</v>
      </c>
      <c r="AL5" s="31" t="s">
        <v>72</v>
      </c>
      <c r="AM5" s="31" t="s">
        <v>73</v>
      </c>
      <c r="AN5" s="31" t="s">
        <v>233</v>
      </c>
      <c r="AO5" s="31">
        <v>188</v>
      </c>
      <c r="AP5" s="129">
        <v>45693</v>
      </c>
      <c r="AQ5" s="128">
        <v>0.42109953703703701</v>
      </c>
      <c r="AR5" s="31">
        <v>1</v>
      </c>
      <c r="AS5" s="31" t="s">
        <v>194</v>
      </c>
      <c r="AT5" s="31">
        <v>28.2</v>
      </c>
      <c r="AU5" s="31">
        <v>1.37</v>
      </c>
      <c r="AV5" s="31">
        <v>5000</v>
      </c>
      <c r="AW5" s="31" t="s">
        <v>168</v>
      </c>
      <c r="AX5" s="34">
        <f t="shared" si="2"/>
        <v>5000</v>
      </c>
      <c r="AY5" s="31" t="s">
        <v>969</v>
      </c>
      <c r="AZ5" s="130">
        <v>45693</v>
      </c>
      <c r="BA5" s="131">
        <f t="shared" ref="BA5" si="5">0.2491*AT5^2+174.07*AT5-113.01</f>
        <v>4993.858283999999</v>
      </c>
      <c r="BB5" s="132" t="s">
        <v>970</v>
      </c>
    </row>
    <row r="6" spans="1:54" s="124" customFormat="1" x14ac:dyDescent="0.3">
      <c r="A6" s="32">
        <v>45678</v>
      </c>
      <c r="B6" s="33">
        <v>0.375</v>
      </c>
      <c r="C6" s="10" t="s">
        <v>70</v>
      </c>
      <c r="D6" s="10" t="s">
        <v>71</v>
      </c>
      <c r="E6" s="10" t="s">
        <v>910</v>
      </c>
      <c r="F6" s="10">
        <v>1</v>
      </c>
      <c r="G6" s="10" t="s">
        <v>72</v>
      </c>
      <c r="H6" s="10" t="s">
        <v>73</v>
      </c>
      <c r="I6" s="10" t="s">
        <v>233</v>
      </c>
      <c r="J6" s="10">
        <v>185</v>
      </c>
      <c r="K6" s="12">
        <v>45679</v>
      </c>
      <c r="L6" s="33">
        <v>0.71807870370370364</v>
      </c>
      <c r="M6" s="10">
        <v>1</v>
      </c>
      <c r="N6" s="10" t="s">
        <v>194</v>
      </c>
      <c r="O6" s="10">
        <v>7.66</v>
      </c>
      <c r="P6" s="10">
        <v>0.38</v>
      </c>
      <c r="Q6" s="10">
        <v>1250</v>
      </c>
      <c r="R6" s="10" t="s">
        <v>168</v>
      </c>
      <c r="S6" s="123">
        <f t="shared" si="0"/>
        <v>1250</v>
      </c>
      <c r="T6" s="10" t="s">
        <v>935</v>
      </c>
      <c r="U6" s="125">
        <v>45679</v>
      </c>
      <c r="V6" s="126">
        <f t="shared" si="1"/>
        <v>1246.2323492</v>
      </c>
      <c r="W6" s="124" t="s">
        <v>936</v>
      </c>
      <c r="AF6" s="119">
        <v>45699</v>
      </c>
      <c r="AG6" s="120">
        <v>0.375</v>
      </c>
      <c r="AH6" s="121" t="s">
        <v>70</v>
      </c>
      <c r="AI6" s="121" t="s">
        <v>71</v>
      </c>
      <c r="AJ6" s="121" t="s">
        <v>913</v>
      </c>
      <c r="AK6" s="121">
        <v>1</v>
      </c>
      <c r="AL6" s="121" t="s">
        <v>72</v>
      </c>
      <c r="AM6" s="121" t="s">
        <v>73</v>
      </c>
      <c r="AN6" s="121" t="s">
        <v>233</v>
      </c>
      <c r="AO6" s="121">
        <v>188</v>
      </c>
      <c r="AP6" s="122">
        <v>45700</v>
      </c>
      <c r="AQ6" s="120">
        <v>0.41978009259259258</v>
      </c>
      <c r="AR6" s="121">
        <v>1</v>
      </c>
      <c r="AS6" s="121" t="s">
        <v>194</v>
      </c>
      <c r="AT6" s="121">
        <v>21.5</v>
      </c>
      <c r="AU6" s="121">
        <v>1.35</v>
      </c>
      <c r="AV6" s="121">
        <v>5000</v>
      </c>
      <c r="AW6" s="121" t="s">
        <v>168</v>
      </c>
      <c r="AX6" s="123">
        <f t="shared" si="2"/>
        <v>5000</v>
      </c>
      <c r="AY6" s="10" t="s">
        <v>977</v>
      </c>
      <c r="AZ6" s="125">
        <v>45700</v>
      </c>
      <c r="BA6" s="126">
        <f t="shared" ref="BA6" si="6">0.0191*AT6^2+236.17*AT6-121.05</f>
        <v>4965.4339749999999</v>
      </c>
      <c r="BB6" s="124" t="s">
        <v>978</v>
      </c>
    </row>
    <row r="7" spans="1:54" s="124" customFormat="1" x14ac:dyDescent="0.3">
      <c r="A7" s="32">
        <v>45678</v>
      </c>
      <c r="B7" s="33">
        <v>0.375</v>
      </c>
      <c r="C7" s="10" t="s">
        <v>70</v>
      </c>
      <c r="D7" s="10" t="s">
        <v>71</v>
      </c>
      <c r="E7" s="10" t="s">
        <v>911</v>
      </c>
      <c r="F7" s="10">
        <v>1</v>
      </c>
      <c r="G7" s="10" t="s">
        <v>72</v>
      </c>
      <c r="H7" s="10" t="s">
        <v>73</v>
      </c>
      <c r="I7" s="10" t="s">
        <v>233</v>
      </c>
      <c r="J7" s="10">
        <v>186</v>
      </c>
      <c r="K7" s="12">
        <v>45679</v>
      </c>
      <c r="L7" s="33">
        <v>0.71876157407407415</v>
      </c>
      <c r="M7" s="10">
        <v>1</v>
      </c>
      <c r="N7" s="10" t="s">
        <v>194</v>
      </c>
      <c r="O7" s="10">
        <v>14.5</v>
      </c>
      <c r="P7" s="10">
        <v>0.72399999999999998</v>
      </c>
      <c r="Q7" s="10">
        <v>2500</v>
      </c>
      <c r="R7" s="10" t="s">
        <v>168</v>
      </c>
      <c r="S7" s="123">
        <f t="shared" si="0"/>
        <v>2500</v>
      </c>
      <c r="T7" s="10" t="s">
        <v>935</v>
      </c>
      <c r="U7" s="125">
        <v>45679</v>
      </c>
      <c r="V7" s="126">
        <f t="shared" si="1"/>
        <v>2485.5522499999997</v>
      </c>
      <c r="W7" s="124" t="s">
        <v>936</v>
      </c>
      <c r="AF7" s="127">
        <v>45707</v>
      </c>
      <c r="AG7" s="128">
        <v>0.375</v>
      </c>
      <c r="AH7" s="31" t="s">
        <v>70</v>
      </c>
      <c r="AI7" s="31" t="s">
        <v>71</v>
      </c>
      <c r="AJ7" s="31" t="s">
        <v>913</v>
      </c>
      <c r="AK7" s="31">
        <v>1</v>
      </c>
      <c r="AL7" s="31" t="s">
        <v>72</v>
      </c>
      <c r="AM7" s="31" t="s">
        <v>73</v>
      </c>
      <c r="AN7" s="31" t="s">
        <v>233</v>
      </c>
      <c r="AO7" s="31">
        <v>188</v>
      </c>
      <c r="AP7" s="129">
        <v>45719</v>
      </c>
      <c r="AQ7" s="128">
        <v>0.46571759259259254</v>
      </c>
      <c r="AR7" s="31">
        <v>1</v>
      </c>
      <c r="AS7" s="31" t="s">
        <v>194</v>
      </c>
      <c r="AT7" s="31">
        <v>28</v>
      </c>
      <c r="AU7" s="31">
        <v>1.37</v>
      </c>
      <c r="AV7" s="31">
        <v>5000</v>
      </c>
      <c r="AW7" s="31" t="s">
        <v>168</v>
      </c>
      <c r="AX7" s="34">
        <f t="shared" si="2"/>
        <v>5000</v>
      </c>
      <c r="AY7" s="31" t="s">
        <v>985</v>
      </c>
      <c r="AZ7" s="130">
        <v>45719</v>
      </c>
      <c r="BA7" s="131">
        <f t="shared" ref="BA7" si="7">0.2081*AT7^2+177.29*AT7-111.48</f>
        <v>5015.7904000000008</v>
      </c>
      <c r="BB7" s="132" t="s">
        <v>987</v>
      </c>
    </row>
    <row r="8" spans="1:54" s="124" customFormat="1" x14ac:dyDescent="0.3">
      <c r="A8" s="32">
        <v>45678</v>
      </c>
      <c r="B8" s="33">
        <v>0.375</v>
      </c>
      <c r="C8" s="10" t="s">
        <v>70</v>
      </c>
      <c r="D8" s="10" t="s">
        <v>71</v>
      </c>
      <c r="E8" s="10" t="s">
        <v>912</v>
      </c>
      <c r="F8" s="10">
        <v>1</v>
      </c>
      <c r="G8" s="10" t="s">
        <v>72</v>
      </c>
      <c r="H8" s="10" t="s">
        <v>73</v>
      </c>
      <c r="I8" s="10" t="s">
        <v>233</v>
      </c>
      <c r="J8" s="10">
        <v>187</v>
      </c>
      <c r="K8" s="12">
        <v>45679</v>
      </c>
      <c r="L8" s="33">
        <v>0.71944444444444444</v>
      </c>
      <c r="M8" s="10">
        <v>1</v>
      </c>
      <c r="N8" s="10" t="s">
        <v>194</v>
      </c>
      <c r="O8" s="10">
        <v>21.3</v>
      </c>
      <c r="P8" s="10">
        <v>1.05</v>
      </c>
      <c r="Q8" s="10">
        <v>3750</v>
      </c>
      <c r="R8" s="10" t="s">
        <v>168</v>
      </c>
      <c r="S8" s="123">
        <f t="shared" si="0"/>
        <v>3750</v>
      </c>
      <c r="T8" s="10" t="s">
        <v>935</v>
      </c>
      <c r="U8" s="125">
        <v>45679</v>
      </c>
      <c r="V8" s="126">
        <f t="shared" si="1"/>
        <v>3760.01233</v>
      </c>
      <c r="W8" s="124" t="s">
        <v>936</v>
      </c>
    </row>
    <row r="9" spans="1:54" s="124" customFormat="1" x14ac:dyDescent="0.3">
      <c r="A9" s="32">
        <v>45678</v>
      </c>
      <c r="B9" s="33">
        <v>0.375</v>
      </c>
      <c r="C9" s="10" t="s">
        <v>70</v>
      </c>
      <c r="D9" s="10" t="s">
        <v>71</v>
      </c>
      <c r="E9" s="10" t="s">
        <v>913</v>
      </c>
      <c r="F9" s="10">
        <v>1</v>
      </c>
      <c r="G9" s="10" t="s">
        <v>72</v>
      </c>
      <c r="H9" s="10" t="s">
        <v>73</v>
      </c>
      <c r="I9" s="10" t="s">
        <v>233</v>
      </c>
      <c r="J9" s="10">
        <v>188</v>
      </c>
      <c r="K9" s="12">
        <v>45679</v>
      </c>
      <c r="L9" s="33">
        <v>0.7201157407407407</v>
      </c>
      <c r="M9" s="10">
        <v>1</v>
      </c>
      <c r="N9" s="10" t="s">
        <v>194</v>
      </c>
      <c r="O9" s="10">
        <v>27.7</v>
      </c>
      <c r="P9" s="10">
        <v>1.38</v>
      </c>
      <c r="Q9" s="10">
        <v>5000</v>
      </c>
      <c r="R9" s="10" t="s">
        <v>168</v>
      </c>
      <c r="S9" s="123">
        <f t="shared" si="0"/>
        <v>5000</v>
      </c>
      <c r="T9" s="10" t="s">
        <v>935</v>
      </c>
      <c r="U9" s="125">
        <v>45679</v>
      </c>
      <c r="V9" s="126">
        <f t="shared" si="1"/>
        <v>4998.1115300000001</v>
      </c>
      <c r="W9" s="124" t="s">
        <v>936</v>
      </c>
    </row>
    <row r="10" spans="1:54" s="124" customFormat="1" x14ac:dyDescent="0.3">
      <c r="A10" s="127">
        <v>45680</v>
      </c>
      <c r="B10" s="128">
        <v>0.375</v>
      </c>
      <c r="C10" s="31" t="s">
        <v>70</v>
      </c>
      <c r="D10" s="31" t="s">
        <v>71</v>
      </c>
      <c r="E10" s="31" t="s">
        <v>906</v>
      </c>
      <c r="F10" s="31">
        <v>1</v>
      </c>
      <c r="G10" s="31" t="s">
        <v>72</v>
      </c>
      <c r="H10" s="31" t="s">
        <v>73</v>
      </c>
      <c r="I10" s="31" t="s">
        <v>233</v>
      </c>
      <c r="J10" s="31">
        <v>181</v>
      </c>
      <c r="K10" s="129">
        <v>45681</v>
      </c>
      <c r="L10" s="128">
        <v>0.5839699074074074</v>
      </c>
      <c r="M10" s="31">
        <v>1</v>
      </c>
      <c r="N10" s="31" t="s">
        <v>194</v>
      </c>
      <c r="O10" s="31">
        <v>0.39500000000000002</v>
      </c>
      <c r="P10" s="31">
        <v>2.18E-2</v>
      </c>
      <c r="Q10" s="31">
        <v>0</v>
      </c>
      <c r="R10" s="31" t="s">
        <v>168</v>
      </c>
      <c r="S10" s="34">
        <f t="shared" si="0"/>
        <v>0</v>
      </c>
      <c r="T10" s="31" t="s">
        <v>943</v>
      </c>
      <c r="U10" s="130">
        <v>45681</v>
      </c>
      <c r="V10" s="131">
        <f>-0.0851*O10^2+228.88*O10-104.36</f>
        <v>-13.965677727499994</v>
      </c>
      <c r="W10" s="132" t="s">
        <v>944</v>
      </c>
    </row>
    <row r="11" spans="1:54" s="124" customFormat="1" x14ac:dyDescent="0.3">
      <c r="A11" s="127">
        <v>45680</v>
      </c>
      <c r="B11" s="128">
        <v>0.375</v>
      </c>
      <c r="C11" s="31" t="s">
        <v>70</v>
      </c>
      <c r="D11" s="31" t="s">
        <v>71</v>
      </c>
      <c r="E11" s="31" t="s">
        <v>907</v>
      </c>
      <c r="F11" s="31">
        <v>1</v>
      </c>
      <c r="G11" s="31" t="s">
        <v>72</v>
      </c>
      <c r="H11" s="31" t="s">
        <v>73</v>
      </c>
      <c r="I11" s="31" t="s">
        <v>233</v>
      </c>
      <c r="J11" s="31">
        <v>182</v>
      </c>
      <c r="K11" s="129">
        <v>45681</v>
      </c>
      <c r="L11" s="128">
        <v>0.58464120370370376</v>
      </c>
      <c r="M11" s="31">
        <v>1</v>
      </c>
      <c r="N11" s="31" t="s">
        <v>194</v>
      </c>
      <c r="O11" s="31">
        <v>0.51900000000000002</v>
      </c>
      <c r="P11" s="31">
        <v>2.8400000000000002E-2</v>
      </c>
      <c r="Q11" s="31">
        <v>30</v>
      </c>
      <c r="R11" s="31" t="s">
        <v>168</v>
      </c>
      <c r="S11" s="34">
        <f t="shared" si="0"/>
        <v>30</v>
      </c>
      <c r="T11" s="31" t="s">
        <v>943</v>
      </c>
      <c r="U11" s="130">
        <v>45681</v>
      </c>
      <c r="V11" s="131">
        <f t="shared" ref="V11:V17" si="8">-0.0851*O11^2+228.88*O11-104.36</f>
        <v>14.405797378900004</v>
      </c>
      <c r="W11" s="132" t="s">
        <v>944</v>
      </c>
    </row>
    <row r="12" spans="1:54" s="124" customFormat="1" x14ac:dyDescent="0.3">
      <c r="A12" s="127">
        <v>45680</v>
      </c>
      <c r="B12" s="128">
        <v>0.375</v>
      </c>
      <c r="C12" s="31" t="s">
        <v>70</v>
      </c>
      <c r="D12" s="31" t="s">
        <v>71</v>
      </c>
      <c r="E12" s="31" t="s">
        <v>908</v>
      </c>
      <c r="F12" s="31">
        <v>1</v>
      </c>
      <c r="G12" s="31" t="s">
        <v>72</v>
      </c>
      <c r="H12" s="31" t="s">
        <v>73</v>
      </c>
      <c r="I12" s="31" t="s">
        <v>233</v>
      </c>
      <c r="J12" s="31">
        <v>183</v>
      </c>
      <c r="K12" s="129">
        <v>45681</v>
      </c>
      <c r="L12" s="128">
        <v>0.58531250000000001</v>
      </c>
      <c r="M12" s="31">
        <v>1</v>
      </c>
      <c r="N12" s="31" t="s">
        <v>194</v>
      </c>
      <c r="O12" s="31">
        <v>0.97799999999999998</v>
      </c>
      <c r="P12" s="31">
        <v>5.5500000000000001E-2</v>
      </c>
      <c r="Q12" s="31">
        <v>125</v>
      </c>
      <c r="R12" s="31" t="s">
        <v>168</v>
      </c>
      <c r="S12" s="34">
        <f t="shared" si="0"/>
        <v>125</v>
      </c>
      <c r="T12" s="31" t="s">
        <v>943</v>
      </c>
      <c r="U12" s="130">
        <v>45681</v>
      </c>
      <c r="V12" s="131">
        <f t="shared" si="8"/>
        <v>119.40324321159999</v>
      </c>
      <c r="W12" s="132" t="s">
        <v>944</v>
      </c>
    </row>
    <row r="13" spans="1:54" s="124" customFormat="1" x14ac:dyDescent="0.3">
      <c r="A13" s="127">
        <v>45680</v>
      </c>
      <c r="B13" s="128">
        <v>0.375</v>
      </c>
      <c r="C13" s="31" t="s">
        <v>70</v>
      </c>
      <c r="D13" s="31" t="s">
        <v>71</v>
      </c>
      <c r="E13" s="31" t="s">
        <v>909</v>
      </c>
      <c r="F13" s="31">
        <v>1</v>
      </c>
      <c r="G13" s="31" t="s">
        <v>72</v>
      </c>
      <c r="H13" s="31" t="s">
        <v>73</v>
      </c>
      <c r="I13" s="31" t="s">
        <v>233</v>
      </c>
      <c r="J13" s="31">
        <v>184</v>
      </c>
      <c r="K13" s="129">
        <v>45681</v>
      </c>
      <c r="L13" s="128">
        <v>0.58599537037037031</v>
      </c>
      <c r="M13" s="31">
        <v>1</v>
      </c>
      <c r="N13" s="31" t="s">
        <v>194</v>
      </c>
      <c r="O13" s="31">
        <v>2.78</v>
      </c>
      <c r="P13" s="31">
        <v>0.158</v>
      </c>
      <c r="Q13" s="31">
        <v>500</v>
      </c>
      <c r="R13" s="31" t="s">
        <v>168</v>
      </c>
      <c r="S13" s="34">
        <f t="shared" si="0"/>
        <v>500</v>
      </c>
      <c r="T13" s="31" t="s">
        <v>943</v>
      </c>
      <c r="U13" s="130">
        <v>45681</v>
      </c>
      <c r="V13" s="131">
        <f t="shared" si="8"/>
        <v>531.26871315999995</v>
      </c>
      <c r="W13" s="132" t="s">
        <v>944</v>
      </c>
    </row>
    <row r="14" spans="1:54" s="124" customFormat="1" x14ac:dyDescent="0.3">
      <c r="A14" s="127">
        <v>45680</v>
      </c>
      <c r="B14" s="128">
        <v>0.375</v>
      </c>
      <c r="C14" s="31" t="s">
        <v>70</v>
      </c>
      <c r="D14" s="31" t="s">
        <v>71</v>
      </c>
      <c r="E14" s="31" t="s">
        <v>910</v>
      </c>
      <c r="F14" s="31">
        <v>1</v>
      </c>
      <c r="G14" s="31" t="s">
        <v>72</v>
      </c>
      <c r="H14" s="31" t="s">
        <v>73</v>
      </c>
      <c r="I14" s="31" t="s">
        <v>233</v>
      </c>
      <c r="J14" s="31">
        <v>185</v>
      </c>
      <c r="K14" s="129">
        <v>45681</v>
      </c>
      <c r="L14" s="128">
        <v>0.58666666666666667</v>
      </c>
      <c r="M14" s="31">
        <v>1</v>
      </c>
      <c r="N14" s="31" t="s">
        <v>194</v>
      </c>
      <c r="O14" s="31">
        <v>6.11</v>
      </c>
      <c r="P14" s="31">
        <v>0.34699999999999998</v>
      </c>
      <c r="Q14" s="31">
        <v>1250</v>
      </c>
      <c r="R14" s="31" t="s">
        <v>168</v>
      </c>
      <c r="S14" s="34">
        <f t="shared" si="0"/>
        <v>1250</v>
      </c>
      <c r="T14" s="31" t="s">
        <v>943</v>
      </c>
      <c r="U14" s="130">
        <v>45681</v>
      </c>
      <c r="V14" s="131">
        <f t="shared" si="8"/>
        <v>1290.9198382900004</v>
      </c>
      <c r="W14" s="132" t="s">
        <v>944</v>
      </c>
    </row>
    <row r="15" spans="1:54" s="124" customFormat="1" x14ac:dyDescent="0.3">
      <c r="A15" s="127">
        <v>45680</v>
      </c>
      <c r="B15" s="128">
        <v>0.375</v>
      </c>
      <c r="C15" s="31" t="s">
        <v>70</v>
      </c>
      <c r="D15" s="31" t="s">
        <v>71</v>
      </c>
      <c r="E15" s="31" t="s">
        <v>911</v>
      </c>
      <c r="F15" s="31">
        <v>1</v>
      </c>
      <c r="G15" s="31" t="s">
        <v>72</v>
      </c>
      <c r="H15" s="31" t="s">
        <v>73</v>
      </c>
      <c r="I15" s="31" t="s">
        <v>233</v>
      </c>
      <c r="J15" s="31">
        <v>186</v>
      </c>
      <c r="K15" s="129">
        <v>45681</v>
      </c>
      <c r="L15" s="128">
        <v>0.58734953703703707</v>
      </c>
      <c r="M15" s="31">
        <v>1</v>
      </c>
      <c r="N15" s="31" t="s">
        <v>194</v>
      </c>
      <c r="O15" s="31">
        <v>11.2</v>
      </c>
      <c r="P15" s="31">
        <v>0.64</v>
      </c>
      <c r="Q15" s="31">
        <v>2500</v>
      </c>
      <c r="R15" s="31" t="s">
        <v>168</v>
      </c>
      <c r="S15" s="34">
        <f t="shared" si="0"/>
        <v>2500</v>
      </c>
      <c r="T15" s="31" t="s">
        <v>943</v>
      </c>
      <c r="U15" s="130">
        <v>45681</v>
      </c>
      <c r="V15" s="131">
        <f t="shared" si="8"/>
        <v>2448.4210559999997</v>
      </c>
      <c r="W15" s="132" t="s">
        <v>944</v>
      </c>
    </row>
    <row r="16" spans="1:54" s="124" customFormat="1" x14ac:dyDescent="0.3">
      <c r="A16" s="127">
        <v>45680</v>
      </c>
      <c r="B16" s="128">
        <v>0.375</v>
      </c>
      <c r="C16" s="31" t="s">
        <v>70</v>
      </c>
      <c r="D16" s="31" t="s">
        <v>71</v>
      </c>
      <c r="E16" s="31" t="s">
        <v>912</v>
      </c>
      <c r="F16" s="31">
        <v>1</v>
      </c>
      <c r="G16" s="31" t="s">
        <v>72</v>
      </c>
      <c r="H16" s="31" t="s">
        <v>73</v>
      </c>
      <c r="I16" s="31" t="s">
        <v>233</v>
      </c>
      <c r="J16" s="31">
        <v>187</v>
      </c>
      <c r="K16" s="129">
        <v>45681</v>
      </c>
      <c r="L16" s="128">
        <v>0.58803240740740736</v>
      </c>
      <c r="M16" s="31">
        <v>1</v>
      </c>
      <c r="N16" s="31" t="s">
        <v>194</v>
      </c>
      <c r="O16" s="31">
        <v>17</v>
      </c>
      <c r="P16" s="31">
        <v>0.96199999999999997</v>
      </c>
      <c r="Q16" s="31">
        <v>3750</v>
      </c>
      <c r="R16" s="31" t="s">
        <v>168</v>
      </c>
      <c r="S16" s="34">
        <f t="shared" si="0"/>
        <v>3750</v>
      </c>
      <c r="T16" s="31" t="s">
        <v>943</v>
      </c>
      <c r="U16" s="130">
        <v>45681</v>
      </c>
      <c r="V16" s="131">
        <f t="shared" si="8"/>
        <v>3762.0061000000001</v>
      </c>
      <c r="W16" s="132" t="s">
        <v>944</v>
      </c>
    </row>
    <row r="17" spans="1:23" s="124" customFormat="1" x14ac:dyDescent="0.3">
      <c r="A17" s="127">
        <v>45680</v>
      </c>
      <c r="B17" s="128">
        <v>0.375</v>
      </c>
      <c r="C17" s="31" t="s">
        <v>70</v>
      </c>
      <c r="D17" s="31" t="s">
        <v>71</v>
      </c>
      <c r="E17" s="31" t="s">
        <v>913</v>
      </c>
      <c r="F17" s="31">
        <v>1</v>
      </c>
      <c r="G17" s="31" t="s">
        <v>72</v>
      </c>
      <c r="H17" s="31" t="s">
        <v>73</v>
      </c>
      <c r="I17" s="31" t="s">
        <v>233</v>
      </c>
      <c r="J17" s="31">
        <v>188</v>
      </c>
      <c r="K17" s="129">
        <v>45681</v>
      </c>
      <c r="L17" s="128">
        <v>0.58870370370370373</v>
      </c>
      <c r="M17" s="31">
        <v>1</v>
      </c>
      <c r="N17" s="31" t="s">
        <v>194</v>
      </c>
      <c r="O17" s="31">
        <v>22.5</v>
      </c>
      <c r="P17" s="31">
        <v>1.27</v>
      </c>
      <c r="Q17" s="31">
        <v>5000</v>
      </c>
      <c r="R17" s="31" t="s">
        <v>168</v>
      </c>
      <c r="S17" s="34">
        <f t="shared" si="0"/>
        <v>5000</v>
      </c>
      <c r="T17" s="31" t="s">
        <v>943</v>
      </c>
      <c r="U17" s="130">
        <v>45681</v>
      </c>
      <c r="V17" s="131">
        <f t="shared" si="8"/>
        <v>5002.3581250000007</v>
      </c>
      <c r="W17" s="132" t="s">
        <v>944</v>
      </c>
    </row>
    <row r="18" spans="1:23" s="124" customFormat="1" x14ac:dyDescent="0.3">
      <c r="A18" s="32">
        <v>45685</v>
      </c>
      <c r="B18" s="33">
        <v>0.375</v>
      </c>
      <c r="C18" s="10" t="s">
        <v>70</v>
      </c>
      <c r="D18" s="10" t="s">
        <v>71</v>
      </c>
      <c r="E18" s="10" t="s">
        <v>906</v>
      </c>
      <c r="F18" s="10">
        <v>1</v>
      </c>
      <c r="G18" s="10" t="s">
        <v>72</v>
      </c>
      <c r="H18" s="10" t="s">
        <v>73</v>
      </c>
      <c r="I18" s="10" t="s">
        <v>233</v>
      </c>
      <c r="J18" s="10">
        <v>181</v>
      </c>
      <c r="K18" s="12">
        <v>45686</v>
      </c>
      <c r="L18" s="33">
        <v>0.71520833333333333</v>
      </c>
      <c r="M18" s="10">
        <v>1</v>
      </c>
      <c r="N18" s="10" t="s">
        <v>194</v>
      </c>
      <c r="O18" s="10">
        <v>0.42899999999999999</v>
      </c>
      <c r="P18" s="10">
        <v>2.8299999999999999E-2</v>
      </c>
      <c r="Q18" s="10">
        <v>0</v>
      </c>
      <c r="R18" s="10" t="s">
        <v>168</v>
      </c>
      <c r="S18" s="123">
        <f t="shared" si="0"/>
        <v>0</v>
      </c>
      <c r="T18" s="10" t="s">
        <v>957</v>
      </c>
      <c r="U18" s="125">
        <v>45686</v>
      </c>
      <c r="V18" s="126">
        <f>-0.184*O18^2+251.8*O18-113.39</f>
        <v>-5.4016635440000016</v>
      </c>
      <c r="W18" s="124" t="s">
        <v>959</v>
      </c>
    </row>
    <row r="19" spans="1:23" s="124" customFormat="1" x14ac:dyDescent="0.3">
      <c r="A19" s="32">
        <v>45685</v>
      </c>
      <c r="B19" s="33">
        <v>0.375</v>
      </c>
      <c r="C19" s="10" t="s">
        <v>70</v>
      </c>
      <c r="D19" s="10" t="s">
        <v>71</v>
      </c>
      <c r="E19" s="10" t="s">
        <v>907</v>
      </c>
      <c r="F19" s="10">
        <v>1</v>
      </c>
      <c r="G19" s="10" t="s">
        <v>72</v>
      </c>
      <c r="H19" s="10" t="s">
        <v>73</v>
      </c>
      <c r="I19" s="10" t="s">
        <v>233</v>
      </c>
      <c r="J19" s="10">
        <v>182</v>
      </c>
      <c r="K19" s="12">
        <v>45686</v>
      </c>
      <c r="L19" s="33">
        <v>0.71045138888888892</v>
      </c>
      <c r="M19" s="10">
        <v>1</v>
      </c>
      <c r="N19" s="10" t="s">
        <v>194</v>
      </c>
      <c r="O19" s="10">
        <v>0.49399999999999999</v>
      </c>
      <c r="P19" s="10">
        <v>3.1E-2</v>
      </c>
      <c r="Q19" s="10">
        <v>30</v>
      </c>
      <c r="R19" s="10" t="s">
        <v>168</v>
      </c>
      <c r="S19" s="123">
        <f t="shared" si="0"/>
        <v>30</v>
      </c>
      <c r="T19" s="10" t="s">
        <v>957</v>
      </c>
      <c r="U19" s="125">
        <v>45686</v>
      </c>
      <c r="V19" s="126">
        <f t="shared" ref="V19:V25" si="9">-0.184*O19^2+251.8*O19-113.39</f>
        <v>10.954297376</v>
      </c>
      <c r="W19" s="124" t="s">
        <v>959</v>
      </c>
    </row>
    <row r="20" spans="1:23" s="124" customFormat="1" x14ac:dyDescent="0.3">
      <c r="A20" s="32">
        <v>45685</v>
      </c>
      <c r="B20" s="33">
        <v>0.375</v>
      </c>
      <c r="C20" s="10" t="s">
        <v>70</v>
      </c>
      <c r="D20" s="10" t="s">
        <v>71</v>
      </c>
      <c r="E20" s="10" t="s">
        <v>908</v>
      </c>
      <c r="F20" s="10">
        <v>1</v>
      </c>
      <c r="G20" s="10" t="s">
        <v>72</v>
      </c>
      <c r="H20" s="10" t="s">
        <v>73</v>
      </c>
      <c r="I20" s="10" t="s">
        <v>233</v>
      </c>
      <c r="J20" s="10">
        <v>183</v>
      </c>
      <c r="K20" s="12">
        <v>45686</v>
      </c>
      <c r="L20" s="33">
        <v>0.71113425925925933</v>
      </c>
      <c r="M20" s="10">
        <v>1</v>
      </c>
      <c r="N20" s="10" t="s">
        <v>194</v>
      </c>
      <c r="O20" s="10">
        <v>0.94599999999999995</v>
      </c>
      <c r="P20" s="10">
        <v>6.13E-2</v>
      </c>
      <c r="Q20" s="10">
        <v>125</v>
      </c>
      <c r="R20" s="10" t="s">
        <v>168</v>
      </c>
      <c r="S20" s="123">
        <f t="shared" si="0"/>
        <v>125</v>
      </c>
      <c r="T20" s="10" t="s">
        <v>957</v>
      </c>
      <c r="U20" s="125">
        <v>45686</v>
      </c>
      <c r="V20" s="126">
        <f t="shared" si="9"/>
        <v>124.64813545599999</v>
      </c>
      <c r="W20" s="124" t="s">
        <v>959</v>
      </c>
    </row>
    <row r="21" spans="1:23" s="124" customFormat="1" x14ac:dyDescent="0.3">
      <c r="A21" s="32">
        <v>45685</v>
      </c>
      <c r="B21" s="33">
        <v>0.375</v>
      </c>
      <c r="C21" s="10" t="s">
        <v>70</v>
      </c>
      <c r="D21" s="10" t="s">
        <v>71</v>
      </c>
      <c r="E21" s="10" t="s">
        <v>909</v>
      </c>
      <c r="F21" s="10">
        <v>1</v>
      </c>
      <c r="G21" s="10" t="s">
        <v>72</v>
      </c>
      <c r="H21" s="10" t="s">
        <v>73</v>
      </c>
      <c r="I21" s="10" t="s">
        <v>233</v>
      </c>
      <c r="J21" s="10">
        <v>184</v>
      </c>
      <c r="K21" s="12">
        <v>45686</v>
      </c>
      <c r="L21" s="33">
        <v>0.71180555555555547</v>
      </c>
      <c r="M21" s="10">
        <v>1</v>
      </c>
      <c r="N21" s="10" t="s">
        <v>194</v>
      </c>
      <c r="O21" s="10">
        <v>2.5499999999999998</v>
      </c>
      <c r="P21" s="10">
        <v>0.16300000000000001</v>
      </c>
      <c r="Q21" s="10">
        <v>500</v>
      </c>
      <c r="R21" s="10" t="s">
        <v>168</v>
      </c>
      <c r="S21" s="123">
        <f t="shared" si="0"/>
        <v>500</v>
      </c>
      <c r="T21" s="10" t="s">
        <v>957</v>
      </c>
      <c r="U21" s="125">
        <v>45686</v>
      </c>
      <c r="V21" s="126">
        <f t="shared" si="9"/>
        <v>527.50354000000004</v>
      </c>
      <c r="W21" s="124" t="s">
        <v>959</v>
      </c>
    </row>
    <row r="22" spans="1:23" s="124" customFormat="1" x14ac:dyDescent="0.3">
      <c r="A22" s="32">
        <v>45685</v>
      </c>
      <c r="B22" s="33">
        <v>0.375</v>
      </c>
      <c r="C22" s="10" t="s">
        <v>70</v>
      </c>
      <c r="D22" s="10" t="s">
        <v>71</v>
      </c>
      <c r="E22" s="10" t="s">
        <v>910</v>
      </c>
      <c r="F22" s="10">
        <v>1</v>
      </c>
      <c r="G22" s="10" t="s">
        <v>72</v>
      </c>
      <c r="H22" s="10" t="s">
        <v>73</v>
      </c>
      <c r="I22" s="10" t="s">
        <v>233</v>
      </c>
      <c r="J22" s="10">
        <v>185</v>
      </c>
      <c r="K22" s="12">
        <v>45686</v>
      </c>
      <c r="L22" s="33">
        <v>0.71248842592592598</v>
      </c>
      <c r="M22" s="10">
        <v>1</v>
      </c>
      <c r="N22" s="10" t="s">
        <v>194</v>
      </c>
      <c r="O22" s="10">
        <v>5.42</v>
      </c>
      <c r="P22" s="10">
        <v>0.34899999999999998</v>
      </c>
      <c r="Q22" s="10">
        <v>1250</v>
      </c>
      <c r="R22" s="10" t="s">
        <v>168</v>
      </c>
      <c r="S22" s="123">
        <f t="shared" si="0"/>
        <v>1250</v>
      </c>
      <c r="T22" s="10" t="s">
        <v>957</v>
      </c>
      <c r="U22" s="125">
        <v>45686</v>
      </c>
      <c r="V22" s="126">
        <f t="shared" si="9"/>
        <v>1245.9607424000001</v>
      </c>
      <c r="W22" s="124" t="s">
        <v>959</v>
      </c>
    </row>
    <row r="23" spans="1:23" s="124" customFormat="1" x14ac:dyDescent="0.3">
      <c r="A23" s="32">
        <v>45685</v>
      </c>
      <c r="B23" s="33">
        <v>0.375</v>
      </c>
      <c r="C23" s="10" t="s">
        <v>70</v>
      </c>
      <c r="D23" s="10" t="s">
        <v>71</v>
      </c>
      <c r="E23" s="10" t="s">
        <v>911</v>
      </c>
      <c r="F23" s="10">
        <v>1</v>
      </c>
      <c r="G23" s="10" t="s">
        <v>72</v>
      </c>
      <c r="H23" s="10" t="s">
        <v>73</v>
      </c>
      <c r="I23" s="10" t="s">
        <v>233</v>
      </c>
      <c r="J23" s="10">
        <v>186</v>
      </c>
      <c r="K23" s="12">
        <v>45686</v>
      </c>
      <c r="L23" s="33">
        <v>0.71317129629629628</v>
      </c>
      <c r="M23" s="10">
        <v>1</v>
      </c>
      <c r="N23" s="10" t="s">
        <v>194</v>
      </c>
      <c r="O23" s="10">
        <v>10.6</v>
      </c>
      <c r="P23" s="10">
        <v>0.71899999999999997</v>
      </c>
      <c r="Q23" s="10">
        <v>2500</v>
      </c>
      <c r="R23" s="10" t="s">
        <v>168</v>
      </c>
      <c r="S23" s="123">
        <f t="shared" si="0"/>
        <v>2500</v>
      </c>
      <c r="T23" s="10" t="s">
        <v>957</v>
      </c>
      <c r="U23" s="125">
        <v>45686</v>
      </c>
      <c r="V23" s="126">
        <f t="shared" si="9"/>
        <v>2535.0157600000002</v>
      </c>
      <c r="W23" s="124" t="s">
        <v>959</v>
      </c>
    </row>
    <row r="24" spans="1:23" s="124" customFormat="1" x14ac:dyDescent="0.3">
      <c r="A24" s="32">
        <v>45685</v>
      </c>
      <c r="B24" s="33">
        <v>0.375</v>
      </c>
      <c r="C24" s="10" t="s">
        <v>70</v>
      </c>
      <c r="D24" s="10" t="s">
        <v>71</v>
      </c>
      <c r="E24" s="10" t="s">
        <v>912</v>
      </c>
      <c r="F24" s="10">
        <v>1</v>
      </c>
      <c r="G24" s="10" t="s">
        <v>72</v>
      </c>
      <c r="H24" s="10" t="s">
        <v>73</v>
      </c>
      <c r="I24" s="10" t="s">
        <v>233</v>
      </c>
      <c r="J24" s="10">
        <v>187</v>
      </c>
      <c r="K24" s="12">
        <v>45686</v>
      </c>
      <c r="L24" s="33">
        <v>0.71384259259259253</v>
      </c>
      <c r="M24" s="10">
        <v>1</v>
      </c>
      <c r="N24" s="10" t="s">
        <v>194</v>
      </c>
      <c r="O24" s="10">
        <v>15.3</v>
      </c>
      <c r="P24" s="10">
        <v>0.995</v>
      </c>
      <c r="Q24" s="10">
        <v>3750</v>
      </c>
      <c r="R24" s="10" t="s">
        <v>168</v>
      </c>
      <c r="S24" s="123">
        <f t="shared" si="0"/>
        <v>3750</v>
      </c>
      <c r="T24" s="10" t="s">
        <v>957</v>
      </c>
      <c r="U24" s="125">
        <v>45686</v>
      </c>
      <c r="V24" s="126">
        <f t="shared" si="9"/>
        <v>3696.0774400000005</v>
      </c>
      <c r="W24" s="124" t="s">
        <v>959</v>
      </c>
    </row>
    <row r="25" spans="1:23" s="124" customFormat="1" x14ac:dyDescent="0.3">
      <c r="A25" s="32">
        <v>45685</v>
      </c>
      <c r="B25" s="33">
        <v>0.375</v>
      </c>
      <c r="C25" s="10" t="s">
        <v>70</v>
      </c>
      <c r="D25" s="10" t="s">
        <v>71</v>
      </c>
      <c r="E25" s="10" t="s">
        <v>913</v>
      </c>
      <c r="F25" s="10">
        <v>1</v>
      </c>
      <c r="G25" s="10" t="s">
        <v>72</v>
      </c>
      <c r="H25" s="10" t="s">
        <v>73</v>
      </c>
      <c r="I25" s="10" t="s">
        <v>233</v>
      </c>
      <c r="J25" s="10">
        <v>188</v>
      </c>
      <c r="K25" s="12">
        <v>45686</v>
      </c>
      <c r="L25" s="33">
        <v>0.71452546296296304</v>
      </c>
      <c r="M25" s="10">
        <v>1</v>
      </c>
      <c r="N25" s="10" t="s">
        <v>194</v>
      </c>
      <c r="O25" s="10">
        <v>20.7</v>
      </c>
      <c r="P25" s="10">
        <v>1.32</v>
      </c>
      <c r="Q25" s="10">
        <v>5000</v>
      </c>
      <c r="R25" s="10" t="s">
        <v>168</v>
      </c>
      <c r="S25" s="123">
        <f t="shared" si="0"/>
        <v>5000</v>
      </c>
      <c r="T25" s="10" t="s">
        <v>957</v>
      </c>
      <c r="U25" s="125">
        <v>45686</v>
      </c>
      <c r="V25" s="126">
        <f t="shared" si="9"/>
        <v>5020.0278399999997</v>
      </c>
      <c r="W25" s="124" t="s">
        <v>959</v>
      </c>
    </row>
    <row r="26" spans="1:23" s="124" customFormat="1" x14ac:dyDescent="0.3">
      <c r="A26" s="127">
        <v>45692</v>
      </c>
      <c r="B26" s="128">
        <v>0.375</v>
      </c>
      <c r="C26" s="31" t="s">
        <v>70</v>
      </c>
      <c r="D26" s="31" t="s">
        <v>71</v>
      </c>
      <c r="E26" s="31" t="s">
        <v>906</v>
      </c>
      <c r="F26" s="31">
        <v>1</v>
      </c>
      <c r="G26" s="31" t="s">
        <v>72</v>
      </c>
      <c r="H26" s="31" t="s">
        <v>73</v>
      </c>
      <c r="I26" s="31" t="s">
        <v>233</v>
      </c>
      <c r="J26" s="31">
        <v>181</v>
      </c>
      <c r="K26" s="129">
        <v>45693</v>
      </c>
      <c r="L26" s="128">
        <v>0.41635416666666664</v>
      </c>
      <c r="M26" s="31">
        <v>1</v>
      </c>
      <c r="N26" s="31" t="s">
        <v>194</v>
      </c>
      <c r="O26" s="31">
        <v>0.65400000000000003</v>
      </c>
      <c r="P26" s="31">
        <v>3.1899999999999998E-2</v>
      </c>
      <c r="Q26" s="31">
        <v>0</v>
      </c>
      <c r="R26" s="31" t="s">
        <v>168</v>
      </c>
      <c r="S26" s="34">
        <f t="shared" si="0"/>
        <v>0</v>
      </c>
      <c r="T26" s="31" t="s">
        <v>969</v>
      </c>
      <c r="U26" s="130">
        <v>45693</v>
      </c>
      <c r="V26" s="131">
        <f>0.2491*O26^2+174.07*O26-113.01</f>
        <v>0.93832405559999188</v>
      </c>
      <c r="W26" s="132" t="s">
        <v>970</v>
      </c>
    </row>
    <row r="27" spans="1:23" s="124" customFormat="1" x14ac:dyDescent="0.3">
      <c r="A27" s="127">
        <v>45692</v>
      </c>
      <c r="B27" s="128">
        <v>0.375</v>
      </c>
      <c r="C27" s="31" t="s">
        <v>70</v>
      </c>
      <c r="D27" s="31" t="s">
        <v>71</v>
      </c>
      <c r="E27" s="31" t="s">
        <v>907</v>
      </c>
      <c r="F27" s="31">
        <v>1</v>
      </c>
      <c r="G27" s="31" t="s">
        <v>72</v>
      </c>
      <c r="H27" s="31" t="s">
        <v>73</v>
      </c>
      <c r="I27" s="31" t="s">
        <v>233</v>
      </c>
      <c r="J27" s="31">
        <v>182</v>
      </c>
      <c r="K27" s="129">
        <v>45693</v>
      </c>
      <c r="L27" s="128">
        <v>0.41703703703703704</v>
      </c>
      <c r="M27" s="31">
        <v>1</v>
      </c>
      <c r="N27" s="31" t="s">
        <v>194</v>
      </c>
      <c r="O27" s="31">
        <v>0.84199999999999997</v>
      </c>
      <c r="P27" s="31">
        <v>4.0300000000000002E-2</v>
      </c>
      <c r="Q27" s="31">
        <v>30</v>
      </c>
      <c r="R27" s="31" t="s">
        <v>168</v>
      </c>
      <c r="S27" s="34">
        <f t="shared" si="0"/>
        <v>30</v>
      </c>
      <c r="T27" s="31" t="s">
        <v>969</v>
      </c>
      <c r="U27" s="130">
        <v>45693</v>
      </c>
      <c r="V27" s="131">
        <f t="shared" ref="V27:V33" si="10">0.2491*O27^2+174.07*O27-113.01</f>
        <v>33.73354293239997</v>
      </c>
      <c r="W27" s="132" t="s">
        <v>970</v>
      </c>
    </row>
    <row r="28" spans="1:23" s="124" customFormat="1" x14ac:dyDescent="0.3">
      <c r="A28" s="127">
        <v>45692</v>
      </c>
      <c r="B28" s="128">
        <v>0.375</v>
      </c>
      <c r="C28" s="31" t="s">
        <v>70</v>
      </c>
      <c r="D28" s="31" t="s">
        <v>71</v>
      </c>
      <c r="E28" s="31" t="s">
        <v>908</v>
      </c>
      <c r="F28" s="31">
        <v>1</v>
      </c>
      <c r="G28" s="31" t="s">
        <v>72</v>
      </c>
      <c r="H28" s="31" t="s">
        <v>73</v>
      </c>
      <c r="I28" s="31" t="s">
        <v>233</v>
      </c>
      <c r="J28" s="31">
        <v>183</v>
      </c>
      <c r="K28" s="129">
        <v>45693</v>
      </c>
      <c r="L28" s="128">
        <v>0.41770833333333335</v>
      </c>
      <c r="M28" s="31">
        <v>1</v>
      </c>
      <c r="N28" s="31" t="s">
        <v>194</v>
      </c>
      <c r="O28" s="31">
        <v>1.27</v>
      </c>
      <c r="P28" s="31">
        <v>6.2300000000000001E-2</v>
      </c>
      <c r="Q28" s="31">
        <v>125</v>
      </c>
      <c r="R28" s="31" t="s">
        <v>168</v>
      </c>
      <c r="S28" s="34">
        <f t="shared" si="0"/>
        <v>125</v>
      </c>
      <c r="T28" s="31" t="s">
        <v>969</v>
      </c>
      <c r="U28" s="130">
        <v>45693</v>
      </c>
      <c r="V28" s="131">
        <f t="shared" si="10"/>
        <v>108.46067338999997</v>
      </c>
      <c r="W28" s="132" t="s">
        <v>970</v>
      </c>
    </row>
    <row r="29" spans="1:23" s="124" customFormat="1" x14ac:dyDescent="0.3">
      <c r="A29" s="127">
        <v>45692</v>
      </c>
      <c r="B29" s="128">
        <v>0.375</v>
      </c>
      <c r="C29" s="31" t="s">
        <v>70</v>
      </c>
      <c r="D29" s="31" t="s">
        <v>71</v>
      </c>
      <c r="E29" s="31" t="s">
        <v>909</v>
      </c>
      <c r="F29" s="31">
        <v>1</v>
      </c>
      <c r="G29" s="31" t="s">
        <v>72</v>
      </c>
      <c r="H29" s="31" t="s">
        <v>73</v>
      </c>
      <c r="I29" s="31" t="s">
        <v>233</v>
      </c>
      <c r="J29" s="31">
        <v>184</v>
      </c>
      <c r="K29" s="129">
        <v>45693</v>
      </c>
      <c r="L29" s="128">
        <v>0.4183912037037037</v>
      </c>
      <c r="M29" s="31">
        <v>1</v>
      </c>
      <c r="N29" s="31" t="s">
        <v>194</v>
      </c>
      <c r="O29" s="31">
        <v>3.69</v>
      </c>
      <c r="P29" s="31">
        <v>0.17899999999999999</v>
      </c>
      <c r="Q29" s="31">
        <v>500</v>
      </c>
      <c r="R29" s="31" t="s">
        <v>168</v>
      </c>
      <c r="S29" s="34">
        <f t="shared" si="0"/>
        <v>500</v>
      </c>
      <c r="T29" s="31" t="s">
        <v>969</v>
      </c>
      <c r="U29" s="130">
        <v>45693</v>
      </c>
      <c r="V29" s="131">
        <f t="shared" si="10"/>
        <v>532.70007051000005</v>
      </c>
      <c r="W29" s="132" t="s">
        <v>970</v>
      </c>
    </row>
    <row r="30" spans="1:23" s="124" customFormat="1" x14ac:dyDescent="0.3">
      <c r="A30" s="127">
        <v>45692</v>
      </c>
      <c r="B30" s="128">
        <v>0.375</v>
      </c>
      <c r="C30" s="31" t="s">
        <v>70</v>
      </c>
      <c r="D30" s="31" t="s">
        <v>71</v>
      </c>
      <c r="E30" s="31" t="s">
        <v>910</v>
      </c>
      <c r="F30" s="31">
        <v>1</v>
      </c>
      <c r="G30" s="31" t="s">
        <v>72</v>
      </c>
      <c r="H30" s="31" t="s">
        <v>73</v>
      </c>
      <c r="I30" s="31" t="s">
        <v>233</v>
      </c>
      <c r="J30" s="31">
        <v>185</v>
      </c>
      <c r="K30" s="129">
        <v>45693</v>
      </c>
      <c r="L30" s="128">
        <v>0.4190740740740741</v>
      </c>
      <c r="M30" s="31">
        <v>1</v>
      </c>
      <c r="N30" s="31" t="s">
        <v>194</v>
      </c>
      <c r="O30" s="31">
        <v>7.59</v>
      </c>
      <c r="P30" s="31">
        <v>0.371</v>
      </c>
      <c r="Q30" s="31">
        <v>1250</v>
      </c>
      <c r="R30" s="31" t="s">
        <v>168</v>
      </c>
      <c r="S30" s="34">
        <f t="shared" si="0"/>
        <v>1250</v>
      </c>
      <c r="T30" s="31" t="s">
        <v>969</v>
      </c>
      <c r="U30" s="130">
        <v>45693</v>
      </c>
      <c r="V30" s="131">
        <f t="shared" si="10"/>
        <v>1222.53147771</v>
      </c>
      <c r="W30" s="132" t="s">
        <v>970</v>
      </c>
    </row>
    <row r="31" spans="1:23" s="124" customFormat="1" x14ac:dyDescent="0.3">
      <c r="A31" s="127">
        <v>45692</v>
      </c>
      <c r="B31" s="128">
        <v>0.375</v>
      </c>
      <c r="C31" s="31" t="s">
        <v>70</v>
      </c>
      <c r="D31" s="31" t="s">
        <v>71</v>
      </c>
      <c r="E31" s="31" t="s">
        <v>911</v>
      </c>
      <c r="F31" s="31">
        <v>1</v>
      </c>
      <c r="G31" s="31" t="s">
        <v>72</v>
      </c>
      <c r="H31" s="31" t="s">
        <v>73</v>
      </c>
      <c r="I31" s="31" t="s">
        <v>233</v>
      </c>
      <c r="J31" s="31">
        <v>186</v>
      </c>
      <c r="K31" s="129">
        <v>45693</v>
      </c>
      <c r="L31" s="128">
        <v>0.41974537037037035</v>
      </c>
      <c r="M31" s="31">
        <v>1</v>
      </c>
      <c r="N31" s="31" t="s">
        <v>194</v>
      </c>
      <c r="O31" s="31">
        <v>14.7</v>
      </c>
      <c r="P31" s="31">
        <v>0.72</v>
      </c>
      <c r="Q31" s="31">
        <v>2500</v>
      </c>
      <c r="R31" s="31" t="s">
        <v>168</v>
      </c>
      <c r="S31" s="34">
        <f t="shared" si="0"/>
        <v>2500</v>
      </c>
      <c r="T31" s="31" t="s">
        <v>969</v>
      </c>
      <c r="U31" s="130">
        <v>45693</v>
      </c>
      <c r="V31" s="131">
        <f t="shared" si="10"/>
        <v>2499.6470189999995</v>
      </c>
      <c r="W31" s="132" t="s">
        <v>970</v>
      </c>
    </row>
    <row r="32" spans="1:23" s="124" customFormat="1" x14ac:dyDescent="0.3">
      <c r="A32" s="127">
        <v>45692</v>
      </c>
      <c r="B32" s="128">
        <v>0.375</v>
      </c>
      <c r="C32" s="31" t="s">
        <v>70</v>
      </c>
      <c r="D32" s="31" t="s">
        <v>71</v>
      </c>
      <c r="E32" s="31" t="s">
        <v>912</v>
      </c>
      <c r="F32" s="31">
        <v>1</v>
      </c>
      <c r="G32" s="31" t="s">
        <v>72</v>
      </c>
      <c r="H32" s="31" t="s">
        <v>73</v>
      </c>
      <c r="I32" s="31" t="s">
        <v>233</v>
      </c>
      <c r="J32" s="31">
        <v>187</v>
      </c>
      <c r="K32" s="129">
        <v>45693</v>
      </c>
      <c r="L32" s="128">
        <v>0.42042824074074076</v>
      </c>
      <c r="M32" s="31">
        <v>1</v>
      </c>
      <c r="N32" s="31" t="s">
        <v>194</v>
      </c>
      <c r="O32" s="31">
        <v>21.6</v>
      </c>
      <c r="P32" s="31">
        <v>1.06</v>
      </c>
      <c r="Q32" s="31">
        <v>3750</v>
      </c>
      <c r="R32" s="31" t="s">
        <v>168</v>
      </c>
      <c r="S32" s="34">
        <f t="shared" si="0"/>
        <v>3750</v>
      </c>
      <c r="T32" s="31" t="s">
        <v>969</v>
      </c>
      <c r="U32" s="130">
        <v>45693</v>
      </c>
      <c r="V32" s="131">
        <f t="shared" si="10"/>
        <v>3763.1220960000001</v>
      </c>
      <c r="W32" s="132" t="s">
        <v>970</v>
      </c>
    </row>
    <row r="33" spans="1:54" s="124" customFormat="1" x14ac:dyDescent="0.3">
      <c r="A33" s="127">
        <v>45692</v>
      </c>
      <c r="B33" s="128">
        <v>0.375</v>
      </c>
      <c r="C33" s="31" t="s">
        <v>70</v>
      </c>
      <c r="D33" s="31" t="s">
        <v>71</v>
      </c>
      <c r="E33" s="31" t="s">
        <v>913</v>
      </c>
      <c r="F33" s="31">
        <v>1</v>
      </c>
      <c r="G33" s="31" t="s">
        <v>72</v>
      </c>
      <c r="H33" s="31" t="s">
        <v>73</v>
      </c>
      <c r="I33" s="31" t="s">
        <v>233</v>
      </c>
      <c r="J33" s="31">
        <v>188</v>
      </c>
      <c r="K33" s="129">
        <v>45693</v>
      </c>
      <c r="L33" s="128">
        <v>0.42109953703703701</v>
      </c>
      <c r="M33" s="31">
        <v>1</v>
      </c>
      <c r="N33" s="31" t="s">
        <v>194</v>
      </c>
      <c r="O33" s="31">
        <v>28.2</v>
      </c>
      <c r="P33" s="31">
        <v>1.37</v>
      </c>
      <c r="Q33" s="31">
        <v>5000</v>
      </c>
      <c r="R33" s="31" t="s">
        <v>168</v>
      </c>
      <c r="S33" s="34">
        <f t="shared" si="0"/>
        <v>5000</v>
      </c>
      <c r="T33" s="31" t="s">
        <v>969</v>
      </c>
      <c r="U33" s="130">
        <v>45693</v>
      </c>
      <c r="V33" s="131">
        <f t="shared" si="10"/>
        <v>4993.858283999999</v>
      </c>
      <c r="W33" s="132" t="s">
        <v>970</v>
      </c>
    </row>
    <row r="34" spans="1:54" s="124" customFormat="1" x14ac:dyDescent="0.3">
      <c r="A34" s="119">
        <v>45699</v>
      </c>
      <c r="B34" s="120">
        <v>0.375</v>
      </c>
      <c r="C34" s="121" t="s">
        <v>70</v>
      </c>
      <c r="D34" s="121" t="s">
        <v>71</v>
      </c>
      <c r="E34" s="121" t="s">
        <v>906</v>
      </c>
      <c r="F34" s="121">
        <v>1</v>
      </c>
      <c r="G34" s="121" t="s">
        <v>72</v>
      </c>
      <c r="H34" s="121" t="s">
        <v>73</v>
      </c>
      <c r="I34" s="121" t="s">
        <v>233</v>
      </c>
      <c r="J34" s="121">
        <v>181</v>
      </c>
      <c r="K34" s="122">
        <v>45700</v>
      </c>
      <c r="L34" s="120">
        <v>0.41504629629629625</v>
      </c>
      <c r="M34" s="121">
        <v>1</v>
      </c>
      <c r="N34" s="121" t="s">
        <v>194</v>
      </c>
      <c r="O34" s="121">
        <v>0.57699999999999996</v>
      </c>
      <c r="P34" s="121">
        <v>3.6299999999999999E-2</v>
      </c>
      <c r="Q34" s="121">
        <v>0</v>
      </c>
      <c r="R34" s="121" t="s">
        <v>168</v>
      </c>
      <c r="S34" s="123">
        <f t="shared" si="0"/>
        <v>0</v>
      </c>
      <c r="T34" s="10" t="s">
        <v>977</v>
      </c>
      <c r="U34" s="125">
        <v>45700</v>
      </c>
      <c r="V34" s="126">
        <f>0.0191*O34^2+236.17*O34-121.05</f>
        <v>15.226448943899996</v>
      </c>
      <c r="W34" s="124" t="s">
        <v>978</v>
      </c>
    </row>
    <row r="35" spans="1:54" s="124" customFormat="1" x14ac:dyDescent="0.3">
      <c r="A35" s="119">
        <v>45699</v>
      </c>
      <c r="B35" s="120">
        <v>0.375</v>
      </c>
      <c r="C35" s="121" t="s">
        <v>70</v>
      </c>
      <c r="D35" s="121" t="s">
        <v>71</v>
      </c>
      <c r="E35" s="121" t="s">
        <v>907</v>
      </c>
      <c r="F35" s="121">
        <v>1</v>
      </c>
      <c r="G35" s="121" t="s">
        <v>72</v>
      </c>
      <c r="H35" s="121" t="s">
        <v>73</v>
      </c>
      <c r="I35" s="121" t="s">
        <v>233</v>
      </c>
      <c r="J35" s="121">
        <v>182</v>
      </c>
      <c r="K35" s="122">
        <v>45700</v>
      </c>
      <c r="L35" s="120">
        <v>0.41572916666666665</v>
      </c>
      <c r="M35" s="121">
        <v>1</v>
      </c>
      <c r="N35" s="121" t="s">
        <v>194</v>
      </c>
      <c r="O35" s="121">
        <v>0.63900000000000001</v>
      </c>
      <c r="P35" s="121">
        <v>4.0099999999999997E-2</v>
      </c>
      <c r="Q35" s="121">
        <v>30</v>
      </c>
      <c r="R35" s="121" t="s">
        <v>168</v>
      </c>
      <c r="S35" s="123">
        <f t="shared" si="0"/>
        <v>30</v>
      </c>
      <c r="T35" s="10" t="s">
        <v>977</v>
      </c>
      <c r="U35" s="125">
        <v>45700</v>
      </c>
      <c r="V35" s="126">
        <f t="shared" ref="V35:V41" si="11">0.0191*O35^2+236.17*O35-121.05</f>
        <v>29.870428931100022</v>
      </c>
      <c r="W35" s="124" t="s">
        <v>978</v>
      </c>
    </row>
    <row r="36" spans="1:54" s="124" customFormat="1" x14ac:dyDescent="0.3">
      <c r="A36" s="119">
        <v>45699</v>
      </c>
      <c r="B36" s="120">
        <v>0.375</v>
      </c>
      <c r="C36" s="121" t="s">
        <v>70</v>
      </c>
      <c r="D36" s="121" t="s">
        <v>71</v>
      </c>
      <c r="E36" s="121" t="s">
        <v>908</v>
      </c>
      <c r="F36" s="121">
        <v>1</v>
      </c>
      <c r="G36" s="121" t="s">
        <v>72</v>
      </c>
      <c r="H36" s="121" t="s">
        <v>73</v>
      </c>
      <c r="I36" s="121" t="s">
        <v>233</v>
      </c>
      <c r="J36" s="121">
        <v>183</v>
      </c>
      <c r="K36" s="122">
        <v>45700</v>
      </c>
      <c r="L36" s="120">
        <v>0.41640046296296296</v>
      </c>
      <c r="M36" s="121">
        <v>1</v>
      </c>
      <c r="N36" s="121" t="s">
        <v>194</v>
      </c>
      <c r="O36" s="121">
        <v>0.99199999999999999</v>
      </c>
      <c r="P36" s="121">
        <v>6.25E-2</v>
      </c>
      <c r="Q36" s="121">
        <v>125</v>
      </c>
      <c r="R36" s="121" t="s">
        <v>168</v>
      </c>
      <c r="S36" s="123">
        <f t="shared" si="0"/>
        <v>125</v>
      </c>
      <c r="T36" s="10" t="s">
        <v>977</v>
      </c>
      <c r="U36" s="125">
        <v>45700</v>
      </c>
      <c r="V36" s="126">
        <f t="shared" si="11"/>
        <v>113.24943562239999</v>
      </c>
      <c r="W36" s="124" t="s">
        <v>978</v>
      </c>
    </row>
    <row r="37" spans="1:54" s="124" customFormat="1" x14ac:dyDescent="0.3">
      <c r="A37" s="119">
        <v>45699</v>
      </c>
      <c r="B37" s="120">
        <v>0.375</v>
      </c>
      <c r="C37" s="121" t="s">
        <v>70</v>
      </c>
      <c r="D37" s="121" t="s">
        <v>71</v>
      </c>
      <c r="E37" s="121" t="s">
        <v>909</v>
      </c>
      <c r="F37" s="121">
        <v>1</v>
      </c>
      <c r="G37" s="121" t="s">
        <v>72</v>
      </c>
      <c r="H37" s="121" t="s">
        <v>73</v>
      </c>
      <c r="I37" s="121" t="s">
        <v>233</v>
      </c>
      <c r="J37" s="121">
        <v>184</v>
      </c>
      <c r="K37" s="122">
        <v>45700</v>
      </c>
      <c r="L37" s="120">
        <v>0.41708333333333331</v>
      </c>
      <c r="M37" s="121">
        <v>1</v>
      </c>
      <c r="N37" s="121" t="s">
        <v>194</v>
      </c>
      <c r="O37" s="121">
        <v>2.72</v>
      </c>
      <c r="P37" s="121">
        <v>0.17100000000000001</v>
      </c>
      <c r="Q37" s="121">
        <v>500</v>
      </c>
      <c r="R37" s="121" t="s">
        <v>168</v>
      </c>
      <c r="S37" s="123">
        <f t="shared" si="0"/>
        <v>500</v>
      </c>
      <c r="T37" s="10" t="s">
        <v>977</v>
      </c>
      <c r="U37" s="125">
        <v>45700</v>
      </c>
      <c r="V37" s="126">
        <f t="shared" si="11"/>
        <v>521.47370943999999</v>
      </c>
      <c r="W37" s="124" t="s">
        <v>978</v>
      </c>
    </row>
    <row r="38" spans="1:54" s="124" customFormat="1" x14ac:dyDescent="0.3">
      <c r="A38" s="119">
        <v>45699</v>
      </c>
      <c r="B38" s="120">
        <v>0.375</v>
      </c>
      <c r="C38" s="121" t="s">
        <v>70</v>
      </c>
      <c r="D38" s="121" t="s">
        <v>71</v>
      </c>
      <c r="E38" s="121" t="s">
        <v>910</v>
      </c>
      <c r="F38" s="121">
        <v>1</v>
      </c>
      <c r="G38" s="121" t="s">
        <v>72</v>
      </c>
      <c r="H38" s="121" t="s">
        <v>73</v>
      </c>
      <c r="I38" s="121" t="s">
        <v>233</v>
      </c>
      <c r="J38" s="121">
        <v>185</v>
      </c>
      <c r="K38" s="122">
        <v>45700</v>
      </c>
      <c r="L38" s="120">
        <v>0.41776620370370371</v>
      </c>
      <c r="M38" s="121">
        <v>1</v>
      </c>
      <c r="N38" s="121" t="s">
        <v>194</v>
      </c>
      <c r="O38" s="121">
        <v>5.7</v>
      </c>
      <c r="P38" s="121">
        <v>0.35899999999999999</v>
      </c>
      <c r="Q38" s="121">
        <v>1250</v>
      </c>
      <c r="R38" s="121" t="s">
        <v>168</v>
      </c>
      <c r="S38" s="123">
        <f t="shared" si="0"/>
        <v>1250</v>
      </c>
      <c r="T38" s="10" t="s">
        <v>977</v>
      </c>
      <c r="U38" s="125">
        <v>45700</v>
      </c>
      <c r="V38" s="126">
        <f t="shared" si="11"/>
        <v>1225.7395589999999</v>
      </c>
      <c r="W38" s="124" t="s">
        <v>978</v>
      </c>
    </row>
    <row r="39" spans="1:54" s="124" customFormat="1" x14ac:dyDescent="0.3">
      <c r="A39" s="119">
        <v>45699</v>
      </c>
      <c r="B39" s="120">
        <v>0.375</v>
      </c>
      <c r="C39" s="121" t="s">
        <v>70</v>
      </c>
      <c r="D39" s="121" t="s">
        <v>71</v>
      </c>
      <c r="E39" s="121" t="s">
        <v>911</v>
      </c>
      <c r="F39" s="121">
        <v>1</v>
      </c>
      <c r="G39" s="121" t="s">
        <v>72</v>
      </c>
      <c r="H39" s="121" t="s">
        <v>73</v>
      </c>
      <c r="I39" s="121" t="s">
        <v>233</v>
      </c>
      <c r="J39" s="121">
        <v>186</v>
      </c>
      <c r="K39" s="122">
        <v>45700</v>
      </c>
      <c r="L39" s="120">
        <v>0.41843750000000002</v>
      </c>
      <c r="M39" s="121">
        <v>1</v>
      </c>
      <c r="N39" s="121" t="s">
        <v>194</v>
      </c>
      <c r="O39" s="121">
        <v>10.9</v>
      </c>
      <c r="P39" s="121">
        <v>0.69</v>
      </c>
      <c r="Q39" s="121">
        <v>2500</v>
      </c>
      <c r="R39" s="121" t="s">
        <v>168</v>
      </c>
      <c r="S39" s="123">
        <f t="shared" si="0"/>
        <v>2500</v>
      </c>
      <c r="T39" s="10" t="s">
        <v>977</v>
      </c>
      <c r="U39" s="125">
        <v>45700</v>
      </c>
      <c r="V39" s="126">
        <f t="shared" si="11"/>
        <v>2455.4722710000001</v>
      </c>
      <c r="W39" s="124" t="s">
        <v>978</v>
      </c>
    </row>
    <row r="40" spans="1:54" s="124" customFormat="1" x14ac:dyDescent="0.3">
      <c r="A40" s="119">
        <v>45699</v>
      </c>
      <c r="B40" s="120">
        <v>0.375</v>
      </c>
      <c r="C40" s="121" t="s">
        <v>70</v>
      </c>
      <c r="D40" s="121" t="s">
        <v>71</v>
      </c>
      <c r="E40" s="121" t="s">
        <v>912</v>
      </c>
      <c r="F40" s="121">
        <v>1</v>
      </c>
      <c r="G40" s="121" t="s">
        <v>72</v>
      </c>
      <c r="H40" s="121" t="s">
        <v>73</v>
      </c>
      <c r="I40" s="121" t="s">
        <v>233</v>
      </c>
      <c r="J40" s="121">
        <v>187</v>
      </c>
      <c r="K40" s="122">
        <v>45700</v>
      </c>
      <c r="L40" s="120">
        <v>0.41912037037037037</v>
      </c>
      <c r="M40" s="121">
        <v>1</v>
      </c>
      <c r="N40" s="121" t="s">
        <v>194</v>
      </c>
      <c r="O40" s="121">
        <v>16.7</v>
      </c>
      <c r="P40" s="121">
        <v>1.04</v>
      </c>
      <c r="Q40" s="121">
        <v>3750</v>
      </c>
      <c r="R40" s="121" t="s">
        <v>168</v>
      </c>
      <c r="S40" s="123">
        <f t="shared" si="0"/>
        <v>3750</v>
      </c>
      <c r="T40" s="10" t="s">
        <v>977</v>
      </c>
      <c r="U40" s="125">
        <v>45700</v>
      </c>
      <c r="V40" s="126">
        <f t="shared" si="11"/>
        <v>3828.3157989999995</v>
      </c>
      <c r="W40" s="124" t="s">
        <v>978</v>
      </c>
    </row>
    <row r="41" spans="1:54" s="124" customFormat="1" x14ac:dyDescent="0.3">
      <c r="A41" s="119">
        <v>45699</v>
      </c>
      <c r="B41" s="120">
        <v>0.375</v>
      </c>
      <c r="C41" s="121" t="s">
        <v>70</v>
      </c>
      <c r="D41" s="121" t="s">
        <v>71</v>
      </c>
      <c r="E41" s="121" t="s">
        <v>913</v>
      </c>
      <c r="F41" s="121">
        <v>1</v>
      </c>
      <c r="G41" s="121" t="s">
        <v>72</v>
      </c>
      <c r="H41" s="121" t="s">
        <v>73</v>
      </c>
      <c r="I41" s="121" t="s">
        <v>233</v>
      </c>
      <c r="J41" s="121">
        <v>188</v>
      </c>
      <c r="K41" s="122">
        <v>45700</v>
      </c>
      <c r="L41" s="120">
        <v>0.41978009259259258</v>
      </c>
      <c r="M41" s="121">
        <v>1</v>
      </c>
      <c r="N41" s="121" t="s">
        <v>194</v>
      </c>
      <c r="O41" s="121">
        <v>21.5</v>
      </c>
      <c r="P41" s="121">
        <v>1.35</v>
      </c>
      <c r="Q41" s="121">
        <v>5000</v>
      </c>
      <c r="R41" s="121" t="s">
        <v>168</v>
      </c>
      <c r="S41" s="123">
        <f t="shared" si="0"/>
        <v>5000</v>
      </c>
      <c r="T41" s="10" t="s">
        <v>977</v>
      </c>
      <c r="U41" s="125">
        <v>45700</v>
      </c>
      <c r="V41" s="126">
        <f t="shared" si="11"/>
        <v>4965.4339749999999</v>
      </c>
      <c r="W41" s="124" t="s">
        <v>978</v>
      </c>
    </row>
    <row r="42" spans="1:54" s="124" customFormat="1" x14ac:dyDescent="0.3">
      <c r="A42" s="127">
        <v>45707</v>
      </c>
      <c r="B42" s="128">
        <v>0.375</v>
      </c>
      <c r="C42" s="31" t="s">
        <v>70</v>
      </c>
      <c r="D42" s="31" t="s">
        <v>71</v>
      </c>
      <c r="E42" s="31" t="s">
        <v>907</v>
      </c>
      <c r="F42" s="31">
        <v>1</v>
      </c>
      <c r="G42" s="31" t="s">
        <v>72</v>
      </c>
      <c r="H42" s="31" t="s">
        <v>73</v>
      </c>
      <c r="I42" s="31" t="s">
        <v>233</v>
      </c>
      <c r="J42" s="31">
        <v>182</v>
      </c>
      <c r="K42" s="129">
        <v>45719</v>
      </c>
      <c r="L42" s="128">
        <v>0.46164351851851854</v>
      </c>
      <c r="M42" s="31">
        <v>1</v>
      </c>
      <c r="N42" s="31" t="s">
        <v>194</v>
      </c>
      <c r="O42" s="31">
        <v>0.78800000000000003</v>
      </c>
      <c r="P42" s="31">
        <v>3.8899999999999997E-2</v>
      </c>
      <c r="Q42" s="31">
        <v>30</v>
      </c>
      <c r="R42" s="31" t="s">
        <v>168</v>
      </c>
      <c r="S42" s="34">
        <f t="shared" si="0"/>
        <v>30</v>
      </c>
      <c r="T42" s="31" t="s">
        <v>985</v>
      </c>
      <c r="U42" s="130">
        <v>45719</v>
      </c>
      <c r="V42" s="131">
        <f>0.2081*O42^2+177.29*O42-111.48</f>
        <v>28.353738446399987</v>
      </c>
      <c r="W42" s="132" t="s">
        <v>987</v>
      </c>
    </row>
    <row r="43" spans="1:54" s="124" customFormat="1" x14ac:dyDescent="0.3">
      <c r="A43" s="127">
        <v>45707</v>
      </c>
      <c r="B43" s="128">
        <v>0.375</v>
      </c>
      <c r="C43" s="31" t="s">
        <v>70</v>
      </c>
      <c r="D43" s="31" t="s">
        <v>71</v>
      </c>
      <c r="E43" s="31" t="s">
        <v>908</v>
      </c>
      <c r="F43" s="31">
        <v>1</v>
      </c>
      <c r="G43" s="31" t="s">
        <v>72</v>
      </c>
      <c r="H43" s="31" t="s">
        <v>73</v>
      </c>
      <c r="I43" s="31" t="s">
        <v>233</v>
      </c>
      <c r="J43" s="31">
        <v>183</v>
      </c>
      <c r="K43" s="129">
        <v>45719</v>
      </c>
      <c r="L43" s="128">
        <v>0.46232638888888888</v>
      </c>
      <c r="M43" s="31">
        <v>1</v>
      </c>
      <c r="N43" s="31" t="s">
        <v>194</v>
      </c>
      <c r="O43" s="31">
        <v>1.33</v>
      </c>
      <c r="P43" s="31">
        <v>6.4000000000000001E-2</v>
      </c>
      <c r="Q43" s="31">
        <v>125</v>
      </c>
      <c r="R43" s="31" t="s">
        <v>168</v>
      </c>
      <c r="S43" s="34">
        <f t="shared" si="0"/>
        <v>125</v>
      </c>
      <c r="T43" s="31" t="s">
        <v>985</v>
      </c>
      <c r="U43" s="130">
        <v>45719</v>
      </c>
      <c r="V43" s="131">
        <f t="shared" ref="V43:V48" si="12">0.2081*O43^2+177.29*O43-111.48</f>
        <v>124.68380809</v>
      </c>
      <c r="W43" s="132" t="s">
        <v>987</v>
      </c>
    </row>
    <row r="44" spans="1:54" s="124" customFormat="1" x14ac:dyDescent="0.3">
      <c r="A44" s="127">
        <v>45707</v>
      </c>
      <c r="B44" s="128">
        <v>0.375</v>
      </c>
      <c r="C44" s="31" t="s">
        <v>70</v>
      </c>
      <c r="D44" s="31" t="s">
        <v>71</v>
      </c>
      <c r="E44" s="31" t="s">
        <v>909</v>
      </c>
      <c r="F44" s="31">
        <v>1</v>
      </c>
      <c r="G44" s="31" t="s">
        <v>72</v>
      </c>
      <c r="H44" s="31" t="s">
        <v>73</v>
      </c>
      <c r="I44" s="31" t="s">
        <v>233</v>
      </c>
      <c r="J44" s="31">
        <v>184</v>
      </c>
      <c r="K44" s="129">
        <v>45719</v>
      </c>
      <c r="L44" s="128">
        <v>0.46299768518518519</v>
      </c>
      <c r="M44" s="31">
        <v>1</v>
      </c>
      <c r="N44" s="31" t="s">
        <v>194</v>
      </c>
      <c r="O44" s="31">
        <v>3.42</v>
      </c>
      <c r="P44" s="31">
        <v>0.16700000000000001</v>
      </c>
      <c r="Q44" s="31">
        <v>500</v>
      </c>
      <c r="R44" s="31" t="s">
        <v>168</v>
      </c>
      <c r="S44" s="34">
        <f t="shared" si="0"/>
        <v>500</v>
      </c>
      <c r="T44" s="31" t="s">
        <v>985</v>
      </c>
      <c r="U44" s="130">
        <v>45719</v>
      </c>
      <c r="V44" s="131">
        <f t="shared" si="12"/>
        <v>497.28582083999993</v>
      </c>
      <c r="W44" s="132" t="s">
        <v>987</v>
      </c>
    </row>
    <row r="45" spans="1:54" s="124" customFormat="1" x14ac:dyDescent="0.3">
      <c r="A45" s="127">
        <v>45707</v>
      </c>
      <c r="B45" s="128">
        <v>0.375</v>
      </c>
      <c r="C45" s="31" t="s">
        <v>70</v>
      </c>
      <c r="D45" s="31" t="s">
        <v>71</v>
      </c>
      <c r="E45" s="31" t="s">
        <v>910</v>
      </c>
      <c r="F45" s="31">
        <v>1</v>
      </c>
      <c r="G45" s="31" t="s">
        <v>72</v>
      </c>
      <c r="H45" s="31" t="s">
        <v>73</v>
      </c>
      <c r="I45" s="31" t="s">
        <v>233</v>
      </c>
      <c r="J45" s="31">
        <v>185</v>
      </c>
      <c r="K45" s="129">
        <v>45719</v>
      </c>
      <c r="L45" s="128">
        <v>0.4636805555555556</v>
      </c>
      <c r="M45" s="31">
        <v>1</v>
      </c>
      <c r="N45" s="31" t="s">
        <v>194</v>
      </c>
      <c r="O45" s="31">
        <v>7.59</v>
      </c>
      <c r="P45" s="31">
        <v>0.373</v>
      </c>
      <c r="Q45" s="31">
        <v>1250</v>
      </c>
      <c r="R45" s="31" t="s">
        <v>168</v>
      </c>
      <c r="S45" s="34">
        <f t="shared" si="0"/>
        <v>1250</v>
      </c>
      <c r="T45" s="31" t="s">
        <v>985</v>
      </c>
      <c r="U45" s="130">
        <v>45719</v>
      </c>
      <c r="V45" s="131">
        <f t="shared" si="12"/>
        <v>1246.1393456099997</v>
      </c>
      <c r="W45" s="132" t="s">
        <v>987</v>
      </c>
    </row>
    <row r="46" spans="1:54" s="124" customFormat="1" x14ac:dyDescent="0.3">
      <c r="A46" s="127">
        <v>45707</v>
      </c>
      <c r="B46" s="128">
        <v>0.375</v>
      </c>
      <c r="C46" s="31" t="s">
        <v>70</v>
      </c>
      <c r="D46" s="31" t="s">
        <v>71</v>
      </c>
      <c r="E46" s="31" t="s">
        <v>911</v>
      </c>
      <c r="F46" s="31">
        <v>1</v>
      </c>
      <c r="G46" s="31" t="s">
        <v>72</v>
      </c>
      <c r="H46" s="31" t="s">
        <v>73</v>
      </c>
      <c r="I46" s="31" t="s">
        <v>233</v>
      </c>
      <c r="J46" s="31">
        <v>186</v>
      </c>
      <c r="K46" s="129">
        <v>45719</v>
      </c>
      <c r="L46" s="128">
        <v>0.46435185185185185</v>
      </c>
      <c r="M46" s="31">
        <v>1</v>
      </c>
      <c r="N46" s="31" t="s">
        <v>194</v>
      </c>
      <c r="O46" s="31">
        <v>14.7</v>
      </c>
      <c r="P46" s="31">
        <v>0.71699999999999997</v>
      </c>
      <c r="Q46" s="31">
        <v>2500</v>
      </c>
      <c r="R46" s="31" t="s">
        <v>168</v>
      </c>
      <c r="S46" s="34">
        <f t="shared" si="0"/>
        <v>2500</v>
      </c>
      <c r="T46" s="31" t="s">
        <v>985</v>
      </c>
      <c r="U46" s="130">
        <v>45719</v>
      </c>
      <c r="V46" s="131">
        <f t="shared" si="12"/>
        <v>2539.6513289999994</v>
      </c>
      <c r="W46" s="132" t="s">
        <v>987</v>
      </c>
    </row>
    <row r="47" spans="1:54" x14ac:dyDescent="0.3">
      <c r="A47" s="127">
        <v>45707</v>
      </c>
      <c r="B47" s="128">
        <v>0.375</v>
      </c>
      <c r="C47" s="31" t="s">
        <v>70</v>
      </c>
      <c r="D47" s="31" t="s">
        <v>71</v>
      </c>
      <c r="E47" s="31" t="s">
        <v>912</v>
      </c>
      <c r="F47" s="31">
        <v>1</v>
      </c>
      <c r="G47" s="31" t="s">
        <v>72</v>
      </c>
      <c r="H47" s="31" t="s">
        <v>73</v>
      </c>
      <c r="I47" s="31" t="s">
        <v>233</v>
      </c>
      <c r="J47" s="31">
        <v>187</v>
      </c>
      <c r="K47" s="129">
        <v>45719</v>
      </c>
      <c r="L47" s="128">
        <v>0.4650347222222222</v>
      </c>
      <c r="M47" s="31">
        <v>1</v>
      </c>
      <c r="N47" s="31" t="s">
        <v>194</v>
      </c>
      <c r="O47" s="31">
        <v>21</v>
      </c>
      <c r="P47" s="31">
        <v>1.02</v>
      </c>
      <c r="Q47" s="31">
        <v>3750</v>
      </c>
      <c r="R47" s="31" t="s">
        <v>168</v>
      </c>
      <c r="S47" s="34">
        <f t="shared" si="0"/>
        <v>3750</v>
      </c>
      <c r="T47" s="31" t="s">
        <v>985</v>
      </c>
      <c r="U47" s="130">
        <v>45719</v>
      </c>
      <c r="V47" s="131">
        <f t="shared" si="12"/>
        <v>3703.3820999999998</v>
      </c>
      <c r="W47" s="132" t="s">
        <v>987</v>
      </c>
      <c r="AF47" s="124"/>
      <c r="AG47" s="124"/>
      <c r="AH47" s="124"/>
      <c r="AI47" s="124"/>
      <c r="AJ47" s="124"/>
      <c r="AK47" s="124"/>
      <c r="AL47" s="124"/>
      <c r="AM47" s="124"/>
      <c r="AN47" s="124"/>
      <c r="AO47" s="124"/>
      <c r="AP47" s="124"/>
      <c r="AQ47" s="124"/>
      <c r="AR47" s="124"/>
      <c r="AS47" s="124"/>
      <c r="AT47" s="124"/>
      <c r="AU47" s="124"/>
      <c r="AV47" s="124"/>
      <c r="AW47" s="124"/>
      <c r="AX47" s="124"/>
      <c r="AY47" s="124"/>
      <c r="AZ47" s="124"/>
      <c r="BA47" s="124"/>
      <c r="BB47" s="124"/>
    </row>
    <row r="48" spans="1:54" x14ac:dyDescent="0.3">
      <c r="A48" s="127">
        <v>45707</v>
      </c>
      <c r="B48" s="128">
        <v>0.375</v>
      </c>
      <c r="C48" s="31" t="s">
        <v>70</v>
      </c>
      <c r="D48" s="31" t="s">
        <v>71</v>
      </c>
      <c r="E48" s="31" t="s">
        <v>913</v>
      </c>
      <c r="F48" s="31">
        <v>1</v>
      </c>
      <c r="G48" s="31" t="s">
        <v>72</v>
      </c>
      <c r="H48" s="31" t="s">
        <v>73</v>
      </c>
      <c r="I48" s="31" t="s">
        <v>233</v>
      </c>
      <c r="J48" s="31">
        <v>188</v>
      </c>
      <c r="K48" s="129">
        <v>45719</v>
      </c>
      <c r="L48" s="128">
        <v>0.46571759259259254</v>
      </c>
      <c r="M48" s="31">
        <v>1</v>
      </c>
      <c r="N48" s="31" t="s">
        <v>194</v>
      </c>
      <c r="O48" s="31">
        <v>28</v>
      </c>
      <c r="P48" s="31">
        <v>1.37</v>
      </c>
      <c r="Q48" s="31">
        <v>5000</v>
      </c>
      <c r="R48" s="31" t="s">
        <v>168</v>
      </c>
      <c r="S48" s="34">
        <f t="shared" si="0"/>
        <v>5000</v>
      </c>
      <c r="T48" s="31" t="s">
        <v>985</v>
      </c>
      <c r="U48" s="130">
        <v>45719</v>
      </c>
      <c r="V48" s="131">
        <f t="shared" si="12"/>
        <v>5015.7904000000008</v>
      </c>
      <c r="W48" s="132" t="s">
        <v>987</v>
      </c>
      <c r="AF48" s="124"/>
      <c r="AG48" s="124"/>
      <c r="AH48" s="124"/>
      <c r="AI48" s="124"/>
      <c r="AJ48" s="124"/>
      <c r="AK48" s="124"/>
      <c r="AL48" s="124"/>
      <c r="AM48" s="124"/>
      <c r="AN48" s="124"/>
      <c r="AO48" s="124"/>
      <c r="AP48" s="124"/>
      <c r="AQ48" s="124"/>
      <c r="AR48" s="124"/>
      <c r="AS48" s="124"/>
      <c r="AT48" s="124"/>
      <c r="AU48" s="124"/>
      <c r="AV48" s="124"/>
      <c r="AW48" s="124"/>
      <c r="AX48" s="124"/>
      <c r="AY48" s="124"/>
      <c r="AZ48" s="124"/>
      <c r="BA48" s="124"/>
      <c r="BB48" s="124"/>
    </row>
    <row r="49" spans="32:54" x14ac:dyDescent="0.3">
      <c r="AF49" s="124"/>
      <c r="AG49" s="124"/>
      <c r="AH49" s="124"/>
      <c r="AI49" s="124"/>
      <c r="AJ49" s="124"/>
      <c r="AK49" s="124"/>
      <c r="AL49" s="124"/>
      <c r="AM49" s="124"/>
      <c r="AN49" s="124"/>
      <c r="AO49" s="124"/>
      <c r="AP49" s="124"/>
      <c r="AQ49" s="124"/>
      <c r="AR49" s="124"/>
      <c r="AS49" s="124"/>
      <c r="AT49" s="124"/>
      <c r="AU49" s="124"/>
      <c r="AV49" s="124"/>
      <c r="AW49" s="124"/>
      <c r="AX49" s="124"/>
      <c r="AY49" s="124"/>
      <c r="AZ49" s="124"/>
      <c r="BA49" s="124"/>
      <c r="BB49" s="124"/>
    </row>
    <row r="50" spans="32:54" x14ac:dyDescent="0.3">
      <c r="AF50" s="124"/>
      <c r="AG50" s="124"/>
      <c r="AH50" s="124"/>
      <c r="AI50" s="124"/>
      <c r="AJ50" s="124"/>
      <c r="AK50" s="124"/>
      <c r="AL50" s="124"/>
      <c r="AM50" s="124"/>
      <c r="AN50" s="124"/>
      <c r="AO50" s="124"/>
      <c r="AP50" s="124"/>
      <c r="AQ50" s="124"/>
      <c r="AR50" s="124"/>
      <c r="AS50" s="124"/>
      <c r="AT50" s="124"/>
      <c r="AU50" s="124"/>
      <c r="AV50" s="124"/>
      <c r="AW50" s="124"/>
      <c r="AX50" s="124"/>
      <c r="AY50" s="124"/>
      <c r="AZ50" s="124"/>
      <c r="BA50" s="124"/>
      <c r="BB50" s="124"/>
    </row>
    <row r="51" spans="32:54" x14ac:dyDescent="0.3">
      <c r="AF51" s="124"/>
      <c r="AG51" s="124"/>
      <c r="AH51" s="124"/>
      <c r="AI51" s="124"/>
      <c r="AJ51" s="124"/>
      <c r="AK51" s="124"/>
      <c r="AL51" s="124"/>
      <c r="AM51" s="124"/>
      <c r="AN51" s="124"/>
      <c r="AO51" s="124"/>
      <c r="AP51" s="124"/>
      <c r="AQ51" s="124"/>
      <c r="AR51" s="124"/>
      <c r="AS51" s="124"/>
      <c r="AT51" s="124"/>
      <c r="AU51" s="124"/>
      <c r="AV51" s="124"/>
      <c r="AW51" s="124"/>
      <c r="AX51" s="124"/>
      <c r="AY51" s="124"/>
      <c r="AZ51" s="124"/>
      <c r="BA51" s="124"/>
      <c r="BB51" s="124"/>
    </row>
    <row r="52" spans="32:54" x14ac:dyDescent="0.3">
      <c r="AF52" s="124"/>
      <c r="AG52" s="124"/>
      <c r="AH52" s="124"/>
      <c r="AI52" s="124"/>
      <c r="AJ52" s="124"/>
      <c r="AK52" s="124"/>
      <c r="AL52" s="124"/>
      <c r="AM52" s="124"/>
      <c r="AN52" s="124"/>
      <c r="AO52" s="124"/>
      <c r="AP52" s="124"/>
      <c r="AQ52" s="124"/>
      <c r="AR52" s="124"/>
      <c r="AS52" s="124"/>
      <c r="AT52" s="124"/>
      <c r="AU52" s="124"/>
      <c r="AV52" s="124"/>
      <c r="AW52" s="124"/>
      <c r="AX52" s="124"/>
      <c r="AY52" s="124"/>
      <c r="AZ52" s="124"/>
      <c r="BA52" s="124"/>
      <c r="BB52" s="124"/>
    </row>
    <row r="53" spans="32:54" x14ac:dyDescent="0.3">
      <c r="AF53" s="124"/>
      <c r="AG53" s="124"/>
      <c r="AH53" s="124"/>
      <c r="AI53" s="124"/>
      <c r="AJ53" s="124"/>
      <c r="AK53" s="124"/>
      <c r="AL53" s="124"/>
      <c r="AM53" s="124"/>
      <c r="AN53" s="124"/>
      <c r="AO53" s="124"/>
      <c r="AP53" s="124"/>
      <c r="AQ53" s="124"/>
      <c r="AR53" s="124"/>
      <c r="AS53" s="124"/>
      <c r="AT53" s="124"/>
      <c r="AU53" s="124"/>
      <c r="AV53" s="124"/>
      <c r="AW53" s="124"/>
      <c r="AX53" s="124"/>
      <c r="AY53" s="124"/>
      <c r="AZ53" s="124"/>
      <c r="BA53" s="124"/>
      <c r="BB53" s="124"/>
    </row>
    <row r="54" spans="32:54" x14ac:dyDescent="0.3">
      <c r="AF54" s="124"/>
      <c r="AG54" s="124"/>
      <c r="AH54" s="124"/>
      <c r="AI54" s="124"/>
      <c r="AJ54" s="124"/>
      <c r="AK54" s="124"/>
      <c r="AL54" s="124"/>
      <c r="AM54" s="124"/>
      <c r="AN54" s="124"/>
      <c r="AO54" s="124"/>
      <c r="AP54" s="124"/>
      <c r="AQ54" s="124"/>
      <c r="AR54" s="124"/>
      <c r="AS54" s="124"/>
      <c r="AT54" s="124"/>
      <c r="AU54" s="124"/>
      <c r="AV54" s="124"/>
      <c r="AW54" s="124"/>
      <c r="AX54" s="124"/>
      <c r="AY54" s="124"/>
      <c r="AZ54" s="124"/>
      <c r="BA54" s="124"/>
      <c r="BB54" s="124"/>
    </row>
    <row r="55" spans="32:54" x14ac:dyDescent="0.3">
      <c r="AF55" s="124"/>
      <c r="AG55" s="124"/>
      <c r="AH55" s="124"/>
      <c r="AI55" s="124"/>
      <c r="AJ55" s="124"/>
      <c r="AK55" s="124"/>
      <c r="AL55" s="124"/>
      <c r="AM55" s="124"/>
      <c r="AN55" s="124"/>
      <c r="AO55" s="124"/>
      <c r="AP55" s="124"/>
      <c r="AQ55" s="124"/>
      <c r="AR55" s="124"/>
      <c r="AS55" s="124"/>
      <c r="AT55" s="124"/>
      <c r="AU55" s="124"/>
      <c r="AV55" s="124"/>
      <c r="AW55" s="124"/>
      <c r="AX55" s="124"/>
      <c r="AY55" s="124"/>
      <c r="AZ55" s="124"/>
      <c r="BA55" s="124"/>
      <c r="BB55" s="124"/>
    </row>
    <row r="56" spans="32:54" x14ac:dyDescent="0.3">
      <c r="AF56" s="124"/>
      <c r="AG56" s="124"/>
      <c r="AH56" s="124"/>
      <c r="AI56" s="124"/>
      <c r="AJ56" s="124"/>
      <c r="AK56" s="124"/>
      <c r="AL56" s="124"/>
      <c r="AM56" s="124"/>
      <c r="AN56" s="124"/>
      <c r="AO56" s="124"/>
      <c r="AP56" s="124"/>
      <c r="AQ56" s="124"/>
      <c r="AR56" s="124"/>
      <c r="AS56" s="124"/>
      <c r="AT56" s="124"/>
      <c r="AU56" s="124"/>
      <c r="AV56" s="124"/>
      <c r="AW56" s="124"/>
      <c r="AX56" s="124"/>
      <c r="AY56" s="124"/>
      <c r="AZ56" s="124"/>
      <c r="BA56" s="124"/>
      <c r="BB56" s="124"/>
    </row>
  </sheetData>
  <phoneticPr fontId="17" type="noConversion"/>
  <conditionalFormatting sqref="U1">
    <cfRule type="cellIs" dxfId="1" priority="3" operator="lessThan">
      <formula>0</formula>
    </cfRule>
  </conditionalFormatting>
  <conditionalFormatting sqref="AZ1">
    <cfRule type="cellIs" dxfId="0" priority="1" operator="lessThan">
      <formula>0</formula>
    </cfRule>
  </conditionalFormatting>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A4A17-6AA1-403B-AF7D-6C94D301D19A}">
  <dimension ref="A2:AJ32440"/>
  <sheetViews>
    <sheetView workbookViewId="0">
      <selection activeCell="E13" sqref="E13"/>
    </sheetView>
  </sheetViews>
  <sheetFormatPr defaultColWidth="9.33203125" defaultRowHeight="13.2" x14ac:dyDescent="0.25"/>
  <cols>
    <col min="1" max="1" width="27" style="55" customWidth="1"/>
    <col min="2" max="2" width="27.33203125" style="55" customWidth="1"/>
    <col min="3" max="3" width="52.6640625" style="55" customWidth="1"/>
    <col min="4" max="4" width="12.6640625" style="55" bestFit="1" customWidth="1"/>
    <col min="5" max="5" width="48.6640625" style="55" customWidth="1"/>
    <col min="6" max="6" width="10.6640625" style="55" customWidth="1"/>
    <col min="7" max="7" width="34.6640625" style="55" bestFit="1" customWidth="1"/>
    <col min="8" max="8" width="9.33203125" style="55"/>
    <col min="9" max="9" width="13.44140625" style="55" bestFit="1" customWidth="1"/>
    <col min="10" max="10" width="20.5546875" style="55" customWidth="1"/>
    <col min="11" max="11" width="9.33203125" style="55"/>
    <col min="12" max="12" width="46.6640625" style="55" customWidth="1"/>
    <col min="13" max="13" width="9.33203125" style="55"/>
    <col min="14" max="14" width="51" style="55" customWidth="1"/>
    <col min="15" max="15" width="14.6640625" style="55" customWidth="1"/>
    <col min="16" max="16" width="9.33203125" style="55"/>
    <col min="17" max="17" width="13.44140625" style="55" customWidth="1"/>
    <col min="18" max="18" width="18.33203125" style="55" customWidth="1"/>
    <col min="19" max="19" width="9.33203125" style="55"/>
    <col min="20" max="20" width="69.33203125" style="55" customWidth="1"/>
    <col min="21" max="25" width="9.33203125" style="55"/>
    <col min="26" max="26" width="15.33203125" style="55" customWidth="1"/>
    <col min="27" max="27" width="11" style="55" customWidth="1"/>
    <col min="28" max="29" width="9.33203125" style="55"/>
    <col min="30" max="30" width="10.33203125" style="55" customWidth="1"/>
    <col min="31" max="31" width="11" style="55" customWidth="1"/>
    <col min="32" max="32" width="9.33203125" style="55"/>
    <col min="33" max="35" width="6.33203125" style="55" customWidth="1"/>
    <col min="36" max="36" width="10.6640625" style="55" customWidth="1"/>
    <col min="37" max="16384" width="9.33203125" style="55"/>
  </cols>
  <sheetData>
    <row r="2" spans="1:36" s="53" customFormat="1" ht="78" customHeight="1" x14ac:dyDescent="0.25">
      <c r="A2" s="46" t="s">
        <v>84</v>
      </c>
      <c r="B2" s="47" t="s">
        <v>85</v>
      </c>
      <c r="C2" s="133" t="s">
        <v>86</v>
      </c>
      <c r="D2" s="133"/>
      <c r="E2" s="133" t="s">
        <v>87</v>
      </c>
      <c r="F2" s="133"/>
      <c r="G2" s="133" t="s">
        <v>88</v>
      </c>
      <c r="H2" s="133"/>
      <c r="I2" s="46" t="s">
        <v>89</v>
      </c>
      <c r="J2" s="133" t="s">
        <v>90</v>
      </c>
      <c r="K2" s="133"/>
      <c r="L2" s="133" t="s">
        <v>91</v>
      </c>
      <c r="M2" s="133"/>
      <c r="N2" s="133" t="s">
        <v>92</v>
      </c>
      <c r="O2" s="133"/>
      <c r="P2" s="46" t="s">
        <v>93</v>
      </c>
      <c r="Q2" s="46" t="s">
        <v>94</v>
      </c>
      <c r="R2" s="46" t="s">
        <v>95</v>
      </c>
      <c r="S2" s="46" t="s">
        <v>34</v>
      </c>
      <c r="T2" s="133" t="s">
        <v>96</v>
      </c>
      <c r="U2" s="133"/>
      <c r="V2" s="48" t="s">
        <v>97</v>
      </c>
      <c r="W2" s="48" t="s">
        <v>98</v>
      </c>
      <c r="X2" s="48" t="s">
        <v>99</v>
      </c>
      <c r="Y2" s="46" t="s">
        <v>100</v>
      </c>
      <c r="Z2" s="49" t="s">
        <v>101</v>
      </c>
      <c r="AA2" s="46" t="s">
        <v>102</v>
      </c>
      <c r="AB2" s="50" t="s">
        <v>103</v>
      </c>
      <c r="AC2" s="48" t="s">
        <v>104</v>
      </c>
      <c r="AD2" s="48" t="s">
        <v>105</v>
      </c>
      <c r="AE2" s="51" t="s">
        <v>106</v>
      </c>
      <c r="AF2" s="46" t="s">
        <v>46</v>
      </c>
      <c r="AG2" s="52" t="s">
        <v>48</v>
      </c>
      <c r="AH2" s="52" t="s">
        <v>49</v>
      </c>
      <c r="AI2" s="52" t="s">
        <v>50</v>
      </c>
      <c r="AJ2" s="46" t="s">
        <v>51</v>
      </c>
    </row>
    <row r="3" spans="1:36" x14ac:dyDescent="0.25">
      <c r="A3" s="54" t="s">
        <v>107</v>
      </c>
      <c r="B3" s="54" t="s">
        <v>108</v>
      </c>
      <c r="C3" s="133" t="s">
        <v>109</v>
      </c>
      <c r="D3" s="133"/>
      <c r="E3" s="133" t="s">
        <v>110</v>
      </c>
      <c r="F3" s="133"/>
      <c r="G3" s="133" t="s">
        <v>111</v>
      </c>
      <c r="H3" s="133"/>
      <c r="I3" s="54" t="s">
        <v>112</v>
      </c>
      <c r="J3" s="133" t="s">
        <v>113</v>
      </c>
      <c r="K3" s="133"/>
      <c r="L3" s="133" t="s">
        <v>114</v>
      </c>
      <c r="M3" s="133"/>
      <c r="N3" s="133" t="s">
        <v>115</v>
      </c>
      <c r="O3" s="133"/>
      <c r="P3" s="54" t="s">
        <v>116</v>
      </c>
      <c r="Q3" s="54" t="s">
        <v>117</v>
      </c>
      <c r="R3" s="54" t="s">
        <v>118</v>
      </c>
      <c r="S3" s="54" t="s">
        <v>119</v>
      </c>
      <c r="T3" s="133" t="s">
        <v>120</v>
      </c>
      <c r="U3" s="133"/>
      <c r="V3" s="54" t="s">
        <v>121</v>
      </c>
      <c r="W3" s="54" t="s">
        <v>122</v>
      </c>
      <c r="X3" s="54" t="s">
        <v>123</v>
      </c>
      <c r="Y3" s="54" t="s">
        <v>124</v>
      </c>
      <c r="Z3" s="54" t="s">
        <v>125</v>
      </c>
      <c r="AA3" s="54" t="s">
        <v>126</v>
      </c>
      <c r="AB3" s="54" t="s">
        <v>127</v>
      </c>
      <c r="AC3" s="54" t="s">
        <v>128</v>
      </c>
      <c r="AD3" s="54" t="s">
        <v>129</v>
      </c>
      <c r="AE3" s="54" t="s">
        <v>130</v>
      </c>
      <c r="AF3" s="54"/>
      <c r="AG3" s="54"/>
      <c r="AH3" s="54"/>
      <c r="AI3" s="54"/>
      <c r="AJ3" s="54"/>
    </row>
    <row r="4" spans="1:36" ht="26.4" x14ac:dyDescent="0.25">
      <c r="A4" s="56" t="s">
        <v>0</v>
      </c>
      <c r="B4" s="57" t="s">
        <v>131</v>
      </c>
      <c r="C4" s="133" t="s">
        <v>132</v>
      </c>
      <c r="D4" s="133"/>
      <c r="E4" s="133" t="s">
        <v>133</v>
      </c>
      <c r="F4" s="133"/>
      <c r="G4" s="133" t="s">
        <v>134</v>
      </c>
      <c r="H4" s="133"/>
      <c r="I4" s="58" t="s">
        <v>135</v>
      </c>
      <c r="J4" s="133" t="s">
        <v>136</v>
      </c>
      <c r="K4" s="133"/>
      <c r="L4" s="133" t="s">
        <v>7</v>
      </c>
      <c r="M4" s="133"/>
      <c r="N4" s="133" t="s">
        <v>137</v>
      </c>
      <c r="O4" s="133"/>
      <c r="P4" s="58" t="s">
        <v>138</v>
      </c>
      <c r="Q4" s="56" t="s">
        <v>139</v>
      </c>
      <c r="R4" s="58" t="s">
        <v>140</v>
      </c>
      <c r="S4" s="58" t="s">
        <v>141</v>
      </c>
      <c r="T4" s="133" t="s">
        <v>142</v>
      </c>
      <c r="U4" s="133"/>
      <c r="V4" s="58" t="s">
        <v>143</v>
      </c>
      <c r="W4" s="59" t="s">
        <v>144</v>
      </c>
      <c r="X4" s="60" t="s">
        <v>145</v>
      </c>
      <c r="Y4" s="58" t="s">
        <v>146</v>
      </c>
      <c r="Z4" s="60" t="s">
        <v>147</v>
      </c>
      <c r="AA4" s="58" t="s">
        <v>148</v>
      </c>
      <c r="AB4" s="61" t="s">
        <v>149</v>
      </c>
      <c r="AC4" s="61" t="s">
        <v>150</v>
      </c>
      <c r="AD4" s="58" t="s">
        <v>151</v>
      </c>
    </row>
    <row r="5" spans="1:36" x14ac:dyDescent="0.25">
      <c r="A5" s="55" t="s">
        <v>152</v>
      </c>
      <c r="B5" s="55" t="s">
        <v>153</v>
      </c>
      <c r="C5" s="62" t="s">
        <v>154</v>
      </c>
      <c r="D5" s="63" t="s">
        <v>70</v>
      </c>
      <c r="E5" s="55" t="s">
        <v>155</v>
      </c>
      <c r="F5" s="64" t="s">
        <v>156</v>
      </c>
      <c r="G5" s="53" t="s">
        <v>157</v>
      </c>
      <c r="H5" s="55" t="s">
        <v>158</v>
      </c>
      <c r="I5" s="55" t="s">
        <v>159</v>
      </c>
      <c r="J5" s="55" t="s">
        <v>160</v>
      </c>
      <c r="K5" s="55" t="s">
        <v>161</v>
      </c>
      <c r="L5" s="55" t="s">
        <v>162</v>
      </c>
      <c r="M5" s="55" t="s">
        <v>163</v>
      </c>
      <c r="N5" s="55" t="s">
        <v>164</v>
      </c>
      <c r="O5" s="55" t="s">
        <v>165</v>
      </c>
      <c r="P5" s="55" t="s">
        <v>159</v>
      </c>
      <c r="Q5" s="55" t="s">
        <v>152</v>
      </c>
      <c r="R5" s="55" t="s">
        <v>153</v>
      </c>
      <c r="S5" s="55" t="s">
        <v>159</v>
      </c>
      <c r="T5" s="55" t="s">
        <v>166</v>
      </c>
      <c r="U5" s="55" t="s">
        <v>167</v>
      </c>
      <c r="Y5" s="55" t="s">
        <v>168</v>
      </c>
      <c r="AB5" s="65" t="str">
        <f>IF(OR(O5="CHK",O5="ATP",O5="GUP",O5="PER"),(Z5/AC5*100),IF(O5="DUP",((ABS(Z5-#REF!))/((#REF!+Z5)/2))*100,IF(O5="SPK",((Z5-#REF!)/AC5*100),IF(OR(O5="LAB",O5="FLD",O5="ESF"),Z5,""))))</f>
        <v/>
      </c>
      <c r="AC5" s="64" t="s">
        <v>169</v>
      </c>
      <c r="AD5" s="64" t="str">
        <f>IF(AND(OR(O5="PER",O5="ATP",O5="GUP",O5="CHK",O5="SPK"),OR(AB5&gt;125,AB5&lt;75)),"FALSE",IF(AND(O5="DUP",AB5&gt;25),"FALSE",IF(AND(OR(O5="LAB",O5="FLD",O5="ESF"),AB5&gt;15),"FALSE","TRUE")))</f>
        <v>TRUE</v>
      </c>
    </row>
    <row r="6" spans="1:36" x14ac:dyDescent="0.25">
      <c r="A6" s="55" t="s">
        <v>170</v>
      </c>
      <c r="B6" s="55" t="s">
        <v>171</v>
      </c>
      <c r="C6" s="46"/>
      <c r="D6" s="46"/>
      <c r="E6" s="55" t="s">
        <v>172</v>
      </c>
      <c r="F6" s="64" t="s">
        <v>173</v>
      </c>
      <c r="G6" s="53" t="s">
        <v>174</v>
      </c>
      <c r="H6" s="55" t="s">
        <v>175</v>
      </c>
      <c r="J6" s="55" t="s">
        <v>176</v>
      </c>
      <c r="K6" s="55" t="s">
        <v>177</v>
      </c>
      <c r="L6" s="55" t="s">
        <v>178</v>
      </c>
      <c r="M6" s="55" t="s">
        <v>179</v>
      </c>
      <c r="N6" s="55" t="s">
        <v>180</v>
      </c>
      <c r="O6" s="55" t="s">
        <v>181</v>
      </c>
      <c r="T6" s="55" t="s">
        <v>182</v>
      </c>
      <c r="U6" s="55" t="s">
        <v>75</v>
      </c>
      <c r="Y6" s="55" t="s">
        <v>83</v>
      </c>
      <c r="AD6" s="55" t="b">
        <v>0</v>
      </c>
    </row>
    <row r="7" spans="1:36" x14ac:dyDescent="0.25">
      <c r="C7" s="66" t="s">
        <v>183</v>
      </c>
      <c r="D7" s="67" t="s">
        <v>184</v>
      </c>
      <c r="E7" s="55" t="s">
        <v>185</v>
      </c>
      <c r="F7" s="64" t="s">
        <v>186</v>
      </c>
      <c r="G7" s="53" t="s">
        <v>187</v>
      </c>
      <c r="H7" s="55" t="s">
        <v>188</v>
      </c>
      <c r="J7" s="55" t="s">
        <v>189</v>
      </c>
      <c r="K7" s="55" t="s">
        <v>72</v>
      </c>
      <c r="L7" s="55" t="s">
        <v>190</v>
      </c>
      <c r="M7" s="55" t="s">
        <v>73</v>
      </c>
      <c r="N7" s="55" t="s">
        <v>191</v>
      </c>
      <c r="O7" s="55" t="s">
        <v>192</v>
      </c>
      <c r="T7" s="55" t="s">
        <v>193</v>
      </c>
      <c r="U7" s="55" t="s">
        <v>194</v>
      </c>
      <c r="Y7" s="55" t="s">
        <v>195</v>
      </c>
    </row>
    <row r="8" spans="1:36" x14ac:dyDescent="0.25">
      <c r="C8" s="66" t="s">
        <v>196</v>
      </c>
      <c r="D8" s="67" t="s">
        <v>197</v>
      </c>
      <c r="E8" s="55" t="s">
        <v>198</v>
      </c>
      <c r="F8" s="64" t="s">
        <v>199</v>
      </c>
      <c r="G8" s="53" t="s">
        <v>200</v>
      </c>
      <c r="H8" s="55" t="s">
        <v>201</v>
      </c>
      <c r="J8" s="55" t="s">
        <v>202</v>
      </c>
      <c r="K8" s="55" t="s">
        <v>203</v>
      </c>
      <c r="L8" s="55" t="s">
        <v>204</v>
      </c>
      <c r="M8" s="55" t="s">
        <v>205</v>
      </c>
      <c r="N8" s="55" t="s">
        <v>206</v>
      </c>
      <c r="O8" s="55" t="s">
        <v>207</v>
      </c>
      <c r="T8" s="55" t="s">
        <v>208</v>
      </c>
      <c r="U8" s="55" t="s">
        <v>209</v>
      </c>
      <c r="Y8" s="55" t="s">
        <v>210</v>
      </c>
    </row>
    <row r="9" spans="1:36" x14ac:dyDescent="0.25">
      <c r="C9" s="55" t="s">
        <v>211</v>
      </c>
      <c r="D9" s="64" t="s">
        <v>212</v>
      </c>
      <c r="E9" s="55" t="s">
        <v>213</v>
      </c>
      <c r="F9" s="64" t="s">
        <v>214</v>
      </c>
      <c r="G9" s="53" t="s">
        <v>215</v>
      </c>
      <c r="H9" s="55" t="s">
        <v>216</v>
      </c>
      <c r="J9" s="55" t="s">
        <v>217</v>
      </c>
      <c r="K9" s="55" t="s">
        <v>218</v>
      </c>
      <c r="L9" s="55" t="s">
        <v>219</v>
      </c>
      <c r="M9" s="55" t="s">
        <v>220</v>
      </c>
      <c r="N9" s="55" t="s">
        <v>221</v>
      </c>
      <c r="O9" s="55" t="s">
        <v>222</v>
      </c>
      <c r="T9" s="55" t="s">
        <v>223</v>
      </c>
      <c r="U9" s="55" t="s">
        <v>82</v>
      </c>
      <c r="Y9" s="55" t="s">
        <v>224</v>
      </c>
    </row>
    <row r="10" spans="1:36" x14ac:dyDescent="0.25">
      <c r="C10" s="55" t="s">
        <v>225</v>
      </c>
      <c r="D10" s="64" t="s">
        <v>226</v>
      </c>
      <c r="E10" s="55" t="s">
        <v>227</v>
      </c>
      <c r="F10" s="64" t="s">
        <v>220</v>
      </c>
      <c r="G10" s="53"/>
      <c r="J10" s="55" t="s">
        <v>228</v>
      </c>
      <c r="K10" s="55" t="s">
        <v>229</v>
      </c>
      <c r="L10" s="55" t="s">
        <v>230</v>
      </c>
      <c r="M10" s="55" t="s">
        <v>231</v>
      </c>
      <c r="N10" s="55" t="s">
        <v>232</v>
      </c>
      <c r="O10" s="55" t="s">
        <v>233</v>
      </c>
      <c r="T10" s="55" t="s">
        <v>234</v>
      </c>
      <c r="U10" s="55" t="s">
        <v>235</v>
      </c>
    </row>
    <row r="11" spans="1:36" x14ac:dyDescent="0.25">
      <c r="C11" s="55" t="s">
        <v>236</v>
      </c>
      <c r="D11" s="64" t="s">
        <v>237</v>
      </c>
      <c r="E11" s="55" t="s">
        <v>238</v>
      </c>
      <c r="F11" s="64" t="s">
        <v>239</v>
      </c>
      <c r="G11" s="53"/>
      <c r="J11" s="55" t="s">
        <v>240</v>
      </c>
      <c r="K11" s="55" t="s">
        <v>241</v>
      </c>
      <c r="L11" s="55" t="s">
        <v>242</v>
      </c>
      <c r="M11" s="55" t="s">
        <v>243</v>
      </c>
      <c r="N11" s="55" t="s">
        <v>244</v>
      </c>
      <c r="O11" s="55" t="s">
        <v>74</v>
      </c>
      <c r="T11" s="55" t="s">
        <v>245</v>
      </c>
      <c r="U11" s="55" t="s">
        <v>246</v>
      </c>
    </row>
    <row r="12" spans="1:36" x14ac:dyDescent="0.25">
      <c r="C12" s="55" t="s">
        <v>247</v>
      </c>
      <c r="D12" s="64" t="s">
        <v>248</v>
      </c>
      <c r="E12" s="55" t="s">
        <v>249</v>
      </c>
      <c r="F12" s="64" t="s">
        <v>250</v>
      </c>
      <c r="G12" s="53"/>
      <c r="L12" s="55" t="s">
        <v>251</v>
      </c>
      <c r="M12" s="55" t="s">
        <v>252</v>
      </c>
      <c r="N12" s="55" t="s">
        <v>253</v>
      </c>
      <c r="O12" s="55" t="s">
        <v>254</v>
      </c>
      <c r="T12" s="55" t="s">
        <v>255</v>
      </c>
      <c r="U12" s="55" t="s">
        <v>256</v>
      </c>
    </row>
    <row r="13" spans="1:36" x14ac:dyDescent="0.25">
      <c r="C13" s="55" t="s">
        <v>257</v>
      </c>
      <c r="D13" s="64" t="s">
        <v>258</v>
      </c>
      <c r="E13" s="55" t="s">
        <v>259</v>
      </c>
      <c r="F13" s="64" t="s">
        <v>260</v>
      </c>
      <c r="G13" s="53"/>
      <c r="L13" s="55" t="s">
        <v>261</v>
      </c>
      <c r="M13" s="55" t="s">
        <v>262</v>
      </c>
      <c r="N13" s="55" t="s">
        <v>263</v>
      </c>
      <c r="O13" s="55" t="s">
        <v>264</v>
      </c>
      <c r="T13" s="55" t="s">
        <v>265</v>
      </c>
      <c r="U13" s="55" t="s">
        <v>266</v>
      </c>
    </row>
    <row r="14" spans="1:36" x14ac:dyDescent="0.25">
      <c r="C14" s="66" t="s">
        <v>267</v>
      </c>
      <c r="D14" s="67" t="s">
        <v>268</v>
      </c>
      <c r="E14" s="55" t="s">
        <v>269</v>
      </c>
      <c r="F14" s="64" t="s">
        <v>270</v>
      </c>
      <c r="G14" s="53"/>
      <c r="L14" s="55" t="s">
        <v>271</v>
      </c>
      <c r="M14" s="55" t="s">
        <v>272</v>
      </c>
      <c r="N14" s="55" t="s">
        <v>273</v>
      </c>
      <c r="O14" s="55" t="s">
        <v>81</v>
      </c>
      <c r="T14" s="55" t="s">
        <v>274</v>
      </c>
      <c r="U14" s="55" t="s">
        <v>275</v>
      </c>
    </row>
    <row r="15" spans="1:36" x14ac:dyDescent="0.25">
      <c r="C15" s="55" t="s">
        <v>276</v>
      </c>
      <c r="D15" s="64" t="s">
        <v>277</v>
      </c>
      <c r="E15" s="55" t="s">
        <v>278</v>
      </c>
      <c r="F15" s="64" t="s">
        <v>279</v>
      </c>
      <c r="G15" s="53"/>
      <c r="L15" s="55" t="s">
        <v>280</v>
      </c>
      <c r="M15" s="55" t="s">
        <v>281</v>
      </c>
      <c r="N15" s="55" t="s">
        <v>282</v>
      </c>
      <c r="O15" s="55" t="s">
        <v>283</v>
      </c>
    </row>
    <row r="16" spans="1:36" x14ac:dyDescent="0.25">
      <c r="C16" s="55" t="s">
        <v>284</v>
      </c>
      <c r="D16" s="64" t="s">
        <v>285</v>
      </c>
      <c r="E16" s="55" t="s">
        <v>286</v>
      </c>
      <c r="F16" s="64" t="s">
        <v>287</v>
      </c>
      <c r="G16" s="53"/>
      <c r="L16" s="55" t="s">
        <v>288</v>
      </c>
      <c r="M16" s="55" t="s">
        <v>289</v>
      </c>
      <c r="N16" s="55" t="s">
        <v>290</v>
      </c>
      <c r="O16" s="55" t="s">
        <v>291</v>
      </c>
    </row>
    <row r="17" spans="3:15" x14ac:dyDescent="0.25">
      <c r="C17" s="55" t="s">
        <v>292</v>
      </c>
      <c r="D17" s="64" t="s">
        <v>293</v>
      </c>
      <c r="E17" s="55" t="s">
        <v>294</v>
      </c>
      <c r="F17" s="64" t="s">
        <v>295</v>
      </c>
      <c r="G17" s="53"/>
      <c r="L17" s="55" t="s">
        <v>296</v>
      </c>
      <c r="M17" s="55" t="s">
        <v>297</v>
      </c>
      <c r="N17" s="55" t="s">
        <v>298</v>
      </c>
      <c r="O17" s="55" t="s">
        <v>299</v>
      </c>
    </row>
    <row r="18" spans="3:15" x14ac:dyDescent="0.25">
      <c r="C18" s="55" t="s">
        <v>300</v>
      </c>
      <c r="D18" s="64" t="s">
        <v>301</v>
      </c>
      <c r="E18" s="55" t="s">
        <v>302</v>
      </c>
      <c r="F18" s="64" t="s">
        <v>303</v>
      </c>
      <c r="G18" s="53"/>
      <c r="L18" s="55" t="s">
        <v>89</v>
      </c>
      <c r="M18" s="55" t="s">
        <v>304</v>
      </c>
      <c r="N18" s="55" t="s">
        <v>305</v>
      </c>
      <c r="O18" s="55" t="s">
        <v>306</v>
      </c>
    </row>
    <row r="19" spans="3:15" x14ac:dyDescent="0.25">
      <c r="C19" s="55" t="s">
        <v>307</v>
      </c>
      <c r="D19" s="64" t="s">
        <v>308</v>
      </c>
      <c r="E19" s="55" t="s">
        <v>309</v>
      </c>
      <c r="F19" s="64" t="s">
        <v>310</v>
      </c>
      <c r="G19" s="53"/>
      <c r="L19" s="55" t="s">
        <v>311</v>
      </c>
      <c r="M19" s="55" t="s">
        <v>312</v>
      </c>
      <c r="N19" s="55" t="s">
        <v>313</v>
      </c>
      <c r="O19" s="55" t="s">
        <v>314</v>
      </c>
    </row>
    <row r="20" spans="3:15" x14ac:dyDescent="0.25">
      <c r="C20" s="55" t="s">
        <v>315</v>
      </c>
      <c r="D20" s="64" t="s">
        <v>316</v>
      </c>
      <c r="E20" s="55" t="s">
        <v>317</v>
      </c>
      <c r="F20" s="64" t="s">
        <v>318</v>
      </c>
      <c r="G20" s="53"/>
      <c r="L20" s="55" t="s">
        <v>319</v>
      </c>
      <c r="M20" s="55" t="s">
        <v>320</v>
      </c>
      <c r="N20" s="55" t="s">
        <v>321</v>
      </c>
      <c r="O20" s="55" t="s">
        <v>322</v>
      </c>
    </row>
    <row r="21" spans="3:15" x14ac:dyDescent="0.25">
      <c r="C21" s="55" t="s">
        <v>323</v>
      </c>
      <c r="D21" s="64" t="s">
        <v>324</v>
      </c>
      <c r="E21" s="55" t="s">
        <v>325</v>
      </c>
      <c r="F21" s="64" t="s">
        <v>326</v>
      </c>
      <c r="G21" s="53"/>
    </row>
    <row r="22" spans="3:15" x14ac:dyDescent="0.25">
      <c r="C22" s="55" t="s">
        <v>327</v>
      </c>
      <c r="D22" s="64" t="s">
        <v>328</v>
      </c>
      <c r="E22" s="55" t="s">
        <v>329</v>
      </c>
      <c r="F22" s="64">
        <v>10</v>
      </c>
      <c r="G22" s="53"/>
    </row>
    <row r="23" spans="3:15" x14ac:dyDescent="0.25">
      <c r="C23" s="55" t="s">
        <v>330</v>
      </c>
      <c r="D23" s="64" t="s">
        <v>331</v>
      </c>
      <c r="E23" s="55" t="s">
        <v>332</v>
      </c>
      <c r="F23" s="64">
        <v>20</v>
      </c>
      <c r="G23" s="53"/>
    </row>
    <row r="24" spans="3:15" x14ac:dyDescent="0.25">
      <c r="C24" s="55" t="s">
        <v>333</v>
      </c>
      <c r="D24" s="64" t="s">
        <v>334</v>
      </c>
      <c r="E24" s="55" t="s">
        <v>329</v>
      </c>
      <c r="F24" s="64">
        <v>38</v>
      </c>
      <c r="G24" s="53"/>
    </row>
    <row r="25" spans="3:15" x14ac:dyDescent="0.25">
      <c r="C25" s="55" t="s">
        <v>335</v>
      </c>
      <c r="D25" s="64" t="s">
        <v>336</v>
      </c>
      <c r="E25" s="55" t="s">
        <v>337</v>
      </c>
      <c r="F25" s="64" t="s">
        <v>71</v>
      </c>
      <c r="G25" s="53"/>
    </row>
    <row r="26" spans="3:15" x14ac:dyDescent="0.25">
      <c r="C26" s="55" t="s">
        <v>338</v>
      </c>
      <c r="D26" s="64" t="s">
        <v>339</v>
      </c>
      <c r="E26" s="55" t="s">
        <v>340</v>
      </c>
      <c r="F26" s="64" t="s">
        <v>341</v>
      </c>
      <c r="G26" s="53"/>
    </row>
    <row r="27" spans="3:15" x14ac:dyDescent="0.25">
      <c r="C27" s="55" t="s">
        <v>342</v>
      </c>
      <c r="D27" s="64" t="s">
        <v>343</v>
      </c>
      <c r="E27" s="55" t="s">
        <v>344</v>
      </c>
      <c r="F27" s="64" t="s">
        <v>345</v>
      </c>
      <c r="G27" s="53"/>
    </row>
    <row r="28" spans="3:15" x14ac:dyDescent="0.25">
      <c r="C28" s="55" t="s">
        <v>346</v>
      </c>
      <c r="D28" s="64" t="s">
        <v>347</v>
      </c>
      <c r="G28" s="53"/>
    </row>
    <row r="29" spans="3:15" x14ac:dyDescent="0.25">
      <c r="C29" s="55" t="s">
        <v>348</v>
      </c>
      <c r="D29" s="64" t="s">
        <v>349</v>
      </c>
      <c r="G29" s="53"/>
    </row>
    <row r="30" spans="3:15" x14ac:dyDescent="0.25">
      <c r="C30" s="55" t="s">
        <v>350</v>
      </c>
      <c r="D30" s="64" t="s">
        <v>351</v>
      </c>
      <c r="G30" s="53"/>
    </row>
    <row r="31" spans="3:15" x14ac:dyDescent="0.25">
      <c r="C31" s="55" t="s">
        <v>352</v>
      </c>
      <c r="D31" s="64" t="s">
        <v>353</v>
      </c>
      <c r="F31" s="53"/>
      <c r="G31" s="53"/>
    </row>
    <row r="32" spans="3:15" x14ac:dyDescent="0.25">
      <c r="C32" s="55" t="s">
        <v>354</v>
      </c>
      <c r="D32" s="64" t="s">
        <v>355</v>
      </c>
      <c r="F32" s="53"/>
      <c r="G32" s="53"/>
    </row>
    <row r="33" spans="3:7" x14ac:dyDescent="0.25">
      <c r="C33" s="55" t="s">
        <v>356</v>
      </c>
      <c r="D33" s="64" t="s">
        <v>357</v>
      </c>
      <c r="F33" s="53"/>
      <c r="G33" s="53"/>
    </row>
    <row r="34" spans="3:7" x14ac:dyDescent="0.25">
      <c r="C34" s="55" t="s">
        <v>358</v>
      </c>
      <c r="D34" s="64" t="s">
        <v>359</v>
      </c>
    </row>
    <row r="35" spans="3:7" x14ac:dyDescent="0.25">
      <c r="C35" s="55" t="s">
        <v>360</v>
      </c>
      <c r="D35" s="64" t="s">
        <v>243</v>
      </c>
    </row>
    <row r="36" spans="3:7" x14ac:dyDescent="0.25">
      <c r="C36" s="68" t="s">
        <v>361</v>
      </c>
      <c r="D36" s="69" t="s">
        <v>362</v>
      </c>
      <c r="E36" s="70"/>
      <c r="F36" s="70"/>
    </row>
    <row r="37" spans="3:7" x14ac:dyDescent="0.25">
      <c r="C37" s="66" t="s">
        <v>363</v>
      </c>
      <c r="D37" s="67" t="s">
        <v>310</v>
      </c>
      <c r="E37" s="66" t="s">
        <v>309</v>
      </c>
      <c r="F37" s="67" t="s">
        <v>364</v>
      </c>
    </row>
    <row r="38" spans="3:7" x14ac:dyDescent="0.25">
      <c r="C38" s="66" t="s">
        <v>365</v>
      </c>
      <c r="D38" s="67" t="s">
        <v>366</v>
      </c>
      <c r="E38" s="66" t="s">
        <v>367</v>
      </c>
      <c r="F38" s="67" t="s">
        <v>368</v>
      </c>
    </row>
    <row r="39" spans="3:7" x14ac:dyDescent="0.25">
      <c r="C39" s="66" t="s">
        <v>369</v>
      </c>
      <c r="D39" s="67" t="s">
        <v>370</v>
      </c>
      <c r="E39" s="66" t="s">
        <v>371</v>
      </c>
      <c r="F39" s="67" t="s">
        <v>372</v>
      </c>
    </row>
    <row r="40" spans="3:7" x14ac:dyDescent="0.25">
      <c r="C40" s="66" t="s">
        <v>373</v>
      </c>
      <c r="D40" s="67" t="s">
        <v>374</v>
      </c>
    </row>
    <row r="41" spans="3:7" x14ac:dyDescent="0.25">
      <c r="C41" s="66" t="s">
        <v>375</v>
      </c>
      <c r="D41" s="67" t="s">
        <v>376</v>
      </c>
    </row>
    <row r="42" spans="3:7" x14ac:dyDescent="0.25">
      <c r="C42" s="66" t="s">
        <v>377</v>
      </c>
      <c r="D42" s="67" t="s">
        <v>378</v>
      </c>
    </row>
    <row r="43" spans="3:7" x14ac:dyDescent="0.25">
      <c r="C43" s="66" t="s">
        <v>379</v>
      </c>
      <c r="D43" s="67" t="s">
        <v>380</v>
      </c>
    </row>
    <row r="44" spans="3:7" x14ac:dyDescent="0.25">
      <c r="C44" s="66" t="s">
        <v>381</v>
      </c>
      <c r="D44" s="67" t="s">
        <v>382</v>
      </c>
    </row>
    <row r="45" spans="3:7" x14ac:dyDescent="0.25">
      <c r="C45" s="66" t="s">
        <v>383</v>
      </c>
      <c r="D45" s="67" t="s">
        <v>384</v>
      </c>
    </row>
    <row r="46" spans="3:7" x14ac:dyDescent="0.25">
      <c r="C46" s="66" t="s">
        <v>385</v>
      </c>
      <c r="D46" s="67" t="s">
        <v>386</v>
      </c>
    </row>
    <row r="47" spans="3:7" x14ac:dyDescent="0.25">
      <c r="C47" s="66" t="s">
        <v>387</v>
      </c>
      <c r="D47" s="67" t="s">
        <v>388</v>
      </c>
    </row>
    <row r="48" spans="3:7" x14ac:dyDescent="0.25">
      <c r="C48" s="66" t="s">
        <v>389</v>
      </c>
      <c r="D48" s="67" t="s">
        <v>390</v>
      </c>
    </row>
    <row r="52" spans="3:6" x14ac:dyDescent="0.25">
      <c r="C52" s="133" t="s">
        <v>132</v>
      </c>
      <c r="D52" s="133"/>
      <c r="E52" s="133" t="s">
        <v>133</v>
      </c>
      <c r="F52" s="133"/>
    </row>
    <row r="53" spans="3:6" x14ac:dyDescent="0.25">
      <c r="C53" s="66" t="s">
        <v>183</v>
      </c>
      <c r="D53" s="67" t="s">
        <v>184</v>
      </c>
      <c r="E53" s="55" t="s">
        <v>155</v>
      </c>
      <c r="F53" s="64" t="s">
        <v>156</v>
      </c>
    </row>
    <row r="54" spans="3:6" x14ac:dyDescent="0.25">
      <c r="C54" s="66" t="s">
        <v>196</v>
      </c>
      <c r="D54" s="67" t="s">
        <v>197</v>
      </c>
      <c r="E54" s="55" t="s">
        <v>172</v>
      </c>
      <c r="F54" s="64" t="s">
        <v>173</v>
      </c>
    </row>
    <row r="55" spans="3:6" x14ac:dyDescent="0.25">
      <c r="C55" s="55" t="s">
        <v>211</v>
      </c>
      <c r="D55" s="64" t="s">
        <v>212</v>
      </c>
      <c r="E55" s="55" t="s">
        <v>185</v>
      </c>
      <c r="F55" s="64" t="s">
        <v>186</v>
      </c>
    </row>
    <row r="56" spans="3:6" x14ac:dyDescent="0.25">
      <c r="C56" s="55" t="s">
        <v>225</v>
      </c>
      <c r="D56" s="64" t="s">
        <v>226</v>
      </c>
      <c r="E56" s="55" t="s">
        <v>198</v>
      </c>
      <c r="F56" s="64" t="s">
        <v>199</v>
      </c>
    </row>
    <row r="57" spans="3:6" x14ac:dyDescent="0.25">
      <c r="C57" s="55" t="s">
        <v>236</v>
      </c>
      <c r="D57" s="64" t="s">
        <v>391</v>
      </c>
      <c r="E57" s="55" t="s">
        <v>213</v>
      </c>
      <c r="F57" s="64" t="s">
        <v>214</v>
      </c>
    </row>
    <row r="58" spans="3:6" x14ac:dyDescent="0.25">
      <c r="C58" s="55" t="s">
        <v>247</v>
      </c>
      <c r="D58" s="64" t="s">
        <v>248</v>
      </c>
      <c r="E58" s="55" t="s">
        <v>227</v>
      </c>
      <c r="F58" s="64" t="s">
        <v>220</v>
      </c>
    </row>
    <row r="59" spans="3:6" x14ac:dyDescent="0.25">
      <c r="C59" s="55" t="s">
        <v>257</v>
      </c>
      <c r="D59" s="64" t="s">
        <v>258</v>
      </c>
      <c r="E59" s="55" t="s">
        <v>238</v>
      </c>
      <c r="F59" s="64" t="s">
        <v>239</v>
      </c>
    </row>
    <row r="60" spans="3:6" x14ac:dyDescent="0.25">
      <c r="C60" s="66" t="s">
        <v>267</v>
      </c>
      <c r="D60" s="67" t="s">
        <v>268</v>
      </c>
      <c r="E60" s="55" t="s">
        <v>249</v>
      </c>
      <c r="F60" s="64" t="s">
        <v>250</v>
      </c>
    </row>
    <row r="61" spans="3:6" x14ac:dyDescent="0.25">
      <c r="C61" s="55" t="s">
        <v>276</v>
      </c>
      <c r="D61" s="64" t="s">
        <v>277</v>
      </c>
      <c r="E61" s="55" t="s">
        <v>259</v>
      </c>
      <c r="F61" s="64" t="s">
        <v>260</v>
      </c>
    </row>
    <row r="62" spans="3:6" x14ac:dyDescent="0.25">
      <c r="C62" s="55" t="s">
        <v>284</v>
      </c>
      <c r="D62" s="64" t="s">
        <v>285</v>
      </c>
      <c r="E62" s="55" t="s">
        <v>269</v>
      </c>
      <c r="F62" s="64" t="s">
        <v>270</v>
      </c>
    </row>
    <row r="63" spans="3:6" x14ac:dyDescent="0.25">
      <c r="C63" s="55" t="s">
        <v>292</v>
      </c>
      <c r="D63" s="64" t="s">
        <v>293</v>
      </c>
      <c r="E63" s="55" t="s">
        <v>278</v>
      </c>
      <c r="F63" s="64" t="s">
        <v>279</v>
      </c>
    </row>
    <row r="64" spans="3:6" x14ac:dyDescent="0.25">
      <c r="C64" s="55" t="s">
        <v>300</v>
      </c>
      <c r="D64" s="64" t="s">
        <v>301</v>
      </c>
      <c r="E64" s="55" t="s">
        <v>286</v>
      </c>
      <c r="F64" s="64" t="s">
        <v>287</v>
      </c>
    </row>
    <row r="65" spans="3:6" x14ac:dyDescent="0.25">
      <c r="C65" s="55" t="s">
        <v>307</v>
      </c>
      <c r="D65" s="64" t="s">
        <v>308</v>
      </c>
      <c r="E65" s="55" t="s">
        <v>294</v>
      </c>
      <c r="F65" s="64" t="s">
        <v>295</v>
      </c>
    </row>
    <row r="66" spans="3:6" x14ac:dyDescent="0.25">
      <c r="C66" s="55" t="s">
        <v>360</v>
      </c>
      <c r="D66" s="64" t="s">
        <v>243</v>
      </c>
      <c r="E66" s="55" t="s">
        <v>302</v>
      </c>
      <c r="F66" s="64" t="s">
        <v>303</v>
      </c>
    </row>
    <row r="67" spans="3:6" x14ac:dyDescent="0.25">
      <c r="C67" s="55" t="s">
        <v>315</v>
      </c>
      <c r="D67" s="64" t="s">
        <v>316</v>
      </c>
      <c r="E67" s="55" t="s">
        <v>309</v>
      </c>
      <c r="F67" s="64" t="s">
        <v>310</v>
      </c>
    </row>
    <row r="68" spans="3:6" x14ac:dyDescent="0.25">
      <c r="C68" s="55" t="s">
        <v>323</v>
      </c>
      <c r="D68" s="64" t="s">
        <v>324</v>
      </c>
      <c r="E68" s="55" t="s">
        <v>317</v>
      </c>
      <c r="F68" s="64" t="s">
        <v>318</v>
      </c>
    </row>
    <row r="69" spans="3:6" x14ac:dyDescent="0.25">
      <c r="C69" s="55" t="s">
        <v>361</v>
      </c>
      <c r="D69" s="64" t="s">
        <v>362</v>
      </c>
      <c r="E69" s="55" t="s">
        <v>325</v>
      </c>
      <c r="F69" s="64" t="s">
        <v>326</v>
      </c>
    </row>
    <row r="70" spans="3:6" x14ac:dyDescent="0.25">
      <c r="C70" s="55" t="s">
        <v>327</v>
      </c>
      <c r="D70" s="64" t="s">
        <v>328</v>
      </c>
      <c r="E70" s="55" t="s">
        <v>329</v>
      </c>
      <c r="F70" s="64">
        <v>10</v>
      </c>
    </row>
    <row r="71" spans="3:6" x14ac:dyDescent="0.25">
      <c r="C71" s="55" t="s">
        <v>330</v>
      </c>
      <c r="D71" s="64" t="s">
        <v>331</v>
      </c>
      <c r="E71" s="55" t="s">
        <v>332</v>
      </c>
      <c r="F71" s="64">
        <v>20</v>
      </c>
    </row>
    <row r="72" spans="3:6" x14ac:dyDescent="0.25">
      <c r="C72" s="55" t="s">
        <v>333</v>
      </c>
      <c r="D72" s="64" t="s">
        <v>334</v>
      </c>
      <c r="E72" s="55" t="s">
        <v>329</v>
      </c>
      <c r="F72" s="64">
        <v>38</v>
      </c>
    </row>
    <row r="73" spans="3:6" x14ac:dyDescent="0.25">
      <c r="C73" s="55" t="s">
        <v>335</v>
      </c>
      <c r="D73" s="64" t="s">
        <v>336</v>
      </c>
      <c r="E73" s="55" t="s">
        <v>337</v>
      </c>
      <c r="F73" s="64" t="s">
        <v>71</v>
      </c>
    </row>
    <row r="74" spans="3:6" x14ac:dyDescent="0.25">
      <c r="C74" s="55" t="s">
        <v>338</v>
      </c>
      <c r="D74" s="64" t="s">
        <v>339</v>
      </c>
      <c r="E74" s="55" t="s">
        <v>340</v>
      </c>
      <c r="F74" s="64" t="s">
        <v>341</v>
      </c>
    </row>
    <row r="75" spans="3:6" x14ac:dyDescent="0.25">
      <c r="C75" s="55" t="s">
        <v>342</v>
      </c>
      <c r="D75" s="64" t="s">
        <v>343</v>
      </c>
      <c r="E75" s="70" t="s">
        <v>344</v>
      </c>
      <c r="F75" s="71" t="s">
        <v>345</v>
      </c>
    </row>
    <row r="76" spans="3:6" x14ac:dyDescent="0.25">
      <c r="C76" s="55" t="s">
        <v>346</v>
      </c>
      <c r="D76" s="64" t="s">
        <v>347</v>
      </c>
      <c r="F76" s="64" t="s">
        <v>392</v>
      </c>
    </row>
    <row r="77" spans="3:6" x14ac:dyDescent="0.25">
      <c r="C77" s="55" t="s">
        <v>348</v>
      </c>
      <c r="D77" s="64" t="s">
        <v>349</v>
      </c>
      <c r="F77" s="64" t="s">
        <v>393</v>
      </c>
    </row>
    <row r="78" spans="3:6" x14ac:dyDescent="0.25">
      <c r="C78" s="55" t="s">
        <v>350</v>
      </c>
      <c r="D78" s="64" t="s">
        <v>351</v>
      </c>
      <c r="F78" s="64" t="s">
        <v>394</v>
      </c>
    </row>
    <row r="79" spans="3:6" x14ac:dyDescent="0.25">
      <c r="C79" s="55" t="s">
        <v>352</v>
      </c>
      <c r="D79" s="64" t="s">
        <v>353</v>
      </c>
      <c r="F79" s="64" t="s">
        <v>392</v>
      </c>
    </row>
    <row r="80" spans="3:6" x14ac:dyDescent="0.25">
      <c r="C80" s="55" t="s">
        <v>354</v>
      </c>
      <c r="D80" s="64" t="s">
        <v>355</v>
      </c>
      <c r="F80" s="64" t="s">
        <v>395</v>
      </c>
    </row>
    <row r="81" spans="3:6" x14ac:dyDescent="0.25">
      <c r="C81" s="55" t="s">
        <v>356</v>
      </c>
      <c r="D81" s="64" t="s">
        <v>357</v>
      </c>
      <c r="E81" s="70"/>
      <c r="F81" s="71" t="s">
        <v>396</v>
      </c>
    </row>
    <row r="82" spans="3:6" x14ac:dyDescent="0.25">
      <c r="C82" s="70" t="s">
        <v>358</v>
      </c>
      <c r="D82" s="71" t="s">
        <v>359</v>
      </c>
      <c r="E82" s="55" t="s">
        <v>397</v>
      </c>
      <c r="F82" s="64" t="s">
        <v>364</v>
      </c>
    </row>
    <row r="83" spans="3:6" x14ac:dyDescent="0.25">
      <c r="C83" s="66"/>
      <c r="D83" s="67" t="s">
        <v>398</v>
      </c>
      <c r="E83" s="55" t="s">
        <v>399</v>
      </c>
      <c r="F83" s="64" t="s">
        <v>368</v>
      </c>
    </row>
    <row r="84" spans="3:6" x14ac:dyDescent="0.25">
      <c r="C84" s="66"/>
      <c r="D84" s="67" t="s">
        <v>400</v>
      </c>
      <c r="E84" s="55" t="s">
        <v>401</v>
      </c>
      <c r="F84" s="64" t="s">
        <v>372</v>
      </c>
    </row>
    <row r="85" spans="3:6" x14ac:dyDescent="0.25">
      <c r="C85" s="66"/>
      <c r="D85" s="67" t="s">
        <v>402</v>
      </c>
      <c r="E85" s="55" t="s">
        <v>403</v>
      </c>
      <c r="F85" s="64" t="s">
        <v>404</v>
      </c>
    </row>
    <row r="86" spans="3:6" x14ac:dyDescent="0.25">
      <c r="C86" s="55" t="s">
        <v>405</v>
      </c>
      <c r="D86" s="64" t="s">
        <v>406</v>
      </c>
      <c r="E86" s="55" t="s">
        <v>407</v>
      </c>
      <c r="F86" s="64" t="s">
        <v>408</v>
      </c>
    </row>
    <row r="87" spans="3:6" x14ac:dyDescent="0.25">
      <c r="C87" s="66" t="s">
        <v>409</v>
      </c>
      <c r="D87" s="67" t="s">
        <v>410</v>
      </c>
      <c r="E87" s="55" t="s">
        <v>411</v>
      </c>
      <c r="F87" s="64" t="s">
        <v>412</v>
      </c>
    </row>
    <row r="88" spans="3:6" x14ac:dyDescent="0.25">
      <c r="C88" s="55" t="s">
        <v>413</v>
      </c>
      <c r="D88" s="64" t="s">
        <v>414</v>
      </c>
      <c r="E88" s="55" t="s">
        <v>415</v>
      </c>
      <c r="F88" s="64" t="s">
        <v>416</v>
      </c>
    </row>
    <row r="89" spans="3:6" x14ac:dyDescent="0.25">
      <c r="C89" s="66" t="s">
        <v>417</v>
      </c>
      <c r="D89" s="67" t="s">
        <v>418</v>
      </c>
    </row>
    <row r="90" spans="3:6" x14ac:dyDescent="0.25">
      <c r="C90" s="66" t="s">
        <v>419</v>
      </c>
      <c r="D90" s="67" t="s">
        <v>420</v>
      </c>
    </row>
    <row r="91" spans="3:6" x14ac:dyDescent="0.25">
      <c r="C91" s="66" t="s">
        <v>421</v>
      </c>
      <c r="D91" s="67" t="s">
        <v>422</v>
      </c>
    </row>
    <row r="92" spans="3:6" x14ac:dyDescent="0.25">
      <c r="C92" s="66" t="s">
        <v>423</v>
      </c>
      <c r="D92" s="67" t="s">
        <v>424</v>
      </c>
    </row>
    <row r="93" spans="3:6" x14ac:dyDescent="0.25">
      <c r="C93" s="66" t="s">
        <v>425</v>
      </c>
      <c r="D93" s="67" t="s">
        <v>426</v>
      </c>
    </row>
    <row r="94" spans="3:6" x14ac:dyDescent="0.25">
      <c r="C94" s="66"/>
      <c r="D94" s="67" t="s">
        <v>427</v>
      </c>
    </row>
    <row r="95" spans="3:6" x14ac:dyDescent="0.25">
      <c r="C95" s="55" t="s">
        <v>428</v>
      </c>
      <c r="D95" s="64" t="s">
        <v>429</v>
      </c>
    </row>
    <row r="96" spans="3:6" x14ac:dyDescent="0.25">
      <c r="C96" s="66" t="s">
        <v>430</v>
      </c>
      <c r="D96" s="67" t="s">
        <v>431</v>
      </c>
    </row>
    <row r="97" spans="3:4" x14ac:dyDescent="0.25">
      <c r="C97" s="66" t="s">
        <v>432</v>
      </c>
      <c r="D97" s="67" t="s">
        <v>433</v>
      </c>
    </row>
    <row r="98" spans="3:4" x14ac:dyDescent="0.25">
      <c r="C98" s="55" t="s">
        <v>315</v>
      </c>
      <c r="D98" s="64" t="s">
        <v>316</v>
      </c>
    </row>
    <row r="99" spans="3:4" x14ac:dyDescent="0.25">
      <c r="C99" s="55" t="s">
        <v>434</v>
      </c>
      <c r="D99" s="64" t="s">
        <v>435</v>
      </c>
    </row>
    <row r="100" spans="3:4" x14ac:dyDescent="0.25">
      <c r="C100" s="66" t="s">
        <v>436</v>
      </c>
      <c r="D100" s="67" t="s">
        <v>437</v>
      </c>
    </row>
    <row r="101" spans="3:4" x14ac:dyDescent="0.25">
      <c r="C101" s="66" t="s">
        <v>438</v>
      </c>
      <c r="D101" s="67" t="s">
        <v>439</v>
      </c>
    </row>
    <row r="102" spans="3:4" x14ac:dyDescent="0.25">
      <c r="C102" s="55" t="s">
        <v>440</v>
      </c>
      <c r="D102" s="64" t="s">
        <v>441</v>
      </c>
    </row>
    <row r="103" spans="3:4" x14ac:dyDescent="0.25">
      <c r="C103" s="66" t="s">
        <v>383</v>
      </c>
      <c r="D103" s="67" t="s">
        <v>384</v>
      </c>
    </row>
    <row r="104" spans="3:4" x14ac:dyDescent="0.25">
      <c r="C104" s="66" t="s">
        <v>381</v>
      </c>
      <c r="D104" s="67" t="s">
        <v>382</v>
      </c>
    </row>
    <row r="105" spans="3:4" x14ac:dyDescent="0.25">
      <c r="C105" s="55" t="s">
        <v>442</v>
      </c>
      <c r="D105" s="64" t="s">
        <v>443</v>
      </c>
    </row>
    <row r="106" spans="3:4" x14ac:dyDescent="0.25">
      <c r="C106" s="66"/>
      <c r="D106" s="67" t="s">
        <v>444</v>
      </c>
    </row>
    <row r="107" spans="3:4" x14ac:dyDescent="0.25">
      <c r="C107" s="55" t="s">
        <v>445</v>
      </c>
      <c r="D107" s="64" t="s">
        <v>446</v>
      </c>
    </row>
    <row r="108" spans="3:4" x14ac:dyDescent="0.25">
      <c r="C108" s="55" t="s">
        <v>447</v>
      </c>
      <c r="D108" s="64" t="s">
        <v>448</v>
      </c>
    </row>
    <row r="109" spans="3:4" x14ac:dyDescent="0.25">
      <c r="C109" s="55" t="s">
        <v>449</v>
      </c>
      <c r="D109" s="64" t="s">
        <v>450</v>
      </c>
    </row>
    <row r="110" spans="3:4" x14ac:dyDescent="0.25">
      <c r="C110" s="55" t="s">
        <v>354</v>
      </c>
      <c r="D110" s="64" t="s">
        <v>355</v>
      </c>
    </row>
    <row r="111" spans="3:4" x14ac:dyDescent="0.25">
      <c r="C111" s="66" t="s">
        <v>451</v>
      </c>
      <c r="D111" s="67" t="s">
        <v>452</v>
      </c>
    </row>
    <row r="112" spans="3:4" x14ac:dyDescent="0.25">
      <c r="C112" s="66" t="s">
        <v>451</v>
      </c>
      <c r="D112" s="67" t="s">
        <v>453</v>
      </c>
    </row>
    <row r="113" spans="3:4" x14ac:dyDescent="0.25">
      <c r="C113" s="68"/>
      <c r="D113" s="69" t="s">
        <v>454</v>
      </c>
    </row>
    <row r="114" spans="3:4" x14ac:dyDescent="0.25">
      <c r="C114" s="66" t="s">
        <v>373</v>
      </c>
      <c r="D114" s="67" t="s">
        <v>374</v>
      </c>
    </row>
    <row r="115" spans="3:4" x14ac:dyDescent="0.25">
      <c r="C115" s="66" t="s">
        <v>455</v>
      </c>
      <c r="D115" s="67" t="s">
        <v>456</v>
      </c>
    </row>
    <row r="116" spans="3:4" x14ac:dyDescent="0.25">
      <c r="C116" s="66" t="s">
        <v>457</v>
      </c>
      <c r="D116" s="67" t="s">
        <v>458</v>
      </c>
    </row>
    <row r="117" spans="3:4" x14ac:dyDescent="0.25">
      <c r="C117" s="66" t="s">
        <v>375</v>
      </c>
      <c r="D117" s="67" t="s">
        <v>376</v>
      </c>
    </row>
    <row r="118" spans="3:4" x14ac:dyDescent="0.25">
      <c r="C118" s="72" t="s">
        <v>455</v>
      </c>
      <c r="D118" s="67" t="s">
        <v>459</v>
      </c>
    </row>
    <row r="119" spans="3:4" x14ac:dyDescent="0.25">
      <c r="C119" s="72" t="s">
        <v>455</v>
      </c>
      <c r="D119" s="67" t="s">
        <v>460</v>
      </c>
    </row>
    <row r="120" spans="3:4" x14ac:dyDescent="0.25">
      <c r="C120" s="72" t="s">
        <v>455</v>
      </c>
      <c r="D120" s="67" t="s">
        <v>461</v>
      </c>
    </row>
    <row r="121" spans="3:4" x14ac:dyDescent="0.25">
      <c r="C121" s="72" t="s">
        <v>455</v>
      </c>
      <c r="D121" s="67" t="s">
        <v>462</v>
      </c>
    </row>
    <row r="122" spans="3:4" x14ac:dyDescent="0.25">
      <c r="C122" s="72" t="s">
        <v>455</v>
      </c>
      <c r="D122" s="67" t="s">
        <v>463</v>
      </c>
    </row>
    <row r="123" spans="3:4" x14ac:dyDescent="0.25">
      <c r="C123" s="66" t="s">
        <v>365</v>
      </c>
      <c r="D123" s="67" t="s">
        <v>366</v>
      </c>
    </row>
    <row r="124" spans="3:4" x14ac:dyDescent="0.25">
      <c r="C124" s="72" t="s">
        <v>455</v>
      </c>
      <c r="D124" s="67" t="s">
        <v>464</v>
      </c>
    </row>
    <row r="125" spans="3:4" x14ac:dyDescent="0.25">
      <c r="C125" s="66" t="s">
        <v>377</v>
      </c>
      <c r="D125" s="67" t="s">
        <v>378</v>
      </c>
    </row>
    <row r="126" spans="3:4" x14ac:dyDescent="0.25">
      <c r="C126" s="66" t="s">
        <v>379</v>
      </c>
      <c r="D126" s="67" t="s">
        <v>380</v>
      </c>
    </row>
    <row r="127" spans="3:4" x14ac:dyDescent="0.25">
      <c r="C127" s="72" t="s">
        <v>455</v>
      </c>
      <c r="D127" s="67" t="s">
        <v>465</v>
      </c>
    </row>
    <row r="128" spans="3:4" x14ac:dyDescent="0.25">
      <c r="C128" s="66" t="s">
        <v>383</v>
      </c>
      <c r="D128" s="67" t="s">
        <v>384</v>
      </c>
    </row>
    <row r="129" spans="3:4" x14ac:dyDescent="0.25">
      <c r="C129" s="66" t="s">
        <v>381</v>
      </c>
      <c r="D129" s="67" t="s">
        <v>382</v>
      </c>
    </row>
    <row r="130" spans="3:4" x14ac:dyDescent="0.25">
      <c r="C130" s="72" t="s">
        <v>455</v>
      </c>
      <c r="D130" s="67" t="s">
        <v>466</v>
      </c>
    </row>
    <row r="131" spans="3:4" x14ac:dyDescent="0.25">
      <c r="C131" s="72" t="s">
        <v>455</v>
      </c>
      <c r="D131" s="67" t="s">
        <v>467</v>
      </c>
    </row>
    <row r="132" spans="3:4" x14ac:dyDescent="0.25">
      <c r="C132" s="66" t="s">
        <v>385</v>
      </c>
      <c r="D132" s="67" t="s">
        <v>386</v>
      </c>
    </row>
    <row r="133" spans="3:4" x14ac:dyDescent="0.25">
      <c r="C133" s="66" t="s">
        <v>468</v>
      </c>
      <c r="D133" s="67" t="s">
        <v>469</v>
      </c>
    </row>
    <row r="134" spans="3:4" x14ac:dyDescent="0.25">
      <c r="C134" s="72" t="s">
        <v>455</v>
      </c>
      <c r="D134" s="67" t="s">
        <v>470</v>
      </c>
    </row>
    <row r="135" spans="3:4" x14ac:dyDescent="0.25">
      <c r="C135" s="66" t="s">
        <v>369</v>
      </c>
      <c r="D135" s="67" t="s">
        <v>370</v>
      </c>
    </row>
    <row r="136" spans="3:4" x14ac:dyDescent="0.25">
      <c r="C136" s="72" t="s">
        <v>455</v>
      </c>
      <c r="D136" s="67" t="s">
        <v>471</v>
      </c>
    </row>
    <row r="137" spans="3:4" x14ac:dyDescent="0.25">
      <c r="C137" s="72" t="s">
        <v>455</v>
      </c>
      <c r="D137" s="67" t="s">
        <v>472</v>
      </c>
    </row>
    <row r="138" spans="3:4" x14ac:dyDescent="0.25">
      <c r="C138" s="72" t="s">
        <v>455</v>
      </c>
      <c r="D138" s="67" t="s">
        <v>473</v>
      </c>
    </row>
    <row r="139" spans="3:4" x14ac:dyDescent="0.25">
      <c r="C139" s="72" t="s">
        <v>455</v>
      </c>
      <c r="D139" s="67" t="s">
        <v>474</v>
      </c>
    </row>
    <row r="140" spans="3:4" x14ac:dyDescent="0.25">
      <c r="C140" s="72" t="s">
        <v>455</v>
      </c>
      <c r="D140" s="67" t="s">
        <v>475</v>
      </c>
    </row>
    <row r="141" spans="3:4" x14ac:dyDescent="0.25">
      <c r="C141" s="66" t="s">
        <v>363</v>
      </c>
      <c r="D141" s="67" t="s">
        <v>310</v>
      </c>
    </row>
    <row r="142" spans="3:4" x14ac:dyDescent="0.25">
      <c r="C142" s="66" t="s">
        <v>389</v>
      </c>
      <c r="D142" s="67" t="s">
        <v>390</v>
      </c>
    </row>
    <row r="143" spans="3:4" x14ac:dyDescent="0.25">
      <c r="C143" s="72" t="s">
        <v>455</v>
      </c>
      <c r="D143" s="67" t="s">
        <v>476</v>
      </c>
    </row>
    <row r="144" spans="3:4" x14ac:dyDescent="0.25">
      <c r="C144" s="66" t="s">
        <v>477</v>
      </c>
      <c r="D144" s="67" t="s">
        <v>478</v>
      </c>
    </row>
    <row r="145" spans="3:6" x14ac:dyDescent="0.25">
      <c r="C145" s="66" t="s">
        <v>387</v>
      </c>
      <c r="D145" s="67" t="s">
        <v>388</v>
      </c>
    </row>
    <row r="146" spans="3:6" x14ac:dyDescent="0.25">
      <c r="C146" s="66" t="s">
        <v>479</v>
      </c>
      <c r="D146" s="67" t="s">
        <v>480</v>
      </c>
    </row>
    <row r="147" spans="3:6" x14ac:dyDescent="0.25">
      <c r="C147" s="66" t="s">
        <v>479</v>
      </c>
      <c r="D147" s="67" t="s">
        <v>481</v>
      </c>
    </row>
    <row r="148" spans="3:6" x14ac:dyDescent="0.25">
      <c r="C148" s="66" t="s">
        <v>479</v>
      </c>
      <c r="D148" s="67" t="s">
        <v>482</v>
      </c>
    </row>
    <row r="149" spans="3:6" x14ac:dyDescent="0.25">
      <c r="D149" s="64"/>
    </row>
    <row r="150" spans="3:6" x14ac:dyDescent="0.25">
      <c r="D150" s="64"/>
    </row>
    <row r="151" spans="3:6" ht="14.4" x14ac:dyDescent="0.3">
      <c r="D151" s="10"/>
    </row>
    <row r="152" spans="3:6" ht="14.4" x14ac:dyDescent="0.3">
      <c r="C152" s="73" t="s">
        <v>483</v>
      </c>
      <c r="D152" s="10">
        <v>143</v>
      </c>
    </row>
    <row r="153" spans="3:6" ht="14.4" x14ac:dyDescent="0.3">
      <c r="C153" s="74" t="s">
        <v>484</v>
      </c>
      <c r="D153" s="10">
        <v>506</v>
      </c>
      <c r="E153" s="74" t="s">
        <v>485</v>
      </c>
    </row>
    <row r="154" spans="3:6" ht="14.4" x14ac:dyDescent="0.3">
      <c r="C154" s="74" t="s">
        <v>486</v>
      </c>
      <c r="D154" s="10">
        <v>890</v>
      </c>
      <c r="E154" s="74" t="s">
        <v>487</v>
      </c>
    </row>
    <row r="155" spans="3:6" ht="14.4" x14ac:dyDescent="0.3">
      <c r="C155" s="66" t="s">
        <v>488</v>
      </c>
      <c r="D155" s="75" t="s">
        <v>489</v>
      </c>
      <c r="F155" s="55">
        <v>1</v>
      </c>
    </row>
    <row r="156" spans="3:6" ht="14.4" x14ac:dyDescent="0.3">
      <c r="C156" s="66" t="s">
        <v>488</v>
      </c>
      <c r="D156" s="75" t="s">
        <v>490</v>
      </c>
      <c r="F156" s="55">
        <v>2</v>
      </c>
    </row>
    <row r="157" spans="3:6" ht="14.4" x14ac:dyDescent="0.3">
      <c r="C157" s="66" t="s">
        <v>488</v>
      </c>
      <c r="D157" s="76" t="s">
        <v>491</v>
      </c>
      <c r="F157" s="55">
        <v>3</v>
      </c>
    </row>
    <row r="158" spans="3:6" ht="14.4" x14ac:dyDescent="0.3">
      <c r="C158" s="66" t="s">
        <v>488</v>
      </c>
      <c r="D158" s="76" t="s">
        <v>492</v>
      </c>
      <c r="F158" s="55">
        <v>4</v>
      </c>
    </row>
    <row r="159" spans="3:6" ht="14.4" x14ac:dyDescent="0.3">
      <c r="C159" s="66" t="s">
        <v>488</v>
      </c>
      <c r="D159" s="76" t="s">
        <v>493</v>
      </c>
      <c r="F159" s="55">
        <v>5</v>
      </c>
    </row>
    <row r="160" spans="3:6" ht="14.4" x14ac:dyDescent="0.3">
      <c r="C160" s="66" t="s">
        <v>488</v>
      </c>
      <c r="D160" s="76" t="s">
        <v>494</v>
      </c>
      <c r="F160" s="55">
        <v>6</v>
      </c>
    </row>
    <row r="161" spans="3:9" ht="14.4" x14ac:dyDescent="0.3">
      <c r="C161" s="66" t="s">
        <v>488</v>
      </c>
      <c r="D161" s="76" t="s">
        <v>495</v>
      </c>
      <c r="F161" s="55">
        <v>7</v>
      </c>
    </row>
    <row r="162" spans="3:9" ht="14.4" x14ac:dyDescent="0.3">
      <c r="C162" s="66" t="s">
        <v>488</v>
      </c>
      <c r="D162" s="76" t="s">
        <v>496</v>
      </c>
      <c r="F162" s="55">
        <v>8</v>
      </c>
    </row>
    <row r="163" spans="3:9" ht="14.4" x14ac:dyDescent="0.3">
      <c r="C163" s="66" t="s">
        <v>488</v>
      </c>
      <c r="D163" s="76" t="s">
        <v>497</v>
      </c>
      <c r="F163" s="55">
        <v>9</v>
      </c>
    </row>
    <row r="164" spans="3:9" ht="14.4" x14ac:dyDescent="0.3">
      <c r="C164" s="66" t="s">
        <v>488</v>
      </c>
      <c r="D164" s="76" t="s">
        <v>498</v>
      </c>
      <c r="F164" s="55">
        <v>10</v>
      </c>
    </row>
    <row r="165" spans="3:9" ht="14.4" x14ac:dyDescent="0.3">
      <c r="C165" s="66" t="s">
        <v>488</v>
      </c>
      <c r="D165" s="76" t="s">
        <v>499</v>
      </c>
      <c r="F165" s="55">
        <v>11</v>
      </c>
    </row>
    <row r="166" spans="3:9" ht="14.4" x14ac:dyDescent="0.3">
      <c r="C166" s="66" t="s">
        <v>488</v>
      </c>
      <c r="D166" s="76" t="s">
        <v>500</v>
      </c>
      <c r="F166" s="55">
        <v>12</v>
      </c>
    </row>
    <row r="167" spans="3:9" ht="14.4" x14ac:dyDescent="0.3">
      <c r="C167" s="66" t="s">
        <v>488</v>
      </c>
      <c r="D167" s="76" t="s">
        <v>501</v>
      </c>
      <c r="F167" s="55">
        <v>13</v>
      </c>
    </row>
    <row r="168" spans="3:9" ht="14.4" x14ac:dyDescent="0.3">
      <c r="C168" s="66" t="s">
        <v>488</v>
      </c>
      <c r="D168" s="76" t="s">
        <v>502</v>
      </c>
      <c r="F168" s="55">
        <v>14</v>
      </c>
    </row>
    <row r="169" spans="3:9" ht="14.4" x14ac:dyDescent="0.3">
      <c r="C169" s="66" t="s">
        <v>488</v>
      </c>
      <c r="D169" s="76" t="s">
        <v>503</v>
      </c>
      <c r="F169" s="55">
        <v>15</v>
      </c>
    </row>
    <row r="170" spans="3:9" ht="14.4" x14ac:dyDescent="0.3">
      <c r="C170" s="66" t="s">
        <v>488</v>
      </c>
      <c r="D170" s="76" t="s">
        <v>504</v>
      </c>
      <c r="F170" s="55">
        <v>16</v>
      </c>
    </row>
    <row r="171" spans="3:9" ht="14.4" x14ac:dyDescent="0.3">
      <c r="C171" s="66" t="s">
        <v>488</v>
      </c>
      <c r="D171" s="76" t="s">
        <v>505</v>
      </c>
      <c r="F171" s="55">
        <v>17</v>
      </c>
    </row>
    <row r="172" spans="3:9" ht="14.4" x14ac:dyDescent="0.3">
      <c r="C172" s="66" t="s">
        <v>488</v>
      </c>
      <c r="D172" s="76" t="s">
        <v>506</v>
      </c>
      <c r="F172" s="55">
        <v>18</v>
      </c>
    </row>
    <row r="173" spans="3:9" ht="14.4" x14ac:dyDescent="0.3">
      <c r="C173" s="68" t="s">
        <v>488</v>
      </c>
      <c r="D173" s="77" t="s">
        <v>507</v>
      </c>
      <c r="E173" s="70"/>
      <c r="F173" s="70">
        <v>19</v>
      </c>
      <c r="G173" s="70"/>
      <c r="H173" s="70"/>
      <c r="I173" s="70"/>
    </row>
    <row r="174" spans="3:9" ht="14.4" x14ac:dyDescent="0.3">
      <c r="C174" s="66" t="s">
        <v>508</v>
      </c>
      <c r="D174" s="75" t="s">
        <v>509</v>
      </c>
      <c r="F174" s="55">
        <v>8</v>
      </c>
      <c r="H174" s="55">
        <v>10</v>
      </c>
      <c r="I174" s="64" t="s">
        <v>510</v>
      </c>
    </row>
    <row r="175" spans="3:9" ht="14.4" x14ac:dyDescent="0.3">
      <c r="C175" s="66" t="s">
        <v>508</v>
      </c>
      <c r="D175" s="75" t="s">
        <v>511</v>
      </c>
      <c r="F175" s="55">
        <v>9</v>
      </c>
      <c r="H175" s="55">
        <v>11</v>
      </c>
    </row>
    <row r="176" spans="3:9" ht="14.4" x14ac:dyDescent="0.3">
      <c r="C176" s="66" t="s">
        <v>508</v>
      </c>
      <c r="D176" s="75" t="s">
        <v>512</v>
      </c>
      <c r="F176" s="55">
        <v>10</v>
      </c>
    </row>
    <row r="177" spans="3:8" ht="14.4" x14ac:dyDescent="0.3">
      <c r="C177" s="66" t="s">
        <v>508</v>
      </c>
      <c r="D177" s="75" t="s">
        <v>513</v>
      </c>
      <c r="F177" s="55">
        <v>20</v>
      </c>
    </row>
    <row r="178" spans="3:8" ht="14.4" x14ac:dyDescent="0.3">
      <c r="C178" s="66" t="s">
        <v>508</v>
      </c>
      <c r="D178" s="75" t="s">
        <v>514</v>
      </c>
      <c r="F178" s="55">
        <v>29</v>
      </c>
    </row>
    <row r="179" spans="3:8" ht="14.4" x14ac:dyDescent="0.3">
      <c r="C179" s="66" t="s">
        <v>508</v>
      </c>
      <c r="D179" s="75" t="s">
        <v>515</v>
      </c>
    </row>
    <row r="180" spans="3:8" ht="14.4" x14ac:dyDescent="0.3">
      <c r="C180" s="66" t="s">
        <v>508</v>
      </c>
      <c r="D180" s="75" t="s">
        <v>516</v>
      </c>
    </row>
    <row r="181" spans="3:8" ht="14.4" x14ac:dyDescent="0.3">
      <c r="C181" s="66" t="s">
        <v>508</v>
      </c>
      <c r="D181" s="75" t="s">
        <v>517</v>
      </c>
    </row>
    <row r="182" spans="3:8" ht="14.4" x14ac:dyDescent="0.3">
      <c r="C182" s="66" t="s">
        <v>508</v>
      </c>
      <c r="D182" s="75" t="s">
        <v>518</v>
      </c>
    </row>
    <row r="183" spans="3:8" ht="14.4" x14ac:dyDescent="0.3">
      <c r="C183" s="66" t="s">
        <v>508</v>
      </c>
      <c r="D183" s="75" t="s">
        <v>519</v>
      </c>
    </row>
    <row r="184" spans="3:8" ht="14.4" x14ac:dyDescent="0.3">
      <c r="C184" s="68" t="s">
        <v>508</v>
      </c>
      <c r="D184" s="78" t="s">
        <v>513</v>
      </c>
      <c r="E184" s="70"/>
      <c r="F184" s="70"/>
      <c r="G184" s="70"/>
      <c r="H184" s="70"/>
    </row>
    <row r="185" spans="3:8" x14ac:dyDescent="0.25">
      <c r="C185" s="66" t="s">
        <v>520</v>
      </c>
      <c r="D185" s="67" t="s">
        <v>184</v>
      </c>
    </row>
    <row r="186" spans="3:8" x14ac:dyDescent="0.25">
      <c r="C186" s="66" t="s">
        <v>520</v>
      </c>
      <c r="D186" s="67" t="s">
        <v>521</v>
      </c>
    </row>
    <row r="187" spans="3:8" x14ac:dyDescent="0.25">
      <c r="C187" s="66"/>
      <c r="D187" s="67" t="s">
        <v>522</v>
      </c>
    </row>
    <row r="188" spans="3:8" x14ac:dyDescent="0.25">
      <c r="C188" s="66" t="s">
        <v>523</v>
      </c>
      <c r="D188" s="67" t="s">
        <v>524</v>
      </c>
    </row>
    <row r="189" spans="3:8" x14ac:dyDescent="0.25">
      <c r="D189" s="64"/>
    </row>
    <row r="190" spans="3:8" ht="14.4" x14ac:dyDescent="0.3">
      <c r="C190" s="74" t="s">
        <v>525</v>
      </c>
      <c r="D190" s="10" t="s">
        <v>526</v>
      </c>
      <c r="E190" s="74" t="s">
        <v>527</v>
      </c>
    </row>
    <row r="191" spans="3:8" ht="14.4" x14ac:dyDescent="0.3">
      <c r="C191" s="74" t="s">
        <v>528</v>
      </c>
      <c r="D191" s="10" t="s">
        <v>529</v>
      </c>
      <c r="E191" s="74" t="s">
        <v>530</v>
      </c>
    </row>
    <row r="192" spans="3:8" ht="14.4" x14ac:dyDescent="0.3">
      <c r="C192" s="74" t="s">
        <v>531</v>
      </c>
      <c r="D192" s="10" t="s">
        <v>532</v>
      </c>
      <c r="E192" s="74" t="s">
        <v>533</v>
      </c>
    </row>
    <row r="193" spans="3:11" ht="14.4" x14ac:dyDescent="0.3">
      <c r="C193" s="74" t="s">
        <v>534</v>
      </c>
      <c r="D193" s="10" t="s">
        <v>535</v>
      </c>
      <c r="E193" s="79" t="s">
        <v>536</v>
      </c>
    </row>
    <row r="194" spans="3:11" ht="14.4" x14ac:dyDescent="0.3">
      <c r="C194" s="74" t="s">
        <v>537</v>
      </c>
      <c r="D194" s="10" t="s">
        <v>538</v>
      </c>
      <c r="E194" s="74" t="s">
        <v>539</v>
      </c>
    </row>
    <row r="195" spans="3:11" ht="14.4" x14ac:dyDescent="0.3">
      <c r="C195" s="74" t="s">
        <v>540</v>
      </c>
      <c r="D195" s="10" t="s">
        <v>541</v>
      </c>
      <c r="E195" s="74" t="s">
        <v>542</v>
      </c>
    </row>
    <row r="196" spans="3:11" x14ac:dyDescent="0.25">
      <c r="C196" s="70"/>
      <c r="D196" s="71"/>
      <c r="E196" s="70"/>
      <c r="F196" s="70"/>
      <c r="G196" s="70"/>
      <c r="H196" s="70"/>
      <c r="I196" s="70"/>
      <c r="J196" s="70"/>
      <c r="K196" s="70"/>
    </row>
    <row r="197" spans="3:11" x14ac:dyDescent="0.25">
      <c r="C197" s="66" t="s">
        <v>543</v>
      </c>
      <c r="D197" s="67" t="s">
        <v>544</v>
      </c>
      <c r="E197" s="66" t="s">
        <v>545</v>
      </c>
      <c r="F197" s="67" t="s">
        <v>546</v>
      </c>
      <c r="G197" s="66" t="s">
        <v>547</v>
      </c>
      <c r="H197" s="67" t="s">
        <v>548</v>
      </c>
      <c r="I197" s="66" t="s">
        <v>549</v>
      </c>
      <c r="J197" s="66" t="s">
        <v>550</v>
      </c>
      <c r="K197" s="66" t="s">
        <v>551</v>
      </c>
    </row>
    <row r="198" spans="3:11" x14ac:dyDescent="0.25">
      <c r="C198" s="66"/>
      <c r="D198" s="67"/>
      <c r="E198" s="66" t="s">
        <v>552</v>
      </c>
      <c r="F198" s="67" t="s">
        <v>553</v>
      </c>
      <c r="G198" s="66" t="s">
        <v>554</v>
      </c>
      <c r="H198" s="67" t="s">
        <v>188</v>
      </c>
      <c r="I198" s="66" t="s">
        <v>555</v>
      </c>
      <c r="J198" s="66"/>
      <c r="K198" s="66"/>
    </row>
    <row r="199" spans="3:11" x14ac:dyDescent="0.25">
      <c r="C199" s="66"/>
      <c r="D199" s="67"/>
      <c r="E199" s="66"/>
      <c r="F199" s="67"/>
      <c r="G199" s="66" t="s">
        <v>556</v>
      </c>
      <c r="H199" s="67" t="s">
        <v>557</v>
      </c>
      <c r="I199" s="66"/>
      <c r="J199" s="66"/>
      <c r="K199" s="66"/>
    </row>
    <row r="200" spans="3:11" x14ac:dyDescent="0.25">
      <c r="C200" s="66"/>
      <c r="D200" s="67"/>
      <c r="E200" s="66"/>
      <c r="F200" s="67"/>
      <c r="G200" s="66" t="s">
        <v>558</v>
      </c>
      <c r="H200" s="67" t="s">
        <v>559</v>
      </c>
      <c r="I200" s="66"/>
      <c r="J200" s="66"/>
      <c r="K200" s="66"/>
    </row>
    <row r="201" spans="3:11" x14ac:dyDescent="0.25">
      <c r="C201" s="70"/>
      <c r="D201" s="71"/>
      <c r="E201" s="70"/>
      <c r="F201" s="71"/>
      <c r="G201" s="70"/>
      <c r="H201" s="71"/>
    </row>
    <row r="202" spans="3:11" x14ac:dyDescent="0.25">
      <c r="C202" s="55" t="s">
        <v>560</v>
      </c>
      <c r="D202" s="64" t="s">
        <v>478</v>
      </c>
      <c r="E202" s="55" t="s">
        <v>561</v>
      </c>
      <c r="F202" s="64" t="s">
        <v>562</v>
      </c>
      <c r="H202" s="64"/>
    </row>
    <row r="203" spans="3:11" x14ac:dyDescent="0.25">
      <c r="D203" s="64"/>
      <c r="E203" s="55" t="s">
        <v>563</v>
      </c>
      <c r="F203" s="64" t="s">
        <v>564</v>
      </c>
      <c r="H203" s="64"/>
    </row>
    <row r="204" spans="3:11" x14ac:dyDescent="0.25">
      <c r="D204" s="64"/>
      <c r="E204" s="55" t="s">
        <v>565</v>
      </c>
      <c r="F204" s="64" t="s">
        <v>566</v>
      </c>
      <c r="H204" s="64"/>
    </row>
    <row r="205" spans="3:11" x14ac:dyDescent="0.25">
      <c r="D205" s="64"/>
      <c r="E205" s="55" t="s">
        <v>567</v>
      </c>
      <c r="F205" s="64" t="s">
        <v>568</v>
      </c>
      <c r="H205" s="64"/>
    </row>
    <row r="206" spans="3:11" x14ac:dyDescent="0.25">
      <c r="C206" s="70"/>
      <c r="D206" s="71"/>
      <c r="E206" s="70"/>
      <c r="F206" s="71"/>
      <c r="G206" s="70"/>
      <c r="H206" s="71"/>
    </row>
    <row r="207" spans="3:11" x14ac:dyDescent="0.25">
      <c r="C207" s="66" t="s">
        <v>569</v>
      </c>
      <c r="D207" s="67" t="s">
        <v>570</v>
      </c>
      <c r="E207" s="66" t="s">
        <v>571</v>
      </c>
      <c r="F207" s="67" t="s">
        <v>572</v>
      </c>
      <c r="G207" s="66" t="s">
        <v>573</v>
      </c>
      <c r="H207" s="67"/>
    </row>
    <row r="208" spans="3:11" x14ac:dyDescent="0.25">
      <c r="C208" s="66"/>
      <c r="D208" s="67"/>
      <c r="E208" s="66" t="s">
        <v>574</v>
      </c>
      <c r="F208" s="67">
        <v>82</v>
      </c>
      <c r="G208" s="66" t="s">
        <v>573</v>
      </c>
      <c r="H208" s="67"/>
    </row>
    <row r="209" spans="3:8" x14ac:dyDescent="0.25">
      <c r="C209" s="66"/>
      <c r="D209" s="67"/>
      <c r="E209" s="66" t="s">
        <v>575</v>
      </c>
      <c r="F209" s="67">
        <v>90</v>
      </c>
      <c r="G209" s="66" t="s">
        <v>573</v>
      </c>
      <c r="H209" s="67"/>
    </row>
    <row r="210" spans="3:8" x14ac:dyDescent="0.25">
      <c r="C210" s="70"/>
      <c r="D210" s="71"/>
      <c r="E210" s="70"/>
      <c r="F210" s="71"/>
      <c r="G210" s="70"/>
      <c r="H210" s="71"/>
    </row>
    <row r="211" spans="3:8" x14ac:dyDescent="0.25">
      <c r="C211" s="55" t="s">
        <v>576</v>
      </c>
      <c r="D211" s="64" t="s">
        <v>577</v>
      </c>
      <c r="E211" s="66" t="s">
        <v>578</v>
      </c>
      <c r="F211" s="67" t="s">
        <v>579</v>
      </c>
      <c r="G211" s="66" t="s">
        <v>580</v>
      </c>
      <c r="H211" s="67" t="s">
        <v>581</v>
      </c>
    </row>
    <row r="212" spans="3:8" x14ac:dyDescent="0.25">
      <c r="C212" s="55" t="s">
        <v>582</v>
      </c>
      <c r="D212" s="64" t="s">
        <v>583</v>
      </c>
      <c r="E212" s="66" t="s">
        <v>584</v>
      </c>
      <c r="F212" s="67" t="s">
        <v>585</v>
      </c>
      <c r="G212" s="66" t="s">
        <v>586</v>
      </c>
      <c r="H212" s="67" t="s">
        <v>175</v>
      </c>
    </row>
    <row r="213" spans="3:8" x14ac:dyDescent="0.25">
      <c r="D213" s="64"/>
      <c r="E213" s="66" t="s">
        <v>587</v>
      </c>
      <c r="F213" s="67" t="s">
        <v>588</v>
      </c>
      <c r="G213" s="66" t="s">
        <v>589</v>
      </c>
      <c r="H213" s="67" t="s">
        <v>590</v>
      </c>
    </row>
    <row r="214" spans="3:8" x14ac:dyDescent="0.25">
      <c r="D214" s="64"/>
      <c r="E214" s="66" t="s">
        <v>591</v>
      </c>
      <c r="F214" s="67" t="s">
        <v>592</v>
      </c>
      <c r="G214" s="66" t="s">
        <v>593</v>
      </c>
      <c r="H214" s="67" t="s">
        <v>594</v>
      </c>
    </row>
    <row r="215" spans="3:8" x14ac:dyDescent="0.25">
      <c r="D215" s="64"/>
      <c r="E215" s="66" t="s">
        <v>595</v>
      </c>
      <c r="F215" s="67" t="s">
        <v>596</v>
      </c>
      <c r="G215" s="66"/>
      <c r="H215" s="67"/>
    </row>
    <row r="216" spans="3:8" x14ac:dyDescent="0.25">
      <c r="D216" s="64"/>
      <c r="F216" s="64" t="s">
        <v>583</v>
      </c>
      <c r="H216" s="64"/>
    </row>
    <row r="217" spans="3:8" x14ac:dyDescent="0.25">
      <c r="D217" s="64"/>
      <c r="F217" s="64" t="s">
        <v>597</v>
      </c>
      <c r="H217" s="64"/>
    </row>
    <row r="218" spans="3:8" x14ac:dyDescent="0.25">
      <c r="D218" s="64"/>
      <c r="F218" s="64" t="s">
        <v>188</v>
      </c>
      <c r="H218" s="64"/>
    </row>
    <row r="219" spans="3:8" x14ac:dyDescent="0.25">
      <c r="D219" s="64"/>
      <c r="F219" s="64" t="s">
        <v>598</v>
      </c>
      <c r="H219" s="64"/>
    </row>
    <row r="220" spans="3:8" x14ac:dyDescent="0.25">
      <c r="D220" s="64"/>
      <c r="F220" s="64" t="s">
        <v>548</v>
      </c>
      <c r="H220" s="64"/>
    </row>
    <row r="221" spans="3:8" x14ac:dyDescent="0.25">
      <c r="D221" s="64"/>
      <c r="F221" s="64" t="s">
        <v>465</v>
      </c>
      <c r="H221" s="64"/>
    </row>
    <row r="222" spans="3:8" x14ac:dyDescent="0.25">
      <c r="D222" s="64"/>
      <c r="F222" s="64" t="s">
        <v>583</v>
      </c>
      <c r="H222" s="64"/>
    </row>
    <row r="223" spans="3:8" x14ac:dyDescent="0.25">
      <c r="D223" s="64"/>
      <c r="F223" s="64" t="s">
        <v>599</v>
      </c>
      <c r="H223" s="64"/>
    </row>
    <row r="224" spans="3:8" x14ac:dyDescent="0.25">
      <c r="D224" s="64"/>
      <c r="F224" s="64" t="s">
        <v>600</v>
      </c>
      <c r="H224" s="64"/>
    </row>
    <row r="225" spans="3:8" x14ac:dyDescent="0.25">
      <c r="D225" s="64"/>
      <c r="F225" s="64" t="s">
        <v>601</v>
      </c>
      <c r="H225" s="64"/>
    </row>
    <row r="226" spans="3:8" x14ac:dyDescent="0.25">
      <c r="D226" s="64"/>
      <c r="F226" s="64" t="s">
        <v>577</v>
      </c>
      <c r="H226" s="64"/>
    </row>
    <row r="227" spans="3:8" x14ac:dyDescent="0.25">
      <c r="D227" s="64"/>
      <c r="F227" s="64" t="s">
        <v>602</v>
      </c>
      <c r="H227" s="64"/>
    </row>
    <row r="228" spans="3:8" x14ac:dyDescent="0.25">
      <c r="C228" s="70"/>
      <c r="D228" s="71"/>
      <c r="E228" s="70"/>
      <c r="F228" s="71"/>
      <c r="G228" s="70"/>
      <c r="H228" s="71"/>
    </row>
    <row r="229" spans="3:8" x14ac:dyDescent="0.25">
      <c r="C229" s="55" t="s">
        <v>603</v>
      </c>
      <c r="D229" s="64" t="s">
        <v>604</v>
      </c>
      <c r="F229" s="64">
        <v>2</v>
      </c>
      <c r="H229" s="64">
        <v>0</v>
      </c>
    </row>
    <row r="230" spans="3:8" x14ac:dyDescent="0.25">
      <c r="F230" s="64" t="s">
        <v>585</v>
      </c>
      <c r="H230" s="64">
        <v>1</v>
      </c>
    </row>
    <row r="231" spans="3:8" x14ac:dyDescent="0.25">
      <c r="F231" s="64" t="s">
        <v>605</v>
      </c>
      <c r="H231" s="64">
        <v>2</v>
      </c>
    </row>
    <row r="232" spans="3:8" x14ac:dyDescent="0.25">
      <c r="F232" s="64" t="s">
        <v>606</v>
      </c>
      <c r="H232" s="64" t="s">
        <v>607</v>
      </c>
    </row>
    <row r="233" spans="3:8" x14ac:dyDescent="0.25">
      <c r="C233" s="70"/>
      <c r="D233" s="71"/>
    </row>
    <row r="234" spans="3:8" x14ac:dyDescent="0.25">
      <c r="C234" s="80" t="s">
        <v>608</v>
      </c>
      <c r="D234" s="81" t="s">
        <v>609</v>
      </c>
    </row>
    <row r="235" spans="3:8" x14ac:dyDescent="0.25">
      <c r="C235" s="80"/>
      <c r="D235" s="81" t="s">
        <v>426</v>
      </c>
    </row>
    <row r="236" spans="3:8" x14ac:dyDescent="0.25">
      <c r="C236" s="80"/>
      <c r="D236" s="81" t="s">
        <v>610</v>
      </c>
    </row>
    <row r="237" spans="3:8" x14ac:dyDescent="0.25">
      <c r="C237" s="80"/>
      <c r="D237" s="81" t="s">
        <v>611</v>
      </c>
    </row>
    <row r="238" spans="3:8" x14ac:dyDescent="0.25">
      <c r="C238" s="80"/>
      <c r="D238" s="81" t="s">
        <v>612</v>
      </c>
    </row>
    <row r="239" spans="3:8" x14ac:dyDescent="0.25">
      <c r="C239" s="80"/>
      <c r="D239" s="81" t="s">
        <v>613</v>
      </c>
    </row>
    <row r="240" spans="3:8" x14ac:dyDescent="0.25">
      <c r="C240" s="80"/>
      <c r="D240" s="81" t="s">
        <v>614</v>
      </c>
    </row>
    <row r="241" spans="3:4" x14ac:dyDescent="0.25">
      <c r="C241" s="80"/>
      <c r="D241" s="81" t="s">
        <v>615</v>
      </c>
    </row>
    <row r="242" spans="3:4" x14ac:dyDescent="0.25">
      <c r="C242" s="80"/>
      <c r="D242" s="81" t="s">
        <v>616</v>
      </c>
    </row>
    <row r="243" spans="3:4" x14ac:dyDescent="0.25">
      <c r="C243" s="80"/>
      <c r="D243" s="81" t="s">
        <v>617</v>
      </c>
    </row>
    <row r="244" spans="3:4" x14ac:dyDescent="0.25">
      <c r="C244" s="80"/>
      <c r="D244" s="81" t="s">
        <v>618</v>
      </c>
    </row>
    <row r="245" spans="3:4" x14ac:dyDescent="0.25">
      <c r="C245" s="80"/>
      <c r="D245" s="81" t="s">
        <v>619</v>
      </c>
    </row>
    <row r="246" spans="3:4" x14ac:dyDescent="0.25">
      <c r="C246" s="80"/>
      <c r="D246" s="81" t="s">
        <v>620</v>
      </c>
    </row>
    <row r="247" spans="3:4" x14ac:dyDescent="0.25">
      <c r="C247" s="80"/>
      <c r="D247" s="81" t="s">
        <v>621</v>
      </c>
    </row>
    <row r="248" spans="3:4" x14ac:dyDescent="0.25">
      <c r="C248" s="80"/>
      <c r="D248" s="81" t="s">
        <v>622</v>
      </c>
    </row>
    <row r="249" spans="3:4" x14ac:dyDescent="0.25">
      <c r="C249" s="80"/>
      <c r="D249" s="81" t="s">
        <v>623</v>
      </c>
    </row>
    <row r="250" spans="3:4" x14ac:dyDescent="0.25">
      <c r="C250" s="70"/>
      <c r="D250" s="71"/>
    </row>
    <row r="251" spans="3:4" x14ac:dyDescent="0.25">
      <c r="C251" s="55" t="s">
        <v>624</v>
      </c>
      <c r="D251" s="64" t="s">
        <v>625</v>
      </c>
    </row>
    <row r="252" spans="3:4" x14ac:dyDescent="0.25">
      <c r="C252" s="55" t="s">
        <v>624</v>
      </c>
      <c r="D252" s="64" t="s">
        <v>626</v>
      </c>
    </row>
    <row r="253" spans="3:4" x14ac:dyDescent="0.25">
      <c r="C253" s="55" t="s">
        <v>624</v>
      </c>
      <c r="D253" s="64" t="s">
        <v>627</v>
      </c>
    </row>
    <row r="254" spans="3:4" x14ac:dyDescent="0.25">
      <c r="C254" s="55" t="s">
        <v>624</v>
      </c>
      <c r="D254" s="64" t="s">
        <v>628</v>
      </c>
    </row>
    <row r="255" spans="3:4" x14ac:dyDescent="0.25">
      <c r="C255" s="55" t="s">
        <v>624</v>
      </c>
      <c r="D255" s="64" t="s">
        <v>629</v>
      </c>
    </row>
    <row r="256" spans="3:4" x14ac:dyDescent="0.25">
      <c r="C256" s="55" t="s">
        <v>624</v>
      </c>
      <c r="D256" s="64" t="s">
        <v>630</v>
      </c>
    </row>
    <row r="257" spans="3:4" x14ac:dyDescent="0.25">
      <c r="C257" s="55" t="s">
        <v>624</v>
      </c>
      <c r="D257" s="64" t="s">
        <v>631</v>
      </c>
    </row>
    <row r="258" spans="3:4" x14ac:dyDescent="0.25">
      <c r="C258" s="55" t="s">
        <v>624</v>
      </c>
      <c r="D258" s="64" t="s">
        <v>632</v>
      </c>
    </row>
    <row r="259" spans="3:4" x14ac:dyDescent="0.25">
      <c r="C259" s="55" t="s">
        <v>624</v>
      </c>
      <c r="D259" s="64" t="s">
        <v>633</v>
      </c>
    </row>
    <row r="260" spans="3:4" x14ac:dyDescent="0.25">
      <c r="C260" s="55" t="s">
        <v>624</v>
      </c>
      <c r="D260" s="64" t="s">
        <v>634</v>
      </c>
    </row>
    <row r="261" spans="3:4" x14ac:dyDescent="0.25">
      <c r="C261" s="55" t="s">
        <v>624</v>
      </c>
      <c r="D261" s="64" t="s">
        <v>635</v>
      </c>
    </row>
    <row r="262" spans="3:4" x14ac:dyDescent="0.25">
      <c r="C262" s="55" t="s">
        <v>624</v>
      </c>
      <c r="D262" s="64" t="s">
        <v>636</v>
      </c>
    </row>
    <row r="263" spans="3:4" x14ac:dyDescent="0.25">
      <c r="C263" s="55" t="s">
        <v>624</v>
      </c>
      <c r="D263" s="64" t="s">
        <v>637</v>
      </c>
    </row>
    <row r="264" spans="3:4" x14ac:dyDescent="0.25">
      <c r="C264" s="55" t="s">
        <v>624</v>
      </c>
      <c r="D264" s="64" t="s">
        <v>638</v>
      </c>
    </row>
    <row r="265" spans="3:4" x14ac:dyDescent="0.25">
      <c r="C265" s="55" t="s">
        <v>624</v>
      </c>
      <c r="D265" s="64" t="s">
        <v>639</v>
      </c>
    </row>
    <row r="266" spans="3:4" x14ac:dyDescent="0.25">
      <c r="C266" s="55" t="s">
        <v>624</v>
      </c>
      <c r="D266" s="64" t="s">
        <v>640</v>
      </c>
    </row>
    <row r="267" spans="3:4" x14ac:dyDescent="0.25">
      <c r="C267" s="70"/>
      <c r="D267" s="71"/>
    </row>
    <row r="268" spans="3:4" x14ac:dyDescent="0.25">
      <c r="C268" s="55" t="s">
        <v>641</v>
      </c>
      <c r="D268" s="64" t="s">
        <v>642</v>
      </c>
    </row>
    <row r="269" spans="3:4" x14ac:dyDescent="0.25">
      <c r="C269" s="55" t="s">
        <v>641</v>
      </c>
      <c r="D269" s="64" t="s">
        <v>643</v>
      </c>
    </row>
    <row r="270" spans="3:4" x14ac:dyDescent="0.25">
      <c r="C270" s="55" t="s">
        <v>641</v>
      </c>
      <c r="D270" s="64" t="s">
        <v>644</v>
      </c>
    </row>
    <row r="271" spans="3:4" x14ac:dyDescent="0.25">
      <c r="C271" s="55" t="s">
        <v>641</v>
      </c>
      <c r="D271" s="64" t="s">
        <v>645</v>
      </c>
    </row>
    <row r="272" spans="3:4" x14ac:dyDescent="0.25">
      <c r="C272" s="55" t="s">
        <v>641</v>
      </c>
      <c r="D272" s="64" t="s">
        <v>646</v>
      </c>
    </row>
    <row r="273" spans="3:4" x14ac:dyDescent="0.25">
      <c r="C273" s="55" t="s">
        <v>641</v>
      </c>
      <c r="D273" s="64" t="s">
        <v>647</v>
      </c>
    </row>
    <row r="274" spans="3:4" x14ac:dyDescent="0.25">
      <c r="C274" s="55" t="s">
        <v>641</v>
      </c>
      <c r="D274" s="64" t="s">
        <v>648</v>
      </c>
    </row>
    <row r="275" spans="3:4" x14ac:dyDescent="0.25">
      <c r="C275" s="70"/>
      <c r="D275" s="71"/>
    </row>
    <row r="276" spans="3:4" x14ac:dyDescent="0.25">
      <c r="C276" s="55" t="s">
        <v>649</v>
      </c>
      <c r="D276" s="64" t="s">
        <v>650</v>
      </c>
    </row>
    <row r="277" spans="3:4" x14ac:dyDescent="0.25">
      <c r="C277" s="70"/>
      <c r="D277" s="71"/>
    </row>
    <row r="278" spans="3:4" x14ac:dyDescent="0.25">
      <c r="C278" s="55" t="s">
        <v>651</v>
      </c>
      <c r="D278" s="64" t="s">
        <v>652</v>
      </c>
    </row>
    <row r="279" spans="3:4" x14ac:dyDescent="0.25">
      <c r="C279" s="70"/>
      <c r="D279" s="71"/>
    </row>
    <row r="280" spans="3:4" x14ac:dyDescent="0.25">
      <c r="C280" s="80" t="s">
        <v>653</v>
      </c>
      <c r="D280" s="81" t="s">
        <v>654</v>
      </c>
    </row>
    <row r="281" spans="3:4" x14ac:dyDescent="0.25">
      <c r="C281" s="80"/>
      <c r="D281" s="81" t="s">
        <v>655</v>
      </c>
    </row>
    <row r="282" spans="3:4" x14ac:dyDescent="0.25">
      <c r="C282" s="80"/>
      <c r="D282" s="81" t="s">
        <v>656</v>
      </c>
    </row>
    <row r="283" spans="3:4" x14ac:dyDescent="0.25">
      <c r="C283" s="80"/>
      <c r="D283" s="81" t="s">
        <v>657</v>
      </c>
    </row>
    <row r="284" spans="3:4" x14ac:dyDescent="0.25">
      <c r="C284" s="80"/>
      <c r="D284" s="81" t="s">
        <v>658</v>
      </c>
    </row>
    <row r="285" spans="3:4" x14ac:dyDescent="0.25">
      <c r="C285" s="80"/>
      <c r="D285" s="81" t="s">
        <v>659</v>
      </c>
    </row>
    <row r="286" spans="3:4" x14ac:dyDescent="0.25">
      <c r="C286" s="80"/>
      <c r="D286" s="81" t="s">
        <v>660</v>
      </c>
    </row>
    <row r="287" spans="3:4" x14ac:dyDescent="0.25">
      <c r="C287" s="70"/>
      <c r="D287" s="71"/>
    </row>
    <row r="288" spans="3:4" x14ac:dyDescent="0.25">
      <c r="C288" s="55" t="s">
        <v>661</v>
      </c>
      <c r="D288" s="64" t="s">
        <v>662</v>
      </c>
    </row>
    <row r="29259" spans="27:28" x14ac:dyDescent="0.25">
      <c r="AA29259" s="82">
        <v>41162</v>
      </c>
      <c r="AB29259" s="82"/>
    </row>
    <row r="29260" spans="27:28" x14ac:dyDescent="0.25">
      <c r="AA29260" s="82"/>
      <c r="AB29260" s="82"/>
    </row>
    <row r="29261" spans="27:28" x14ac:dyDescent="0.25">
      <c r="AA29261" s="82"/>
      <c r="AB29261" s="82"/>
    </row>
    <row r="29262" spans="27:28" x14ac:dyDescent="0.25">
      <c r="AA29262" s="82"/>
      <c r="AB29262" s="82"/>
    </row>
    <row r="29263" spans="27:28" x14ac:dyDescent="0.25">
      <c r="AA29263" s="82"/>
      <c r="AB29263" s="82"/>
    </row>
    <row r="29264" spans="27:28" x14ac:dyDescent="0.25">
      <c r="AA29264" s="82"/>
      <c r="AB29264" s="82"/>
    </row>
    <row r="29265" spans="27:28" x14ac:dyDescent="0.25">
      <c r="AA29265" s="82"/>
      <c r="AB29265" s="82"/>
    </row>
    <row r="29266" spans="27:28" x14ac:dyDescent="0.25">
      <c r="AA29266" s="82"/>
      <c r="AB29266" s="82"/>
    </row>
    <row r="29267" spans="27:28" x14ac:dyDescent="0.25">
      <c r="AA29267" s="82"/>
      <c r="AB29267" s="82"/>
    </row>
    <row r="29268" spans="27:28" x14ac:dyDescent="0.25">
      <c r="AA29268" s="82"/>
      <c r="AB29268" s="82"/>
    </row>
    <row r="29269" spans="27:28" x14ac:dyDescent="0.25">
      <c r="AA29269" s="82"/>
      <c r="AB29269" s="82"/>
    </row>
    <row r="29270" spans="27:28" x14ac:dyDescent="0.25">
      <c r="AA29270" s="82"/>
      <c r="AB29270" s="82"/>
    </row>
    <row r="29271" spans="27:28" x14ac:dyDescent="0.25">
      <c r="AA29271" s="82"/>
      <c r="AB29271" s="82"/>
    </row>
    <row r="29272" spans="27:28" x14ac:dyDescent="0.25">
      <c r="AA29272" s="82"/>
      <c r="AB29272" s="82"/>
    </row>
    <row r="29273" spans="27:28" x14ac:dyDescent="0.25">
      <c r="AA29273" s="82"/>
      <c r="AB29273" s="82"/>
    </row>
    <row r="29274" spans="27:28" x14ac:dyDescent="0.25">
      <c r="AA29274" s="82"/>
      <c r="AB29274" s="82"/>
    </row>
    <row r="29275" spans="27:28" x14ac:dyDescent="0.25">
      <c r="AA29275" s="82"/>
      <c r="AB29275" s="82"/>
    </row>
    <row r="29276" spans="27:28" x14ac:dyDescent="0.25">
      <c r="AA29276" s="82"/>
      <c r="AB29276" s="82"/>
    </row>
    <row r="29277" spans="27:28" x14ac:dyDescent="0.25">
      <c r="AA29277" s="82"/>
      <c r="AB29277" s="82"/>
    </row>
    <row r="29278" spans="27:28" x14ac:dyDescent="0.25">
      <c r="AA29278" s="82"/>
      <c r="AB29278" s="82"/>
    </row>
    <row r="29279" spans="27:28" x14ac:dyDescent="0.25">
      <c r="AA29279" s="82"/>
      <c r="AB29279" s="82"/>
    </row>
    <row r="29280" spans="27:28" x14ac:dyDescent="0.25">
      <c r="AA29280" s="82"/>
      <c r="AB29280" s="82"/>
    </row>
    <row r="29281" spans="27:28" x14ac:dyDescent="0.25">
      <c r="AA29281" s="82"/>
      <c r="AB29281" s="82"/>
    </row>
    <row r="29282" spans="27:28" x14ac:dyDescent="0.25">
      <c r="AA29282" s="82"/>
      <c r="AB29282" s="82"/>
    </row>
    <row r="29283" spans="27:28" x14ac:dyDescent="0.25">
      <c r="AA29283" s="82"/>
      <c r="AB29283" s="82"/>
    </row>
    <row r="29284" spans="27:28" x14ac:dyDescent="0.25">
      <c r="AA29284" s="82"/>
      <c r="AB29284" s="82"/>
    </row>
    <row r="29285" spans="27:28" x14ac:dyDescent="0.25">
      <c r="AA29285" s="82"/>
      <c r="AB29285" s="82"/>
    </row>
    <row r="29286" spans="27:28" x14ac:dyDescent="0.25">
      <c r="AA29286" s="82"/>
      <c r="AB29286" s="82"/>
    </row>
    <row r="29287" spans="27:28" x14ac:dyDescent="0.25">
      <c r="AA29287" s="82"/>
      <c r="AB29287" s="82"/>
    </row>
    <row r="29288" spans="27:28" x14ac:dyDescent="0.25">
      <c r="AA29288" s="82"/>
      <c r="AB29288" s="82"/>
    </row>
    <row r="29289" spans="27:28" x14ac:dyDescent="0.25">
      <c r="AA29289" s="82"/>
      <c r="AB29289" s="82"/>
    </row>
    <row r="29290" spans="27:28" x14ac:dyDescent="0.25">
      <c r="AA29290" s="82"/>
      <c r="AB29290" s="82"/>
    </row>
    <row r="29291" spans="27:28" x14ac:dyDescent="0.25">
      <c r="AA29291" s="82"/>
      <c r="AB29291" s="82"/>
    </row>
    <row r="29292" spans="27:28" x14ac:dyDescent="0.25">
      <c r="AA29292" s="82"/>
      <c r="AB29292" s="82"/>
    </row>
    <row r="29293" spans="27:28" x14ac:dyDescent="0.25">
      <c r="AA29293" s="82"/>
      <c r="AB29293" s="82"/>
    </row>
    <row r="29294" spans="27:28" x14ac:dyDescent="0.25">
      <c r="AA29294" s="82"/>
      <c r="AB29294" s="82"/>
    </row>
    <row r="29295" spans="27:28" x14ac:dyDescent="0.25">
      <c r="AA29295" s="82"/>
      <c r="AB29295" s="82"/>
    </row>
    <row r="29296" spans="27:28" x14ac:dyDescent="0.25">
      <c r="AA29296" s="82"/>
      <c r="AB29296" s="82"/>
    </row>
    <row r="29297" spans="27:28" x14ac:dyDescent="0.25">
      <c r="AA29297" s="82"/>
      <c r="AB29297" s="82"/>
    </row>
    <row r="29298" spans="27:28" x14ac:dyDescent="0.25">
      <c r="AA29298" s="82"/>
      <c r="AB29298" s="82"/>
    </row>
    <row r="29299" spans="27:28" x14ac:dyDescent="0.25">
      <c r="AA29299" s="82"/>
      <c r="AB29299" s="82"/>
    </row>
    <row r="29300" spans="27:28" x14ac:dyDescent="0.25">
      <c r="AA29300" s="82"/>
      <c r="AB29300" s="82"/>
    </row>
    <row r="29301" spans="27:28" x14ac:dyDescent="0.25">
      <c r="AA29301" s="82"/>
      <c r="AB29301" s="82"/>
    </row>
    <row r="29302" spans="27:28" x14ac:dyDescent="0.25">
      <c r="AA29302" s="82"/>
      <c r="AB29302" s="82"/>
    </row>
    <row r="30065" spans="27:28" x14ac:dyDescent="0.25">
      <c r="AA30065" s="82"/>
      <c r="AB30065" s="82"/>
    </row>
    <row r="30066" spans="27:28" x14ac:dyDescent="0.25">
      <c r="AA30066" s="82"/>
      <c r="AB30066" s="82"/>
    </row>
    <row r="30067" spans="27:28" x14ac:dyDescent="0.25">
      <c r="AA30067" s="82"/>
      <c r="AB30067" s="82"/>
    </row>
    <row r="30068" spans="27:28" x14ac:dyDescent="0.25">
      <c r="AA30068" s="82"/>
      <c r="AB30068" s="82"/>
    </row>
    <row r="30069" spans="27:28" x14ac:dyDescent="0.25">
      <c r="AA30069" s="82"/>
      <c r="AB30069" s="82"/>
    </row>
    <row r="30070" spans="27:28" x14ac:dyDescent="0.25">
      <c r="AA30070" s="82"/>
      <c r="AB30070" s="82"/>
    </row>
    <row r="30071" spans="27:28" x14ac:dyDescent="0.25">
      <c r="AA30071" s="82"/>
      <c r="AB30071" s="82"/>
    </row>
    <row r="30072" spans="27:28" x14ac:dyDescent="0.25">
      <c r="AA30072" s="82"/>
      <c r="AB30072" s="82"/>
    </row>
    <row r="30073" spans="27:28" x14ac:dyDescent="0.25">
      <c r="AA30073" s="82"/>
      <c r="AB30073" s="82"/>
    </row>
    <row r="30074" spans="27:28" x14ac:dyDescent="0.25">
      <c r="AA30074" s="82"/>
      <c r="AB30074" s="82"/>
    </row>
    <row r="30075" spans="27:28" x14ac:dyDescent="0.25">
      <c r="AA30075" s="82"/>
      <c r="AB30075" s="82"/>
    </row>
    <row r="30076" spans="27:28" x14ac:dyDescent="0.25">
      <c r="AA30076" s="82"/>
      <c r="AB30076" s="82"/>
    </row>
    <row r="30077" spans="27:28" x14ac:dyDescent="0.25">
      <c r="AA30077" s="82"/>
      <c r="AB30077" s="82"/>
    </row>
    <row r="30078" spans="27:28" x14ac:dyDescent="0.25">
      <c r="AA30078" s="82"/>
      <c r="AB30078" s="82"/>
    </row>
    <row r="30079" spans="27:28" x14ac:dyDescent="0.25">
      <c r="AA30079" s="82"/>
      <c r="AB30079" s="82"/>
    </row>
    <row r="30080" spans="27:28" x14ac:dyDescent="0.25">
      <c r="AA30080" s="82"/>
      <c r="AB30080" s="82"/>
    </row>
    <row r="30081" spans="27:28" x14ac:dyDescent="0.25">
      <c r="AA30081" s="82"/>
      <c r="AB30081" s="82"/>
    </row>
    <row r="30082" spans="27:28" x14ac:dyDescent="0.25">
      <c r="AA30082" s="82"/>
      <c r="AB30082" s="82"/>
    </row>
    <row r="30083" spans="27:28" x14ac:dyDescent="0.25">
      <c r="AA30083" s="82"/>
      <c r="AB30083" s="82"/>
    </row>
    <row r="30084" spans="27:28" x14ac:dyDescent="0.25">
      <c r="AA30084" s="82"/>
      <c r="AB30084" s="82"/>
    </row>
    <row r="30085" spans="27:28" x14ac:dyDescent="0.25">
      <c r="AA30085" s="82"/>
      <c r="AB30085" s="82"/>
    </row>
    <row r="30086" spans="27:28" x14ac:dyDescent="0.25">
      <c r="AA30086" s="82"/>
      <c r="AB30086" s="82"/>
    </row>
    <row r="30087" spans="27:28" x14ac:dyDescent="0.25">
      <c r="AA30087" s="82"/>
      <c r="AB30087" s="82"/>
    </row>
    <row r="30088" spans="27:28" x14ac:dyDescent="0.25">
      <c r="AA30088" s="82"/>
      <c r="AB30088" s="82"/>
    </row>
    <row r="31015" spans="27:28" x14ac:dyDescent="0.25">
      <c r="AA31015" s="82"/>
      <c r="AB31015" s="82"/>
    </row>
    <row r="31016" spans="27:28" x14ac:dyDescent="0.25">
      <c r="AA31016" s="82"/>
      <c r="AB31016" s="82"/>
    </row>
    <row r="31017" spans="27:28" x14ac:dyDescent="0.25">
      <c r="AA31017" s="82"/>
      <c r="AB31017" s="82"/>
    </row>
    <row r="31018" spans="27:28" x14ac:dyDescent="0.25">
      <c r="AA31018" s="82"/>
      <c r="AB31018" s="82"/>
    </row>
    <row r="31019" spans="27:28" x14ac:dyDescent="0.25">
      <c r="AA31019" s="82"/>
      <c r="AB31019" s="82"/>
    </row>
    <row r="31020" spans="27:28" x14ac:dyDescent="0.25">
      <c r="AA31020" s="82"/>
      <c r="AB31020" s="82"/>
    </row>
    <row r="31021" spans="27:28" x14ac:dyDescent="0.25">
      <c r="AA31021" s="82"/>
      <c r="AB31021" s="82"/>
    </row>
    <row r="31022" spans="27:28" x14ac:dyDescent="0.25">
      <c r="AA31022" s="82"/>
      <c r="AB31022" s="82"/>
    </row>
    <row r="31023" spans="27:28" x14ac:dyDescent="0.25">
      <c r="AA31023" s="82"/>
      <c r="AB31023" s="82"/>
    </row>
    <row r="31024" spans="27:28" x14ac:dyDescent="0.25">
      <c r="AA31024" s="82"/>
      <c r="AB31024" s="82"/>
    </row>
    <row r="31025" spans="27:28" x14ac:dyDescent="0.25">
      <c r="AA31025" s="82"/>
      <c r="AB31025" s="82"/>
    </row>
    <row r="31026" spans="27:28" x14ac:dyDescent="0.25">
      <c r="AA31026" s="82"/>
      <c r="AB31026" s="82"/>
    </row>
    <row r="31027" spans="27:28" x14ac:dyDescent="0.25">
      <c r="AA31027" s="82"/>
      <c r="AB31027" s="82"/>
    </row>
    <row r="31028" spans="27:28" x14ac:dyDescent="0.25">
      <c r="AA31028" s="82"/>
      <c r="AB31028" s="82"/>
    </row>
    <row r="31029" spans="27:28" x14ac:dyDescent="0.25">
      <c r="AA31029" s="82"/>
      <c r="AB31029" s="82"/>
    </row>
    <row r="31030" spans="27:28" x14ac:dyDescent="0.25">
      <c r="AA31030" s="82"/>
      <c r="AB31030" s="82"/>
    </row>
    <row r="31031" spans="27:28" x14ac:dyDescent="0.25">
      <c r="AA31031" s="82"/>
      <c r="AB31031" s="82"/>
    </row>
    <row r="31032" spans="27:28" x14ac:dyDescent="0.25">
      <c r="AA31032" s="82"/>
      <c r="AB31032" s="82"/>
    </row>
    <row r="31033" spans="27:28" x14ac:dyDescent="0.25">
      <c r="AA31033" s="82"/>
      <c r="AB31033" s="82"/>
    </row>
    <row r="31034" spans="27:28" x14ac:dyDescent="0.25">
      <c r="AA31034" s="82"/>
      <c r="AB31034" s="82"/>
    </row>
    <row r="31035" spans="27:28" x14ac:dyDescent="0.25">
      <c r="AA31035" s="82"/>
      <c r="AB31035" s="82"/>
    </row>
    <row r="31036" spans="27:28" x14ac:dyDescent="0.25">
      <c r="AA31036" s="82"/>
      <c r="AB31036" s="82"/>
    </row>
    <row r="31037" spans="27:28" x14ac:dyDescent="0.25">
      <c r="AA31037" s="82"/>
      <c r="AB31037" s="82"/>
    </row>
    <row r="31038" spans="27:28" x14ac:dyDescent="0.25">
      <c r="AA31038" s="82"/>
      <c r="AB31038" s="82"/>
    </row>
    <row r="31039" spans="27:28" x14ac:dyDescent="0.25">
      <c r="AA31039" s="82"/>
      <c r="AB31039" s="82"/>
    </row>
    <row r="31040" spans="27:28" x14ac:dyDescent="0.25">
      <c r="AA31040" s="82"/>
      <c r="AB31040" s="82"/>
    </row>
    <row r="31041" spans="27:28" x14ac:dyDescent="0.25">
      <c r="AA31041" s="82"/>
      <c r="AB31041" s="82"/>
    </row>
    <row r="31042" spans="27:28" x14ac:dyDescent="0.25">
      <c r="AA31042" s="82"/>
      <c r="AB31042" s="82"/>
    </row>
    <row r="31043" spans="27:28" x14ac:dyDescent="0.25">
      <c r="AA31043" s="82"/>
      <c r="AB31043" s="82"/>
    </row>
    <row r="31044" spans="27:28" x14ac:dyDescent="0.25">
      <c r="AA31044" s="82"/>
      <c r="AB31044" s="82"/>
    </row>
    <row r="31045" spans="27:28" x14ac:dyDescent="0.25">
      <c r="AA31045" s="82"/>
      <c r="AB31045" s="82"/>
    </row>
    <row r="31046" spans="27:28" x14ac:dyDescent="0.25">
      <c r="AA31046" s="82"/>
      <c r="AB31046" s="82"/>
    </row>
    <row r="31047" spans="27:28" x14ac:dyDescent="0.25">
      <c r="AA31047" s="82"/>
      <c r="AB31047" s="82"/>
    </row>
    <row r="31048" spans="27:28" x14ac:dyDescent="0.25">
      <c r="AA31048" s="82"/>
      <c r="AB31048" s="82"/>
    </row>
    <row r="31049" spans="27:28" x14ac:dyDescent="0.25">
      <c r="AA31049" s="82"/>
      <c r="AB31049" s="82"/>
    </row>
    <row r="31050" spans="27:28" x14ac:dyDescent="0.25">
      <c r="AA31050" s="82"/>
      <c r="AB31050" s="82"/>
    </row>
    <row r="31051" spans="27:28" x14ac:dyDescent="0.25">
      <c r="AA31051" s="82"/>
      <c r="AB31051" s="82"/>
    </row>
    <row r="31052" spans="27:28" x14ac:dyDescent="0.25">
      <c r="AA31052" s="82"/>
      <c r="AB31052" s="82"/>
    </row>
    <row r="31053" spans="27:28" x14ac:dyDescent="0.25">
      <c r="AA31053" s="82"/>
      <c r="AB31053" s="82"/>
    </row>
    <row r="31054" spans="27:28" x14ac:dyDescent="0.25">
      <c r="AA31054" s="82"/>
      <c r="AB31054" s="82"/>
    </row>
    <row r="31055" spans="27:28" x14ac:dyDescent="0.25">
      <c r="AA31055" s="82"/>
      <c r="AB31055" s="82"/>
    </row>
    <row r="31056" spans="27:28" x14ac:dyDescent="0.25">
      <c r="AA31056" s="82"/>
      <c r="AB31056" s="82"/>
    </row>
    <row r="31057" spans="27:28" x14ac:dyDescent="0.25">
      <c r="AA31057" s="82"/>
      <c r="AB31057" s="82"/>
    </row>
    <row r="31058" spans="27:28" x14ac:dyDescent="0.25">
      <c r="AA31058" s="82"/>
      <c r="AB31058" s="82"/>
    </row>
    <row r="31059" spans="27:28" x14ac:dyDescent="0.25">
      <c r="AA31059" s="82"/>
      <c r="AB31059" s="82"/>
    </row>
    <row r="31060" spans="27:28" x14ac:dyDescent="0.25">
      <c r="AA31060" s="82"/>
      <c r="AB31060" s="82"/>
    </row>
    <row r="31061" spans="27:28" x14ac:dyDescent="0.25">
      <c r="AA31061" s="82"/>
      <c r="AB31061" s="82"/>
    </row>
    <row r="31062" spans="27:28" x14ac:dyDescent="0.25">
      <c r="AA31062" s="82"/>
      <c r="AB31062" s="82"/>
    </row>
    <row r="31063" spans="27:28" x14ac:dyDescent="0.25">
      <c r="AA31063" s="82"/>
      <c r="AB31063" s="82"/>
    </row>
    <row r="31064" spans="27:28" x14ac:dyDescent="0.25">
      <c r="AA31064" s="82"/>
      <c r="AB31064" s="82"/>
    </row>
    <row r="31065" spans="27:28" x14ac:dyDescent="0.25">
      <c r="AA31065" s="82"/>
      <c r="AB31065" s="82"/>
    </row>
    <row r="31066" spans="27:28" x14ac:dyDescent="0.25">
      <c r="AA31066" s="82"/>
      <c r="AB31066" s="82"/>
    </row>
    <row r="31067" spans="27:28" x14ac:dyDescent="0.25">
      <c r="AA31067" s="82"/>
      <c r="AB31067" s="82"/>
    </row>
    <row r="31068" spans="27:28" x14ac:dyDescent="0.25">
      <c r="AA31068" s="82"/>
      <c r="AB31068" s="82"/>
    </row>
    <row r="31069" spans="27:28" x14ac:dyDescent="0.25">
      <c r="AA31069" s="82"/>
      <c r="AB31069" s="82"/>
    </row>
    <row r="31070" spans="27:28" x14ac:dyDescent="0.25">
      <c r="AA31070" s="82"/>
      <c r="AB31070" s="82"/>
    </row>
    <row r="31803" spans="27:28" x14ac:dyDescent="0.25">
      <c r="AA31803" s="82"/>
      <c r="AB31803" s="82"/>
    </row>
    <row r="31804" spans="27:28" x14ac:dyDescent="0.25">
      <c r="AA31804" s="82"/>
      <c r="AB31804" s="82"/>
    </row>
    <row r="31805" spans="27:28" x14ac:dyDescent="0.25">
      <c r="AA31805" s="82"/>
      <c r="AB31805" s="82"/>
    </row>
    <row r="31806" spans="27:28" x14ac:dyDescent="0.25">
      <c r="AA31806" s="82"/>
      <c r="AB31806" s="82"/>
    </row>
    <row r="31807" spans="27:28" x14ac:dyDescent="0.25">
      <c r="AA31807" s="82"/>
      <c r="AB31807" s="82"/>
    </row>
    <row r="31808" spans="27:28" x14ac:dyDescent="0.25">
      <c r="AA31808" s="82"/>
      <c r="AB31808" s="82"/>
    </row>
    <row r="31809" spans="27:28" x14ac:dyDescent="0.25">
      <c r="AA31809" s="82"/>
      <c r="AB31809" s="82"/>
    </row>
    <row r="31810" spans="27:28" x14ac:dyDescent="0.25">
      <c r="AA31810" s="82"/>
      <c r="AB31810" s="82"/>
    </row>
    <row r="31811" spans="27:28" x14ac:dyDescent="0.25">
      <c r="AA31811" s="82"/>
      <c r="AB31811" s="82"/>
    </row>
    <row r="31812" spans="27:28" x14ac:dyDescent="0.25">
      <c r="AA31812" s="82"/>
      <c r="AB31812" s="82"/>
    </row>
    <row r="31813" spans="27:28" x14ac:dyDescent="0.25">
      <c r="AA31813" s="82"/>
      <c r="AB31813" s="82"/>
    </row>
    <row r="31814" spans="27:28" x14ac:dyDescent="0.25">
      <c r="AA31814" s="82"/>
      <c r="AB31814" s="82"/>
    </row>
    <row r="31815" spans="27:28" x14ac:dyDescent="0.25">
      <c r="AA31815" s="82"/>
      <c r="AB31815" s="82"/>
    </row>
    <row r="31816" spans="27:28" x14ac:dyDescent="0.25">
      <c r="AA31816" s="82"/>
      <c r="AB31816" s="82"/>
    </row>
    <row r="31817" spans="27:28" x14ac:dyDescent="0.25">
      <c r="AA31817" s="82"/>
      <c r="AB31817" s="82"/>
    </row>
    <row r="31818" spans="27:28" x14ac:dyDescent="0.25">
      <c r="AA31818" s="82"/>
      <c r="AB31818" s="82"/>
    </row>
    <row r="31819" spans="27:28" x14ac:dyDescent="0.25">
      <c r="AA31819" s="82"/>
      <c r="AB31819" s="82"/>
    </row>
    <row r="31820" spans="27:28" x14ac:dyDescent="0.25">
      <c r="AA31820" s="82"/>
      <c r="AB31820" s="82"/>
    </row>
    <row r="31821" spans="27:28" x14ac:dyDescent="0.25">
      <c r="AA31821" s="82"/>
      <c r="AB31821" s="82"/>
    </row>
    <row r="31822" spans="27:28" x14ac:dyDescent="0.25">
      <c r="AA31822" s="82"/>
      <c r="AB31822" s="82"/>
    </row>
    <row r="31823" spans="27:28" x14ac:dyDescent="0.25">
      <c r="AA31823" s="82"/>
      <c r="AB31823" s="82"/>
    </row>
    <row r="31824" spans="27:28" x14ac:dyDescent="0.25">
      <c r="AA31824" s="82"/>
      <c r="AB31824" s="82"/>
    </row>
    <row r="31825" spans="27:28" x14ac:dyDescent="0.25">
      <c r="AA31825" s="82"/>
      <c r="AB31825" s="82"/>
    </row>
    <row r="31826" spans="27:28" x14ac:dyDescent="0.25">
      <c r="AA31826" s="82"/>
      <c r="AB31826" s="82"/>
    </row>
    <row r="31827" spans="27:28" x14ac:dyDescent="0.25">
      <c r="AA31827" s="82"/>
      <c r="AB31827" s="82"/>
    </row>
    <row r="31828" spans="27:28" x14ac:dyDescent="0.25">
      <c r="AA31828" s="82"/>
      <c r="AB31828" s="82"/>
    </row>
    <row r="31829" spans="27:28" x14ac:dyDescent="0.25">
      <c r="AA31829" s="82"/>
      <c r="AB31829" s="82"/>
    </row>
    <row r="31830" spans="27:28" x14ac:dyDescent="0.25">
      <c r="AA31830" s="82"/>
      <c r="AB31830" s="82"/>
    </row>
    <row r="31831" spans="27:28" x14ac:dyDescent="0.25">
      <c r="AA31831" s="82"/>
      <c r="AB31831" s="82"/>
    </row>
    <row r="31832" spans="27:28" x14ac:dyDescent="0.25">
      <c r="AA31832" s="82"/>
      <c r="AB31832" s="82"/>
    </row>
    <row r="31833" spans="27:28" x14ac:dyDescent="0.25">
      <c r="AA31833" s="82"/>
      <c r="AB31833" s="82"/>
    </row>
    <row r="31834" spans="27:28" x14ac:dyDescent="0.25">
      <c r="AA31834" s="82"/>
      <c r="AB31834" s="82"/>
    </row>
    <row r="31835" spans="27:28" x14ac:dyDescent="0.25">
      <c r="AA31835" s="82"/>
      <c r="AB31835" s="82"/>
    </row>
    <row r="31836" spans="27:28" x14ac:dyDescent="0.25">
      <c r="AA31836" s="82"/>
      <c r="AB31836" s="82"/>
    </row>
    <row r="31837" spans="27:28" x14ac:dyDescent="0.25">
      <c r="AA31837" s="82"/>
      <c r="AB31837" s="82"/>
    </row>
    <row r="31838" spans="27:28" x14ac:dyDescent="0.25">
      <c r="AA31838" s="82"/>
      <c r="AB31838" s="82"/>
    </row>
    <row r="31839" spans="27:28" x14ac:dyDescent="0.25">
      <c r="AA31839" s="82"/>
      <c r="AB31839" s="82"/>
    </row>
    <row r="31840" spans="27:28" x14ac:dyDescent="0.25">
      <c r="AA31840" s="82"/>
      <c r="AB31840" s="82"/>
    </row>
    <row r="31841" spans="27:28" x14ac:dyDescent="0.25">
      <c r="AA31841" s="82"/>
      <c r="AB31841" s="82"/>
    </row>
    <row r="31842" spans="27:28" x14ac:dyDescent="0.25">
      <c r="AA31842" s="82"/>
      <c r="AB31842" s="82"/>
    </row>
    <row r="31843" spans="27:28" x14ac:dyDescent="0.25">
      <c r="AA31843" s="82"/>
      <c r="AB31843" s="82"/>
    </row>
    <row r="31844" spans="27:28" x14ac:dyDescent="0.25">
      <c r="AA31844" s="82"/>
      <c r="AB31844" s="82"/>
    </row>
    <row r="31845" spans="27:28" x14ac:dyDescent="0.25">
      <c r="AA31845" s="82"/>
      <c r="AB31845" s="82"/>
    </row>
    <row r="31846" spans="27:28" x14ac:dyDescent="0.25">
      <c r="AA31846" s="82"/>
      <c r="AB31846" s="82"/>
    </row>
    <row r="31847" spans="27:28" x14ac:dyDescent="0.25">
      <c r="AA31847" s="82"/>
      <c r="AB31847" s="82"/>
    </row>
    <row r="31848" spans="27:28" x14ac:dyDescent="0.25">
      <c r="AA31848" s="82"/>
      <c r="AB31848" s="82"/>
    </row>
    <row r="31849" spans="27:28" x14ac:dyDescent="0.25">
      <c r="AA31849" s="82"/>
      <c r="AB31849" s="82"/>
    </row>
    <row r="31850" spans="27:28" x14ac:dyDescent="0.25">
      <c r="AA31850" s="82"/>
      <c r="AB31850" s="82"/>
    </row>
    <row r="31851" spans="27:28" x14ac:dyDescent="0.25">
      <c r="AA31851" s="82"/>
      <c r="AB31851" s="82"/>
    </row>
    <row r="31852" spans="27:28" x14ac:dyDescent="0.25">
      <c r="AA31852" s="82"/>
      <c r="AB31852" s="82"/>
    </row>
    <row r="31853" spans="27:28" x14ac:dyDescent="0.25">
      <c r="AA31853" s="82"/>
      <c r="AB31853" s="82"/>
    </row>
    <row r="31854" spans="27:28" x14ac:dyDescent="0.25">
      <c r="AA31854" s="82"/>
      <c r="AB31854" s="82"/>
    </row>
    <row r="31855" spans="27:28" x14ac:dyDescent="0.25">
      <c r="AA31855" s="82"/>
      <c r="AB31855" s="82"/>
    </row>
    <row r="31856" spans="27:28" x14ac:dyDescent="0.25">
      <c r="AA31856" s="82"/>
      <c r="AB31856" s="82"/>
    </row>
    <row r="32350" spans="27:28" x14ac:dyDescent="0.25">
      <c r="AA32350" s="82"/>
      <c r="AB32350" s="82"/>
    </row>
    <row r="32351" spans="27:28" x14ac:dyDescent="0.25">
      <c r="AA32351" s="82"/>
      <c r="AB32351" s="82"/>
    </row>
    <row r="32352" spans="27:28" x14ac:dyDescent="0.25">
      <c r="AA32352" s="82"/>
      <c r="AB32352" s="82"/>
    </row>
    <row r="32353" spans="27:28" x14ac:dyDescent="0.25">
      <c r="AA32353" s="82"/>
      <c r="AB32353" s="82"/>
    </row>
    <row r="32354" spans="27:28" x14ac:dyDescent="0.25">
      <c r="AA32354" s="82"/>
      <c r="AB32354" s="82"/>
    </row>
    <row r="32355" spans="27:28" x14ac:dyDescent="0.25">
      <c r="AA32355" s="82"/>
      <c r="AB32355" s="82"/>
    </row>
    <row r="32356" spans="27:28" x14ac:dyDescent="0.25">
      <c r="AA32356" s="82"/>
      <c r="AB32356" s="82"/>
    </row>
    <row r="32357" spans="27:28" x14ac:dyDescent="0.25">
      <c r="AA32357" s="82"/>
      <c r="AB32357" s="82"/>
    </row>
    <row r="32358" spans="27:28" x14ac:dyDescent="0.25">
      <c r="AA32358" s="82"/>
      <c r="AB32358" s="82"/>
    </row>
    <row r="32359" spans="27:28" x14ac:dyDescent="0.25">
      <c r="AA32359" s="82"/>
      <c r="AB32359" s="82"/>
    </row>
    <row r="32360" spans="27:28" x14ac:dyDescent="0.25">
      <c r="AA32360" s="82"/>
      <c r="AB32360" s="82"/>
    </row>
    <row r="32361" spans="27:28" x14ac:dyDescent="0.25">
      <c r="AA32361" s="82"/>
      <c r="AB32361" s="82"/>
    </row>
    <row r="32362" spans="27:28" x14ac:dyDescent="0.25">
      <c r="AA32362" s="82"/>
      <c r="AB32362" s="82"/>
    </row>
    <row r="32363" spans="27:28" x14ac:dyDescent="0.25">
      <c r="AA32363" s="82"/>
      <c r="AB32363" s="82"/>
    </row>
    <row r="32364" spans="27:28" x14ac:dyDescent="0.25">
      <c r="AA32364" s="82"/>
      <c r="AB32364" s="82"/>
    </row>
    <row r="32365" spans="27:28" x14ac:dyDescent="0.25">
      <c r="AA32365" s="82"/>
      <c r="AB32365" s="82"/>
    </row>
    <row r="32366" spans="27:28" x14ac:dyDescent="0.25">
      <c r="AA32366" s="82"/>
      <c r="AB32366" s="82"/>
    </row>
    <row r="32367" spans="27:28" x14ac:dyDescent="0.25">
      <c r="AA32367" s="82"/>
      <c r="AB32367" s="82"/>
    </row>
    <row r="32368" spans="27:28" x14ac:dyDescent="0.25">
      <c r="AA32368" s="82"/>
      <c r="AB32368" s="82"/>
    </row>
    <row r="32369" spans="27:28" x14ac:dyDescent="0.25">
      <c r="AA32369" s="82"/>
      <c r="AB32369" s="82"/>
    </row>
    <row r="32370" spans="27:28" x14ac:dyDescent="0.25">
      <c r="AA32370" s="82"/>
      <c r="AB32370" s="82"/>
    </row>
    <row r="32371" spans="27:28" x14ac:dyDescent="0.25">
      <c r="AA32371" s="82"/>
      <c r="AB32371" s="82"/>
    </row>
    <row r="32372" spans="27:28" x14ac:dyDescent="0.25">
      <c r="AA32372" s="82"/>
      <c r="AB32372" s="82"/>
    </row>
    <row r="32373" spans="27:28" x14ac:dyDescent="0.25">
      <c r="AA32373" s="82"/>
      <c r="AB32373" s="82"/>
    </row>
    <row r="32374" spans="27:28" x14ac:dyDescent="0.25">
      <c r="AA32374" s="82"/>
      <c r="AB32374" s="82"/>
    </row>
    <row r="32375" spans="27:28" x14ac:dyDescent="0.25">
      <c r="AA32375" s="82"/>
      <c r="AB32375" s="82"/>
    </row>
    <row r="32376" spans="27:28" x14ac:dyDescent="0.25">
      <c r="AA32376" s="82"/>
      <c r="AB32376" s="82"/>
    </row>
    <row r="32377" spans="27:28" x14ac:dyDescent="0.25">
      <c r="AA32377" s="82"/>
      <c r="AB32377" s="82"/>
    </row>
    <row r="32378" spans="27:28" x14ac:dyDescent="0.25">
      <c r="AA32378" s="82"/>
      <c r="AB32378" s="82"/>
    </row>
    <row r="32379" spans="27:28" x14ac:dyDescent="0.25">
      <c r="AA32379" s="82"/>
      <c r="AB32379" s="82"/>
    </row>
    <row r="32380" spans="27:28" x14ac:dyDescent="0.25">
      <c r="AA32380" s="82"/>
      <c r="AB32380" s="82"/>
    </row>
    <row r="32381" spans="27:28" x14ac:dyDescent="0.25">
      <c r="AA32381" s="82"/>
      <c r="AB32381" s="82"/>
    </row>
    <row r="32382" spans="27:28" x14ac:dyDescent="0.25">
      <c r="AA32382" s="82"/>
      <c r="AB32382" s="82"/>
    </row>
    <row r="32383" spans="27:28" x14ac:dyDescent="0.25">
      <c r="AA32383" s="82"/>
      <c r="AB32383" s="82"/>
    </row>
    <row r="32384" spans="27:28" x14ac:dyDescent="0.25">
      <c r="AA32384" s="82"/>
      <c r="AB32384" s="82"/>
    </row>
    <row r="32385" spans="27:28" x14ac:dyDescent="0.25">
      <c r="AA32385" s="82"/>
      <c r="AB32385" s="82"/>
    </row>
    <row r="32386" spans="27:28" x14ac:dyDescent="0.25">
      <c r="AA32386" s="82"/>
      <c r="AB32386" s="82"/>
    </row>
    <row r="32387" spans="27:28" x14ac:dyDescent="0.25">
      <c r="AA32387" s="82"/>
      <c r="AB32387" s="82"/>
    </row>
    <row r="32388" spans="27:28" x14ac:dyDescent="0.25">
      <c r="AA32388" s="82"/>
      <c r="AB32388" s="82"/>
    </row>
    <row r="32389" spans="27:28" x14ac:dyDescent="0.25">
      <c r="AA32389" s="82"/>
      <c r="AB32389" s="82"/>
    </row>
    <row r="32390" spans="27:28" x14ac:dyDescent="0.25">
      <c r="AA32390" s="82"/>
      <c r="AB32390" s="82"/>
    </row>
    <row r="32391" spans="27:28" x14ac:dyDescent="0.25">
      <c r="AA32391" s="82"/>
      <c r="AB32391" s="82"/>
    </row>
    <row r="32392" spans="27:28" x14ac:dyDescent="0.25">
      <c r="AA32392" s="82"/>
      <c r="AB32392" s="82"/>
    </row>
    <row r="32393" spans="27:28" x14ac:dyDescent="0.25">
      <c r="AA32393" s="82"/>
      <c r="AB32393" s="82"/>
    </row>
    <row r="32394" spans="27:28" x14ac:dyDescent="0.25">
      <c r="AA32394" s="82"/>
      <c r="AB32394" s="82"/>
    </row>
    <row r="32395" spans="27:28" x14ac:dyDescent="0.25">
      <c r="AA32395" s="82"/>
      <c r="AB32395" s="82"/>
    </row>
    <row r="32396" spans="27:28" x14ac:dyDescent="0.25">
      <c r="AA32396" s="82"/>
      <c r="AB32396" s="82"/>
    </row>
    <row r="32397" spans="27:28" x14ac:dyDescent="0.25">
      <c r="AA32397" s="82"/>
      <c r="AB32397" s="82"/>
    </row>
    <row r="32398" spans="27:28" x14ac:dyDescent="0.25">
      <c r="AA32398" s="82"/>
      <c r="AB32398" s="82"/>
    </row>
    <row r="32399" spans="27:28" x14ac:dyDescent="0.25">
      <c r="AA32399" s="82"/>
      <c r="AB32399" s="82"/>
    </row>
    <row r="32400" spans="27:28" x14ac:dyDescent="0.25">
      <c r="AA32400" s="82"/>
      <c r="AB32400" s="82"/>
    </row>
    <row r="32401" spans="27:28" x14ac:dyDescent="0.25">
      <c r="AA32401" s="82"/>
      <c r="AB32401" s="82"/>
    </row>
    <row r="32402" spans="27:28" x14ac:dyDescent="0.25">
      <c r="AA32402" s="82"/>
      <c r="AB32402" s="82"/>
    </row>
    <row r="32403" spans="27:28" x14ac:dyDescent="0.25">
      <c r="AA32403" s="82"/>
      <c r="AB32403" s="82"/>
    </row>
    <row r="32404" spans="27:28" x14ac:dyDescent="0.25">
      <c r="AA32404" s="82"/>
      <c r="AB32404" s="82"/>
    </row>
    <row r="32405" spans="27:28" x14ac:dyDescent="0.25">
      <c r="AA32405" s="82"/>
      <c r="AB32405" s="82"/>
    </row>
    <row r="32406" spans="27:28" x14ac:dyDescent="0.25">
      <c r="AA32406" s="82"/>
      <c r="AB32406" s="82"/>
    </row>
    <row r="32407" spans="27:28" x14ac:dyDescent="0.25">
      <c r="AA32407" s="82"/>
      <c r="AB32407" s="82"/>
    </row>
    <row r="32408" spans="27:28" x14ac:dyDescent="0.25">
      <c r="AA32408" s="82"/>
      <c r="AB32408" s="82"/>
    </row>
    <row r="32409" spans="27:28" x14ac:dyDescent="0.25">
      <c r="AA32409" s="82"/>
      <c r="AB32409" s="82"/>
    </row>
    <row r="32410" spans="27:28" x14ac:dyDescent="0.25">
      <c r="AA32410" s="82"/>
      <c r="AB32410" s="82"/>
    </row>
    <row r="32411" spans="27:28" x14ac:dyDescent="0.25">
      <c r="AA32411" s="82"/>
      <c r="AB32411" s="82"/>
    </row>
    <row r="32412" spans="27:28" x14ac:dyDescent="0.25">
      <c r="AA32412" s="82"/>
      <c r="AB32412" s="82"/>
    </row>
    <row r="32413" spans="27:28" x14ac:dyDescent="0.25">
      <c r="AA32413" s="82"/>
      <c r="AB32413" s="82"/>
    </row>
    <row r="32414" spans="27:28" x14ac:dyDescent="0.25">
      <c r="AA32414" s="82"/>
      <c r="AB32414" s="82"/>
    </row>
    <row r="32415" spans="27:28" x14ac:dyDescent="0.25">
      <c r="AA32415" s="82"/>
      <c r="AB32415" s="82"/>
    </row>
    <row r="32416" spans="27:28" x14ac:dyDescent="0.25">
      <c r="AA32416" s="82"/>
      <c r="AB32416" s="82"/>
    </row>
    <row r="32417" spans="27:28" x14ac:dyDescent="0.25">
      <c r="AA32417" s="82"/>
      <c r="AB32417" s="82"/>
    </row>
    <row r="32418" spans="27:28" x14ac:dyDescent="0.25">
      <c r="AA32418" s="82"/>
      <c r="AB32418" s="82"/>
    </row>
    <row r="32419" spans="27:28" x14ac:dyDescent="0.25">
      <c r="AA32419" s="82"/>
      <c r="AB32419" s="82"/>
    </row>
    <row r="32420" spans="27:28" x14ac:dyDescent="0.25">
      <c r="AA32420" s="82"/>
      <c r="AB32420" s="82"/>
    </row>
    <row r="32421" spans="27:28" x14ac:dyDescent="0.25">
      <c r="AA32421" s="82"/>
      <c r="AB32421" s="82"/>
    </row>
    <row r="32422" spans="27:28" x14ac:dyDescent="0.25">
      <c r="AA32422" s="82"/>
      <c r="AB32422" s="82"/>
    </row>
    <row r="32423" spans="27:28" x14ac:dyDescent="0.25">
      <c r="AA32423" s="82"/>
      <c r="AB32423" s="82"/>
    </row>
    <row r="32424" spans="27:28" x14ac:dyDescent="0.25">
      <c r="AA32424" s="82"/>
      <c r="AB32424" s="82"/>
    </row>
    <row r="32425" spans="27:28" x14ac:dyDescent="0.25">
      <c r="AA32425" s="82"/>
      <c r="AB32425" s="82"/>
    </row>
    <row r="32426" spans="27:28" x14ac:dyDescent="0.25">
      <c r="AA32426" s="82"/>
      <c r="AB32426" s="82"/>
    </row>
    <row r="32427" spans="27:28" x14ac:dyDescent="0.25">
      <c r="AA32427" s="82"/>
      <c r="AB32427" s="82"/>
    </row>
    <row r="32428" spans="27:28" x14ac:dyDescent="0.25">
      <c r="AA32428" s="82"/>
      <c r="AB32428" s="82"/>
    </row>
    <row r="32429" spans="27:28" x14ac:dyDescent="0.25">
      <c r="AA32429" s="82"/>
      <c r="AB32429" s="82"/>
    </row>
    <row r="32430" spans="27:28" x14ac:dyDescent="0.25">
      <c r="AA32430" s="82"/>
      <c r="AB32430" s="82"/>
    </row>
    <row r="32431" spans="27:28" x14ac:dyDescent="0.25">
      <c r="AA32431" s="82"/>
      <c r="AB32431" s="82"/>
    </row>
    <row r="32432" spans="27:28" x14ac:dyDescent="0.25">
      <c r="AA32432" s="82"/>
      <c r="AB32432" s="82"/>
    </row>
    <row r="32433" spans="27:28" x14ac:dyDescent="0.25">
      <c r="AA32433" s="82"/>
      <c r="AB32433" s="82"/>
    </row>
    <row r="32434" spans="27:28" x14ac:dyDescent="0.25">
      <c r="AA32434" s="82"/>
      <c r="AB32434" s="82"/>
    </row>
    <row r="32435" spans="27:28" x14ac:dyDescent="0.25">
      <c r="AA32435" s="82"/>
      <c r="AB32435" s="82"/>
    </row>
    <row r="32436" spans="27:28" x14ac:dyDescent="0.25">
      <c r="AA32436" s="82"/>
      <c r="AB32436" s="82"/>
    </row>
    <row r="32437" spans="27:28" x14ac:dyDescent="0.25">
      <c r="AA32437" s="82"/>
      <c r="AB32437" s="82"/>
    </row>
    <row r="32438" spans="27:28" x14ac:dyDescent="0.25">
      <c r="AA32438" s="82"/>
      <c r="AB32438" s="82"/>
    </row>
    <row r="32439" spans="27:28" x14ac:dyDescent="0.25">
      <c r="AA32439" s="82"/>
      <c r="AB32439" s="82"/>
    </row>
    <row r="32440" spans="27:28" x14ac:dyDescent="0.25">
      <c r="AA32440" s="82"/>
      <c r="AB32440" s="82"/>
    </row>
  </sheetData>
  <mergeCells count="23">
    <mergeCell ref="T4:U4"/>
    <mergeCell ref="C52:D52"/>
    <mergeCell ref="E52:F52"/>
    <mergeCell ref="C4:D4"/>
    <mergeCell ref="E4:F4"/>
    <mergeCell ref="G4:H4"/>
    <mergeCell ref="J4:K4"/>
    <mergeCell ref="L4:M4"/>
    <mergeCell ref="N4:O4"/>
    <mergeCell ref="T2:U2"/>
    <mergeCell ref="C3:D3"/>
    <mergeCell ref="E3:F3"/>
    <mergeCell ref="G3:H3"/>
    <mergeCell ref="J3:K3"/>
    <mergeCell ref="L3:M3"/>
    <mergeCell ref="N3:O3"/>
    <mergeCell ref="T3:U3"/>
    <mergeCell ref="C2:D2"/>
    <mergeCell ref="E2:F2"/>
    <mergeCell ref="G2:H2"/>
    <mergeCell ref="J2:K2"/>
    <mergeCell ref="L2:M2"/>
    <mergeCell ref="N2:O2"/>
  </mergeCells>
  <pageMargins left="0.75" right="0.75" top="1" bottom="1" header="0.5" footer="0.5"/>
  <pageSetup orientation="portrait" r:id="rId1"/>
  <headerFooter alignWithMargins="0"/>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36A64-011F-48F5-8785-27005896E3AF}">
  <dimension ref="A1:V127"/>
  <sheetViews>
    <sheetView workbookViewId="0">
      <selection activeCell="B1" sqref="B1"/>
    </sheetView>
  </sheetViews>
  <sheetFormatPr defaultRowHeight="14.4" x14ac:dyDescent="0.3"/>
  <cols>
    <col min="1" max="2" width="13.6640625" customWidth="1"/>
    <col min="3" max="3" width="6.44140625" customWidth="1"/>
    <col min="4" max="4" width="14.6640625" customWidth="1"/>
    <col min="5" max="5" width="11.5546875" customWidth="1"/>
    <col min="6" max="6" width="74.33203125" customWidth="1"/>
    <col min="13" max="13" width="13" customWidth="1"/>
    <col min="14" max="14" width="12.6640625" customWidth="1"/>
    <col min="15" max="15" width="30.33203125" customWidth="1"/>
  </cols>
  <sheetData>
    <row r="1" spans="1:22" ht="28.8" x14ac:dyDescent="0.3">
      <c r="A1" s="10" t="s">
        <v>663</v>
      </c>
      <c r="B1" s="10" t="s">
        <v>664</v>
      </c>
      <c r="D1" s="83" t="s">
        <v>665</v>
      </c>
      <c r="E1" s="83" t="s">
        <v>666</v>
      </c>
      <c r="F1" s="83" t="s">
        <v>667</v>
      </c>
      <c r="G1" s="83" t="s">
        <v>668</v>
      </c>
      <c r="H1" s="83" t="s">
        <v>669</v>
      </c>
      <c r="I1" s="83" t="s">
        <v>670</v>
      </c>
      <c r="J1" s="83" t="s">
        <v>671</v>
      </c>
      <c r="L1" s="83" t="s">
        <v>672</v>
      </c>
    </row>
    <row r="2" spans="1:22" x14ac:dyDescent="0.3">
      <c r="A2" s="10">
        <v>143</v>
      </c>
      <c r="B2" s="10" t="s">
        <v>673</v>
      </c>
      <c r="C2" s="10"/>
      <c r="D2" s="73">
        <v>143</v>
      </c>
      <c r="E2" s="73" t="s">
        <v>674</v>
      </c>
      <c r="F2" s="73" t="s">
        <v>483</v>
      </c>
      <c r="G2" s="73"/>
      <c r="H2" s="84">
        <v>1.478995284</v>
      </c>
      <c r="I2" s="85">
        <v>39.155999999999999</v>
      </c>
      <c r="J2" s="86">
        <v>-84.287000000000006</v>
      </c>
      <c r="L2" t="s">
        <v>675</v>
      </c>
      <c r="M2" s="10" t="s">
        <v>676</v>
      </c>
      <c r="N2" t="s">
        <v>677</v>
      </c>
      <c r="O2" t="str">
        <f>L2&amp;M2&amp;N2</f>
        <v>if id = "E01" then delete;</v>
      </c>
      <c r="R2" s="87"/>
      <c r="U2" s="88"/>
      <c r="V2" s="88"/>
    </row>
    <row r="3" spans="1:22" x14ac:dyDescent="0.3">
      <c r="A3" s="10">
        <v>506</v>
      </c>
      <c r="B3" s="10" t="s">
        <v>673</v>
      </c>
      <c r="C3" s="10"/>
      <c r="D3" s="73">
        <v>506</v>
      </c>
      <c r="E3" s="74" t="s">
        <v>485</v>
      </c>
      <c r="F3" s="74" t="s">
        <v>484</v>
      </c>
      <c r="G3" s="89">
        <v>72.8</v>
      </c>
      <c r="H3" s="90">
        <v>48</v>
      </c>
      <c r="I3" s="85">
        <v>39.240729000000002</v>
      </c>
      <c r="J3" s="85">
        <v>-83.796137000000002</v>
      </c>
      <c r="L3" t="s">
        <v>675</v>
      </c>
      <c r="M3" s="10" t="s">
        <v>678</v>
      </c>
      <c r="N3" t="s">
        <v>677</v>
      </c>
      <c r="O3" t="str">
        <f t="shared" ref="O3:O67" si="0">L3&amp;M3&amp;N3</f>
        <v>if id = "E01.1" then delete;</v>
      </c>
      <c r="P3" s="87"/>
      <c r="Q3" s="87"/>
      <c r="R3" s="87"/>
      <c r="S3" s="91"/>
      <c r="T3" s="92"/>
      <c r="U3" s="88"/>
      <c r="V3" s="88"/>
    </row>
    <row r="4" spans="1:22" x14ac:dyDescent="0.3">
      <c r="A4" s="10">
        <v>890</v>
      </c>
      <c r="B4" s="10" t="s">
        <v>673</v>
      </c>
      <c r="C4" s="10"/>
      <c r="D4" s="73">
        <v>890</v>
      </c>
      <c r="E4" s="74" t="s">
        <v>487</v>
      </c>
      <c r="F4" s="74" t="s">
        <v>486</v>
      </c>
      <c r="G4" s="89">
        <v>0.6</v>
      </c>
      <c r="H4" s="90">
        <v>4.9000000000000004</v>
      </c>
      <c r="I4" s="85">
        <v>39.204338999999997</v>
      </c>
      <c r="J4" s="85">
        <v>-83.764177000000004</v>
      </c>
      <c r="L4" t="s">
        <v>675</v>
      </c>
      <c r="M4" s="10" t="s">
        <v>679</v>
      </c>
      <c r="N4" t="s">
        <v>677</v>
      </c>
      <c r="O4" t="str">
        <f t="shared" si="0"/>
        <v>if id = "E01.2" then delete;</v>
      </c>
      <c r="P4" s="87"/>
      <c r="Q4" s="87"/>
      <c r="R4" s="87"/>
      <c r="S4" s="91"/>
      <c r="T4" s="92"/>
      <c r="U4" s="88"/>
      <c r="V4" s="88"/>
    </row>
    <row r="5" spans="1:22" x14ac:dyDescent="0.3">
      <c r="A5" s="10" t="s">
        <v>184</v>
      </c>
      <c r="B5" s="10" t="s">
        <v>673</v>
      </c>
      <c r="C5" s="10"/>
      <c r="D5" s="73" t="s">
        <v>184</v>
      </c>
      <c r="E5" s="74"/>
      <c r="F5" s="93" t="s">
        <v>680</v>
      </c>
      <c r="H5" s="94">
        <v>1.1392</v>
      </c>
      <c r="I5" s="93">
        <v>39.123204999999999</v>
      </c>
      <c r="J5" s="93">
        <v>-84.246298999999993</v>
      </c>
      <c r="L5" t="s">
        <v>675</v>
      </c>
      <c r="M5" s="10" t="s">
        <v>681</v>
      </c>
      <c r="N5" t="s">
        <v>677</v>
      </c>
      <c r="O5" t="str">
        <f t="shared" si="0"/>
        <v>if id = "E02" then delete;</v>
      </c>
      <c r="P5" s="87"/>
      <c r="Q5" s="87"/>
      <c r="R5" s="87"/>
      <c r="S5" s="91"/>
      <c r="T5" s="92"/>
      <c r="U5" s="95"/>
      <c r="V5" s="95"/>
    </row>
    <row r="6" spans="1:22" x14ac:dyDescent="0.3">
      <c r="A6" s="10" t="s">
        <v>406</v>
      </c>
      <c r="B6" s="10" t="s">
        <v>673</v>
      </c>
      <c r="C6" s="96"/>
      <c r="D6" s="73" t="s">
        <v>406</v>
      </c>
      <c r="E6" s="74" t="s">
        <v>682</v>
      </c>
      <c r="F6" s="74" t="s">
        <v>683</v>
      </c>
      <c r="G6" s="89">
        <v>5.2</v>
      </c>
      <c r="H6" s="84">
        <v>23</v>
      </c>
      <c r="I6" s="85">
        <v>38.985300000000002</v>
      </c>
      <c r="J6" s="85">
        <v>-84.053100000000001</v>
      </c>
      <c r="L6" t="s">
        <v>675</v>
      </c>
      <c r="M6" s="10" t="s">
        <v>684</v>
      </c>
      <c r="N6" t="s">
        <v>677</v>
      </c>
      <c r="O6" t="str">
        <f t="shared" si="0"/>
        <v>if id = "E02.1" then delete;</v>
      </c>
    </row>
    <row r="7" spans="1:22" x14ac:dyDescent="0.3">
      <c r="A7" s="10" t="s">
        <v>414</v>
      </c>
      <c r="B7" s="10" t="s">
        <v>673</v>
      </c>
      <c r="C7" s="96"/>
      <c r="D7" s="73" t="s">
        <v>414</v>
      </c>
      <c r="E7" s="73" t="s">
        <v>674</v>
      </c>
      <c r="F7" s="97" t="s">
        <v>685</v>
      </c>
      <c r="G7" s="73"/>
      <c r="H7" s="84">
        <v>0.15440000000000001</v>
      </c>
      <c r="I7" s="85">
        <v>39.183908000000002</v>
      </c>
      <c r="J7" s="85">
        <v>-84.013350000000003</v>
      </c>
      <c r="L7" t="s">
        <v>675</v>
      </c>
      <c r="M7" s="10" t="s">
        <v>686</v>
      </c>
      <c r="N7" t="s">
        <v>677</v>
      </c>
      <c r="O7" t="str">
        <f t="shared" si="0"/>
        <v>if id = "E02.2" then delete;</v>
      </c>
    </row>
    <row r="8" spans="1:22" x14ac:dyDescent="0.3">
      <c r="A8" s="10" t="s">
        <v>212</v>
      </c>
      <c r="B8" s="10" t="s">
        <v>673</v>
      </c>
      <c r="C8" s="96"/>
      <c r="D8" s="73" t="s">
        <v>212</v>
      </c>
      <c r="E8" s="98" t="s">
        <v>687</v>
      </c>
      <c r="F8" s="73" t="s">
        <v>688</v>
      </c>
      <c r="G8" s="73">
        <v>19.649999999999999</v>
      </c>
      <c r="H8" s="90">
        <v>343</v>
      </c>
      <c r="I8" s="85">
        <v>39.026361000000001</v>
      </c>
      <c r="J8" s="85">
        <v>-84.147586000000004</v>
      </c>
      <c r="L8" t="s">
        <v>675</v>
      </c>
      <c r="M8" s="10" t="s">
        <v>689</v>
      </c>
      <c r="N8" t="s">
        <v>677</v>
      </c>
      <c r="O8" t="str">
        <f t="shared" si="0"/>
        <v>if id = "E03" then delete;</v>
      </c>
    </row>
    <row r="9" spans="1:22" x14ac:dyDescent="0.3">
      <c r="A9" s="10" t="s">
        <v>226</v>
      </c>
      <c r="B9" s="10" t="s">
        <v>673</v>
      </c>
      <c r="C9" s="96"/>
      <c r="D9" s="73" t="s">
        <v>226</v>
      </c>
      <c r="E9" s="73" t="s">
        <v>674</v>
      </c>
      <c r="F9" s="73" t="s">
        <v>690</v>
      </c>
      <c r="G9" s="73" t="s">
        <v>674</v>
      </c>
      <c r="H9" s="84" t="s">
        <v>674</v>
      </c>
      <c r="I9" s="85">
        <v>39.054096000000001</v>
      </c>
      <c r="J9" s="85">
        <v>-84.142765999999995</v>
      </c>
      <c r="L9" t="s">
        <v>675</v>
      </c>
      <c r="M9" s="10" t="s">
        <v>691</v>
      </c>
      <c r="N9" t="s">
        <v>677</v>
      </c>
      <c r="O9" t="str">
        <f t="shared" si="0"/>
        <v>if id = "E03.1" then delete;</v>
      </c>
    </row>
    <row r="10" spans="1:22" x14ac:dyDescent="0.3">
      <c r="A10" s="10" t="s">
        <v>248</v>
      </c>
      <c r="B10" s="10" t="s">
        <v>673</v>
      </c>
      <c r="C10" s="10"/>
      <c r="D10" s="73" t="s">
        <v>248</v>
      </c>
      <c r="E10" s="73" t="s">
        <v>692</v>
      </c>
      <c r="F10" s="73" t="s">
        <v>693</v>
      </c>
      <c r="G10" s="73">
        <v>44.150002000000001</v>
      </c>
      <c r="H10" s="90">
        <v>195</v>
      </c>
      <c r="I10" s="85">
        <v>39.1158</v>
      </c>
      <c r="J10" s="85">
        <v>-84.025000000000006</v>
      </c>
      <c r="L10" t="s">
        <v>675</v>
      </c>
      <c r="M10" s="10" t="s">
        <v>694</v>
      </c>
      <c r="N10" t="s">
        <v>677</v>
      </c>
      <c r="O10" t="str">
        <f t="shared" si="0"/>
        <v>if id = "E03.2" then delete;</v>
      </c>
    </row>
    <row r="11" spans="1:22" x14ac:dyDescent="0.3">
      <c r="A11" s="10" t="s">
        <v>258</v>
      </c>
      <c r="B11" s="10" t="s">
        <v>673</v>
      </c>
      <c r="C11" s="96"/>
      <c r="D11" s="73" t="s">
        <v>258</v>
      </c>
      <c r="E11" s="74" t="s">
        <v>695</v>
      </c>
      <c r="F11" s="74" t="s">
        <v>696</v>
      </c>
      <c r="G11" s="89">
        <v>0.77</v>
      </c>
      <c r="H11" s="90">
        <v>498</v>
      </c>
      <c r="I11" s="85">
        <v>39.155200000000001</v>
      </c>
      <c r="J11" s="85">
        <v>-84.288700000000006</v>
      </c>
      <c r="L11" t="s">
        <v>675</v>
      </c>
      <c r="M11" s="10" t="s">
        <v>697</v>
      </c>
      <c r="N11" t="s">
        <v>677</v>
      </c>
      <c r="O11" t="str">
        <f t="shared" si="0"/>
        <v>if id = "E04" then delete;</v>
      </c>
    </row>
    <row r="12" spans="1:22" x14ac:dyDescent="0.3">
      <c r="A12" s="10" t="s">
        <v>268</v>
      </c>
      <c r="B12" s="10" t="s">
        <v>673</v>
      </c>
      <c r="C12" s="96"/>
      <c r="D12" s="73" t="s">
        <v>268</v>
      </c>
      <c r="F12" s="93" t="s">
        <v>698</v>
      </c>
      <c r="H12" s="94">
        <v>129.22799999999998</v>
      </c>
      <c r="I12" s="93">
        <v>39.216819999999998</v>
      </c>
      <c r="J12" s="93">
        <v>-83.914850000000001</v>
      </c>
      <c r="L12" t="s">
        <v>675</v>
      </c>
      <c r="M12" s="10" t="s">
        <v>699</v>
      </c>
      <c r="N12" t="s">
        <v>677</v>
      </c>
      <c r="O12" t="str">
        <f t="shared" si="0"/>
        <v>if id = "E04.1" then delete;</v>
      </c>
      <c r="P12" s="88"/>
      <c r="Q12" s="88"/>
    </row>
    <row r="13" spans="1:22" x14ac:dyDescent="0.3">
      <c r="A13" s="10" t="s">
        <v>277</v>
      </c>
      <c r="B13" s="10" t="s">
        <v>673</v>
      </c>
      <c r="C13" s="96"/>
      <c r="D13" s="73" t="s">
        <v>277</v>
      </c>
      <c r="E13" s="74" t="s">
        <v>700</v>
      </c>
      <c r="F13" s="74" t="s">
        <v>701</v>
      </c>
      <c r="G13" s="89">
        <v>4.3</v>
      </c>
      <c r="H13" s="90">
        <v>491</v>
      </c>
      <c r="I13" s="85">
        <v>39.154800000000002</v>
      </c>
      <c r="J13" s="85">
        <v>-84.258899999999997</v>
      </c>
      <c r="L13" t="s">
        <v>675</v>
      </c>
      <c r="M13" s="10" t="s">
        <v>702</v>
      </c>
      <c r="N13" t="s">
        <v>677</v>
      </c>
      <c r="O13" t="str">
        <f t="shared" si="0"/>
        <v>if id = "E04.2" then delete;</v>
      </c>
    </row>
    <row r="14" spans="1:22" x14ac:dyDescent="0.3">
      <c r="A14" s="10" t="s">
        <v>293</v>
      </c>
      <c r="B14" s="10" t="s">
        <v>673</v>
      </c>
      <c r="C14" s="96"/>
      <c r="D14" s="73" t="s">
        <v>293</v>
      </c>
      <c r="E14" s="74" t="s">
        <v>703</v>
      </c>
      <c r="F14" s="74" t="s">
        <v>704</v>
      </c>
      <c r="G14" s="89">
        <v>46.92</v>
      </c>
      <c r="H14" s="90">
        <v>178</v>
      </c>
      <c r="I14" s="85">
        <v>39.137974</v>
      </c>
      <c r="J14" s="85">
        <v>-84.002842999999999</v>
      </c>
      <c r="L14" t="s">
        <v>675</v>
      </c>
      <c r="M14" s="10" t="s">
        <v>705</v>
      </c>
      <c r="N14" t="s">
        <v>677</v>
      </c>
      <c r="O14" t="str">
        <f t="shared" si="0"/>
        <v>if id = "E05" then delete;</v>
      </c>
    </row>
    <row r="15" spans="1:22" x14ac:dyDescent="0.3">
      <c r="A15" s="10" t="s">
        <v>301</v>
      </c>
      <c r="B15" s="10" t="s">
        <v>673</v>
      </c>
      <c r="C15" s="96"/>
      <c r="D15" s="73" t="s">
        <v>301</v>
      </c>
      <c r="E15" s="74" t="s">
        <v>706</v>
      </c>
      <c r="F15" s="74" t="s">
        <v>707</v>
      </c>
      <c r="G15" s="89">
        <v>56.25</v>
      </c>
      <c r="H15" s="90">
        <v>151</v>
      </c>
      <c r="I15" s="85">
        <v>39.1858</v>
      </c>
      <c r="J15" s="85">
        <v>-83.937200000000004</v>
      </c>
      <c r="L15" t="s">
        <v>675</v>
      </c>
      <c r="M15" s="10" t="s">
        <v>708</v>
      </c>
      <c r="N15" t="s">
        <v>677</v>
      </c>
      <c r="O15" t="str">
        <f t="shared" si="0"/>
        <v>if id = "E05.1" then delete;</v>
      </c>
    </row>
    <row r="16" spans="1:22" x14ac:dyDescent="0.3">
      <c r="A16" s="10" t="s">
        <v>308</v>
      </c>
      <c r="B16" s="10" t="s">
        <v>673</v>
      </c>
      <c r="C16" s="96"/>
      <c r="D16" s="73" t="s">
        <v>308</v>
      </c>
      <c r="E16" s="74" t="s">
        <v>709</v>
      </c>
      <c r="F16" s="74" t="s">
        <v>710</v>
      </c>
      <c r="G16" s="89">
        <v>34.909999999999997</v>
      </c>
      <c r="H16" s="90">
        <v>237</v>
      </c>
      <c r="I16" s="85">
        <v>39.052500000000002</v>
      </c>
      <c r="J16" s="85">
        <v>-84.05</v>
      </c>
      <c r="L16" t="s">
        <v>675</v>
      </c>
      <c r="M16" s="10" t="s">
        <v>711</v>
      </c>
      <c r="N16" t="s">
        <v>677</v>
      </c>
      <c r="O16" t="str">
        <f t="shared" si="0"/>
        <v>if id = "E05.2" then delete;</v>
      </c>
    </row>
    <row r="17" spans="1:19" x14ac:dyDescent="0.3">
      <c r="A17" s="10" t="s">
        <v>431</v>
      </c>
      <c r="B17" s="10" t="s">
        <v>673</v>
      </c>
      <c r="C17" s="96"/>
      <c r="D17" s="73" t="s">
        <v>431</v>
      </c>
      <c r="E17" s="87" t="s">
        <v>712</v>
      </c>
      <c r="F17" s="93" t="s">
        <v>713</v>
      </c>
      <c r="G17" s="99">
        <v>35.869999999999997</v>
      </c>
      <c r="H17" s="100">
        <v>235</v>
      </c>
      <c r="I17" s="101">
        <v>39.058900000000001</v>
      </c>
      <c r="J17" s="101">
        <v>-84.051699999999997</v>
      </c>
      <c r="L17" t="s">
        <v>675</v>
      </c>
      <c r="M17" s="10" t="s">
        <v>714</v>
      </c>
      <c r="N17" t="s">
        <v>677</v>
      </c>
      <c r="O17" t="str">
        <f t="shared" si="0"/>
        <v>if id = "E06" then delete;</v>
      </c>
      <c r="P17" s="99"/>
      <c r="Q17" s="100"/>
      <c r="R17" s="101"/>
      <c r="S17" s="101"/>
    </row>
    <row r="18" spans="1:19" x14ac:dyDescent="0.3">
      <c r="A18" s="10" t="s">
        <v>524</v>
      </c>
      <c r="B18" s="10" t="s">
        <v>673</v>
      </c>
      <c r="C18" s="96"/>
      <c r="D18" s="73" t="s">
        <v>524</v>
      </c>
      <c r="E18" s="73" t="s">
        <v>715</v>
      </c>
      <c r="F18" s="102" t="s">
        <v>716</v>
      </c>
      <c r="G18" s="73">
        <v>0.3</v>
      </c>
      <c r="H18" s="90">
        <v>5.5</v>
      </c>
      <c r="I18" s="85">
        <v>39.097321999999998</v>
      </c>
      <c r="J18" s="85">
        <v>-84.026186999999993</v>
      </c>
      <c r="L18" t="s">
        <v>675</v>
      </c>
      <c r="M18" s="10" t="s">
        <v>717</v>
      </c>
      <c r="N18" t="s">
        <v>677</v>
      </c>
      <c r="O18" t="str">
        <f t="shared" si="0"/>
        <v>if id = "E06.1" then delete;</v>
      </c>
    </row>
    <row r="19" spans="1:19" x14ac:dyDescent="0.3">
      <c r="A19" s="10" t="s">
        <v>316</v>
      </c>
      <c r="B19" s="10" t="s">
        <v>673</v>
      </c>
      <c r="C19" s="96"/>
      <c r="D19" s="73" t="s">
        <v>316</v>
      </c>
      <c r="E19" s="74" t="s">
        <v>718</v>
      </c>
      <c r="F19" s="74" t="s">
        <v>719</v>
      </c>
      <c r="G19" s="89">
        <v>0.2</v>
      </c>
      <c r="H19" s="84">
        <v>3.5</v>
      </c>
      <c r="I19" s="85">
        <v>39.054699999999997</v>
      </c>
      <c r="J19" s="85">
        <v>-84.1678</v>
      </c>
      <c r="L19" t="s">
        <v>675</v>
      </c>
      <c r="M19" s="10" t="s">
        <v>720</v>
      </c>
      <c r="N19" t="s">
        <v>677</v>
      </c>
      <c r="O19" t="str">
        <f t="shared" si="0"/>
        <v>if id = "E06.2" then delete;</v>
      </c>
    </row>
    <row r="20" spans="1:19" x14ac:dyDescent="0.3">
      <c r="A20" s="10" t="s">
        <v>611</v>
      </c>
      <c r="B20" s="10" t="s">
        <v>673</v>
      </c>
      <c r="C20" s="96"/>
      <c r="D20" s="73" t="s">
        <v>611</v>
      </c>
      <c r="E20" s="74" t="s">
        <v>721</v>
      </c>
      <c r="F20" s="74" t="s">
        <v>722</v>
      </c>
      <c r="G20" s="89">
        <v>0.5</v>
      </c>
      <c r="H20" s="84">
        <v>10.6</v>
      </c>
      <c r="I20" s="85">
        <v>39.113599999999998</v>
      </c>
      <c r="J20" s="85">
        <v>-84.020300000000006</v>
      </c>
      <c r="L20" t="s">
        <v>675</v>
      </c>
      <c r="M20" s="10" t="s">
        <v>723</v>
      </c>
      <c r="N20" t="s">
        <v>677</v>
      </c>
      <c r="O20" t="str">
        <f t="shared" si="0"/>
        <v>if id = "E07" then delete;</v>
      </c>
    </row>
    <row r="21" spans="1:19" x14ac:dyDescent="0.3">
      <c r="A21" s="10" t="s">
        <v>435</v>
      </c>
      <c r="B21" s="10" t="s">
        <v>673</v>
      </c>
      <c r="C21" s="10"/>
      <c r="D21" s="73" t="s">
        <v>435</v>
      </c>
      <c r="E21" s="73" t="s">
        <v>674</v>
      </c>
      <c r="F21" s="73" t="s">
        <v>724</v>
      </c>
      <c r="G21" s="73"/>
      <c r="H21" s="84">
        <v>3.2810000000000001</v>
      </c>
      <c r="I21" s="85">
        <v>39.107275000000001</v>
      </c>
      <c r="J21" s="85">
        <v>-83.932536999999996</v>
      </c>
      <c r="L21" t="s">
        <v>675</v>
      </c>
      <c r="M21" s="10" t="s">
        <v>725</v>
      </c>
      <c r="N21" t="s">
        <v>677</v>
      </c>
      <c r="O21" t="str">
        <f t="shared" si="0"/>
        <v>if id = "E07.1" then delete;</v>
      </c>
    </row>
    <row r="22" spans="1:19" x14ac:dyDescent="0.3">
      <c r="A22" s="10" t="s">
        <v>324</v>
      </c>
      <c r="B22" s="10" t="s">
        <v>673</v>
      </c>
      <c r="C22" s="10"/>
      <c r="D22" s="73" t="s">
        <v>324</v>
      </c>
      <c r="E22" s="74" t="s">
        <v>726</v>
      </c>
      <c r="F22" s="74" t="s">
        <v>727</v>
      </c>
      <c r="G22" s="89">
        <v>0.18</v>
      </c>
      <c r="H22" s="84">
        <v>6.3</v>
      </c>
      <c r="I22" s="85">
        <v>39.132927799999997</v>
      </c>
      <c r="J22" s="85">
        <v>-84.015222199999997</v>
      </c>
      <c r="L22" t="s">
        <v>675</v>
      </c>
      <c r="M22" s="10" t="s">
        <v>728</v>
      </c>
      <c r="N22" t="s">
        <v>677</v>
      </c>
      <c r="O22" t="str">
        <f t="shared" si="0"/>
        <v>if id = "E07.2" then delete;</v>
      </c>
    </row>
    <row r="23" spans="1:19" x14ac:dyDescent="0.3">
      <c r="A23" s="10" t="s">
        <v>441</v>
      </c>
      <c r="B23" s="10" t="s">
        <v>673</v>
      </c>
      <c r="C23" s="10"/>
      <c r="D23" s="73" t="s">
        <v>441</v>
      </c>
      <c r="E23" s="73" t="s">
        <v>674</v>
      </c>
      <c r="F23" s="73" t="s">
        <v>729</v>
      </c>
      <c r="G23" s="73"/>
      <c r="H23" s="84">
        <v>0.9264</v>
      </c>
      <c r="I23" s="85">
        <v>39.168635999999999</v>
      </c>
      <c r="J23" s="85">
        <v>-84.008300000000006</v>
      </c>
      <c r="L23" t="s">
        <v>675</v>
      </c>
      <c r="M23" s="10" t="s">
        <v>730</v>
      </c>
      <c r="N23" t="s">
        <v>677</v>
      </c>
      <c r="O23" t="str">
        <f t="shared" si="0"/>
        <v>if id = "E08" then delete;</v>
      </c>
    </row>
    <row r="24" spans="1:19" x14ac:dyDescent="0.3">
      <c r="A24" s="10" t="s">
        <v>328</v>
      </c>
      <c r="B24" s="10" t="s">
        <v>673</v>
      </c>
      <c r="C24" s="10"/>
      <c r="D24" s="73" t="s">
        <v>328</v>
      </c>
      <c r="E24" s="74" t="s">
        <v>731</v>
      </c>
      <c r="F24" s="74" t="s">
        <v>732</v>
      </c>
      <c r="G24" s="89">
        <v>0.23</v>
      </c>
      <c r="H24" s="84">
        <v>5.5</v>
      </c>
      <c r="I24" s="85">
        <v>39.140300000000003</v>
      </c>
      <c r="J24" s="85">
        <v>-84.259200000000007</v>
      </c>
      <c r="L24" t="s">
        <v>675</v>
      </c>
      <c r="M24" s="10" t="s">
        <v>733</v>
      </c>
      <c r="N24" t="s">
        <v>677</v>
      </c>
      <c r="O24" t="str">
        <f t="shared" si="0"/>
        <v>if id = "E08.1" then delete;</v>
      </c>
    </row>
    <row r="25" spans="1:19" x14ac:dyDescent="0.3">
      <c r="A25" s="10" t="s">
        <v>331</v>
      </c>
      <c r="B25" s="10" t="s">
        <v>673</v>
      </c>
      <c r="C25" s="10"/>
      <c r="D25" s="73" t="s">
        <v>331</v>
      </c>
      <c r="E25" s="73" t="s">
        <v>674</v>
      </c>
      <c r="F25" s="73" t="s">
        <v>734</v>
      </c>
      <c r="G25" s="73"/>
      <c r="H25" s="84">
        <v>0.57899999999999996</v>
      </c>
      <c r="I25" s="85">
        <v>39.147613999999997</v>
      </c>
      <c r="J25" s="85">
        <v>-84.255656000000002</v>
      </c>
      <c r="L25" t="s">
        <v>675</v>
      </c>
      <c r="M25" s="10" t="s">
        <v>735</v>
      </c>
      <c r="N25" t="s">
        <v>677</v>
      </c>
      <c r="O25" t="str">
        <f t="shared" si="0"/>
        <v>if id = "E08.2" then delete;</v>
      </c>
    </row>
    <row r="26" spans="1:19" x14ac:dyDescent="0.3">
      <c r="A26" s="10" t="s">
        <v>334</v>
      </c>
      <c r="B26" s="10" t="s">
        <v>673</v>
      </c>
      <c r="C26" s="10"/>
      <c r="D26" s="73" t="s">
        <v>334</v>
      </c>
      <c r="E26" s="74" t="s">
        <v>736</v>
      </c>
      <c r="F26" s="74" t="s">
        <v>737</v>
      </c>
      <c r="G26" s="89">
        <v>0.35</v>
      </c>
      <c r="H26" s="84">
        <v>5.6</v>
      </c>
      <c r="I26" s="85">
        <v>39.124001</v>
      </c>
      <c r="J26" s="85">
        <v>-84.007332000000005</v>
      </c>
      <c r="L26" t="s">
        <v>675</v>
      </c>
      <c r="M26" s="10" t="s">
        <v>610</v>
      </c>
      <c r="N26" t="s">
        <v>677</v>
      </c>
      <c r="O26" t="str">
        <f t="shared" si="0"/>
        <v>if id = "ERS" then delete;</v>
      </c>
    </row>
    <row r="27" spans="1:19" x14ac:dyDescent="0.3">
      <c r="A27" s="10" t="s">
        <v>336</v>
      </c>
      <c r="B27" s="10" t="s">
        <v>673</v>
      </c>
      <c r="C27" s="10"/>
      <c r="D27" s="73" t="s">
        <v>336</v>
      </c>
      <c r="E27" s="73" t="s">
        <v>674</v>
      </c>
      <c r="F27" s="73" t="s">
        <v>738</v>
      </c>
      <c r="G27" s="73"/>
      <c r="H27" s="84">
        <v>0.8106000000000001</v>
      </c>
      <c r="I27" s="85">
        <v>39.066153</v>
      </c>
      <c r="J27" s="85">
        <v>-84.073953000000003</v>
      </c>
      <c r="L27" t="s">
        <v>675</v>
      </c>
      <c r="M27" s="10" t="s">
        <v>243</v>
      </c>
      <c r="N27" t="s">
        <v>677</v>
      </c>
      <c r="O27" t="str">
        <f t="shared" si="0"/>
        <v>if id = "ESF" then delete;</v>
      </c>
    </row>
    <row r="28" spans="1:19" x14ac:dyDescent="0.3">
      <c r="A28" s="10" t="s">
        <v>339</v>
      </c>
      <c r="B28" s="10" t="s">
        <v>673</v>
      </c>
      <c r="C28" s="10"/>
      <c r="D28" s="73" t="s">
        <v>339</v>
      </c>
      <c r="E28" s="74" t="s">
        <v>739</v>
      </c>
      <c r="F28" s="74" t="s">
        <v>740</v>
      </c>
      <c r="G28" s="89">
        <v>0.1</v>
      </c>
      <c r="H28" s="84">
        <v>6.8322000000000003</v>
      </c>
      <c r="I28" s="85">
        <v>39.057014000000002</v>
      </c>
      <c r="J28" s="85">
        <v>-84.179483000000005</v>
      </c>
      <c r="L28" t="s">
        <v>675</v>
      </c>
      <c r="M28" s="10" t="s">
        <v>446</v>
      </c>
      <c r="N28" t="s">
        <v>677</v>
      </c>
      <c r="O28" t="str">
        <f t="shared" si="0"/>
        <v>if id = "RO" then delete;</v>
      </c>
    </row>
    <row r="29" spans="1:19" x14ac:dyDescent="0.3">
      <c r="A29" s="10" t="s">
        <v>618</v>
      </c>
      <c r="B29" s="10" t="s">
        <v>673</v>
      </c>
      <c r="C29" s="10"/>
      <c r="D29" s="73" t="s">
        <v>618</v>
      </c>
      <c r="E29" s="73" t="s">
        <v>674</v>
      </c>
      <c r="F29" s="73" t="s">
        <v>741</v>
      </c>
      <c r="G29" s="73"/>
      <c r="H29" s="84">
        <v>4.7864000000000004</v>
      </c>
      <c r="I29" s="85">
        <v>38.993000000000002</v>
      </c>
      <c r="J29" s="86">
        <v>-84.058999999999997</v>
      </c>
      <c r="L29" t="s">
        <v>675</v>
      </c>
      <c r="M29" s="10" t="s">
        <v>362</v>
      </c>
      <c r="N29" t="s">
        <v>677</v>
      </c>
      <c r="O29" t="str">
        <f t="shared" si="0"/>
        <v>if id = "GWT" then delete;</v>
      </c>
    </row>
    <row r="30" spans="1:19" x14ac:dyDescent="0.3">
      <c r="A30" s="10" t="s">
        <v>443</v>
      </c>
      <c r="B30" s="10" t="s">
        <v>673</v>
      </c>
      <c r="C30" s="10"/>
      <c r="D30" s="73" t="s">
        <v>443</v>
      </c>
      <c r="E30" s="74" t="s">
        <v>742</v>
      </c>
      <c r="F30" s="74" t="s">
        <v>743</v>
      </c>
      <c r="G30" s="89">
        <v>0.89</v>
      </c>
      <c r="H30" s="84">
        <v>2</v>
      </c>
      <c r="I30" s="85">
        <v>39.185355600000001</v>
      </c>
      <c r="J30" s="85">
        <v>-84.095013899999998</v>
      </c>
      <c r="L30" t="s">
        <v>675</v>
      </c>
      <c r="M30" s="10" t="s">
        <v>522</v>
      </c>
      <c r="N30" t="s">
        <v>677</v>
      </c>
      <c r="O30" t="str">
        <f t="shared" si="0"/>
        <v>if id = "CGC" then delete;</v>
      </c>
    </row>
    <row r="31" spans="1:19" x14ac:dyDescent="0.3">
      <c r="A31" s="10" t="s">
        <v>343</v>
      </c>
      <c r="B31" s="10" t="s">
        <v>673</v>
      </c>
      <c r="C31" s="10"/>
      <c r="D31" s="73" t="s">
        <v>343</v>
      </c>
      <c r="E31" s="73" t="s">
        <v>674</v>
      </c>
      <c r="F31" s="73" t="s">
        <v>744</v>
      </c>
      <c r="G31" s="73"/>
      <c r="H31" s="84">
        <v>2.3159999999999998</v>
      </c>
      <c r="I31" s="85">
        <v>39.127749999999999</v>
      </c>
      <c r="J31" s="85">
        <v>-84.136442000000002</v>
      </c>
      <c r="L31" t="s">
        <v>675</v>
      </c>
      <c r="M31" s="10" t="s">
        <v>478</v>
      </c>
      <c r="N31" t="s">
        <v>677</v>
      </c>
      <c r="O31" t="str">
        <f t="shared" si="0"/>
        <v>if id = "STF" then delete;</v>
      </c>
    </row>
    <row r="32" spans="1:19" x14ac:dyDescent="0.3">
      <c r="A32" s="10" t="s">
        <v>526</v>
      </c>
      <c r="B32" s="10" t="s">
        <v>673</v>
      </c>
      <c r="C32" s="10"/>
      <c r="D32" s="73" t="s">
        <v>526</v>
      </c>
      <c r="E32" s="74" t="s">
        <v>527</v>
      </c>
      <c r="F32" s="74" t="s">
        <v>525</v>
      </c>
      <c r="G32" s="89">
        <v>0.46</v>
      </c>
      <c r="H32" s="90">
        <v>4</v>
      </c>
      <c r="I32" s="85">
        <v>39.313299999999998</v>
      </c>
      <c r="J32" s="85">
        <v>-83.761399999999995</v>
      </c>
      <c r="L32" t="s">
        <v>675</v>
      </c>
      <c r="M32" s="10" t="s">
        <v>448</v>
      </c>
      <c r="N32" t="s">
        <v>677</v>
      </c>
      <c r="O32" t="str">
        <f t="shared" si="0"/>
        <v>if id = "SRE" then delete;</v>
      </c>
    </row>
    <row r="33" spans="1:15" x14ac:dyDescent="0.3">
      <c r="A33" s="10" t="s">
        <v>745</v>
      </c>
      <c r="B33" s="10" t="s">
        <v>673</v>
      </c>
      <c r="C33" s="10"/>
      <c r="D33" s="73" t="s">
        <v>745</v>
      </c>
      <c r="E33" s="73" t="s">
        <v>746</v>
      </c>
      <c r="F33" s="102" t="s">
        <v>747</v>
      </c>
      <c r="G33" s="99">
        <v>0.42</v>
      </c>
      <c r="H33" s="100">
        <v>7.8</v>
      </c>
      <c r="I33" s="85">
        <v>39.112499999999997</v>
      </c>
      <c r="J33" s="85">
        <v>-84.042199999999994</v>
      </c>
      <c r="L33" t="s">
        <v>675</v>
      </c>
      <c r="M33" s="10" t="s">
        <v>450</v>
      </c>
      <c r="N33" t="s">
        <v>677</v>
      </c>
      <c r="O33" t="str">
        <f t="shared" si="0"/>
        <v>if id = "SRW" then delete;</v>
      </c>
    </row>
    <row r="34" spans="1:15" x14ac:dyDescent="0.3">
      <c r="A34" s="10" t="s">
        <v>532</v>
      </c>
      <c r="B34" s="10" t="s">
        <v>673</v>
      </c>
      <c r="C34" s="10"/>
      <c r="D34" s="73" t="s">
        <v>532</v>
      </c>
      <c r="E34" s="74" t="s">
        <v>533</v>
      </c>
      <c r="F34" s="74" t="s">
        <v>531</v>
      </c>
      <c r="G34" s="89">
        <v>70.12</v>
      </c>
      <c r="H34" s="90">
        <v>88</v>
      </c>
      <c r="I34" s="85">
        <v>39.225000000000001</v>
      </c>
      <c r="J34" s="85">
        <v>-83.825800000000001</v>
      </c>
      <c r="L34" t="s">
        <v>675</v>
      </c>
      <c r="M34" s="96" t="s">
        <v>497</v>
      </c>
      <c r="N34" t="s">
        <v>677</v>
      </c>
      <c r="O34" t="str">
        <f t="shared" si="0"/>
        <v>if id = "2EFR20001" then delete;</v>
      </c>
    </row>
    <row r="35" spans="1:15" x14ac:dyDescent="0.3">
      <c r="A35" s="10" t="s">
        <v>529</v>
      </c>
      <c r="B35" s="10" t="s">
        <v>673</v>
      </c>
      <c r="C35" s="10"/>
      <c r="D35" s="73" t="s">
        <v>529</v>
      </c>
      <c r="E35" s="74" t="s">
        <v>530</v>
      </c>
      <c r="F35" s="74" t="s">
        <v>528</v>
      </c>
      <c r="G35" s="89">
        <v>75.33</v>
      </c>
      <c r="H35" s="90">
        <v>26.2</v>
      </c>
      <c r="I35" s="85">
        <v>39.273299999999999</v>
      </c>
      <c r="J35" s="85">
        <v>-83.781400000000005</v>
      </c>
      <c r="L35" t="s">
        <v>675</v>
      </c>
      <c r="M35" s="10" t="s">
        <v>489</v>
      </c>
      <c r="N35" t="s">
        <v>677</v>
      </c>
      <c r="O35" t="str">
        <f t="shared" si="0"/>
        <v>if id = "2BHR20001" then delete;</v>
      </c>
    </row>
    <row r="36" spans="1:15" x14ac:dyDescent="0.3">
      <c r="A36" s="10" t="s">
        <v>538</v>
      </c>
      <c r="B36" s="10" t="s">
        <v>673</v>
      </c>
      <c r="C36" s="10"/>
      <c r="D36" s="73" t="s">
        <v>538</v>
      </c>
      <c r="E36" s="74" t="s">
        <v>539</v>
      </c>
      <c r="F36" s="74" t="s">
        <v>537</v>
      </c>
      <c r="G36" s="89">
        <v>0.12</v>
      </c>
      <c r="H36" s="90">
        <v>28.3</v>
      </c>
      <c r="I36" s="85">
        <v>39.230600000000003</v>
      </c>
      <c r="J36" s="85">
        <v>-83.914500000000004</v>
      </c>
      <c r="L36" t="s">
        <v>675</v>
      </c>
      <c r="M36" s="10" t="s">
        <v>490</v>
      </c>
      <c r="N36" t="s">
        <v>677</v>
      </c>
      <c r="O36" t="str">
        <f t="shared" si="0"/>
        <v>if id = "2BRR20001" then delete;</v>
      </c>
    </row>
    <row r="37" spans="1:15" x14ac:dyDescent="0.3">
      <c r="A37" s="10" t="s">
        <v>535</v>
      </c>
      <c r="B37" s="10" t="s">
        <v>673</v>
      </c>
      <c r="C37" s="10"/>
      <c r="D37" s="73" t="s">
        <v>535</v>
      </c>
      <c r="E37" s="79" t="s">
        <v>536</v>
      </c>
      <c r="F37" s="74" t="s">
        <v>534</v>
      </c>
      <c r="G37" s="89">
        <v>0.05</v>
      </c>
      <c r="H37" s="90">
        <v>32.5</v>
      </c>
      <c r="I37" s="85">
        <v>39.207000000000001</v>
      </c>
      <c r="J37" s="85">
        <v>-83.81</v>
      </c>
      <c r="L37" t="s">
        <v>675</v>
      </c>
      <c r="M37" s="96" t="s">
        <v>491</v>
      </c>
      <c r="N37" t="s">
        <v>677</v>
      </c>
      <c r="O37" t="str">
        <f t="shared" si="0"/>
        <v>if id = "2BVR20001" then delete;</v>
      </c>
    </row>
    <row r="38" spans="1:15" x14ac:dyDescent="0.3">
      <c r="A38" s="10" t="s">
        <v>541</v>
      </c>
      <c r="B38" s="10" t="s">
        <v>673</v>
      </c>
      <c r="C38" s="10"/>
      <c r="D38" s="73" t="s">
        <v>541</v>
      </c>
      <c r="E38" s="74" t="s">
        <v>542</v>
      </c>
      <c r="F38" s="74" t="s">
        <v>540</v>
      </c>
      <c r="G38" s="89">
        <v>0.4</v>
      </c>
      <c r="H38" s="84">
        <v>6.4</v>
      </c>
      <c r="I38" s="85">
        <v>39.1372</v>
      </c>
      <c r="J38" s="85">
        <v>-84.245800000000003</v>
      </c>
      <c r="L38" t="s">
        <v>675</v>
      </c>
      <c r="M38" s="96" t="s">
        <v>492</v>
      </c>
      <c r="N38" t="s">
        <v>677</v>
      </c>
      <c r="O38" t="str">
        <f t="shared" si="0"/>
        <v>if id = "2CBR20001" then delete;</v>
      </c>
    </row>
    <row r="39" spans="1:15" x14ac:dyDescent="0.3">
      <c r="A39" s="10" t="s">
        <v>748</v>
      </c>
      <c r="B39" s="10" t="s">
        <v>673</v>
      </c>
      <c r="C39" s="10"/>
      <c r="D39" s="73" t="s">
        <v>748</v>
      </c>
      <c r="E39" s="87" t="s">
        <v>749</v>
      </c>
      <c r="F39" s="87" t="s">
        <v>750</v>
      </c>
      <c r="G39" s="99">
        <v>0.17</v>
      </c>
      <c r="H39" s="100">
        <v>3.6</v>
      </c>
      <c r="I39" s="101">
        <v>39.134700000000002</v>
      </c>
      <c r="J39" s="101">
        <v>-84.232500000000002</v>
      </c>
      <c r="L39" t="s">
        <v>675</v>
      </c>
      <c r="M39" s="96" t="s">
        <v>493</v>
      </c>
      <c r="N39" t="s">
        <v>677</v>
      </c>
      <c r="O39" t="str">
        <f t="shared" si="0"/>
        <v>if id = "2CCK20001" then delete;</v>
      </c>
    </row>
    <row r="40" spans="1:15" x14ac:dyDescent="0.3">
      <c r="A40" s="10" t="s">
        <v>347</v>
      </c>
      <c r="B40" s="10" t="s">
        <v>673</v>
      </c>
      <c r="C40" s="10"/>
      <c r="D40" s="73" t="s">
        <v>347</v>
      </c>
      <c r="E40" s="73" t="s">
        <v>674</v>
      </c>
      <c r="F40" s="73" t="s">
        <v>751</v>
      </c>
      <c r="G40" s="73"/>
      <c r="H40" s="84">
        <v>0.88779999999999992</v>
      </c>
      <c r="I40" s="85">
        <v>39.007199999999997</v>
      </c>
      <c r="J40" s="85">
        <v>-84.136827999999994</v>
      </c>
      <c r="L40" t="s">
        <v>675</v>
      </c>
      <c r="M40" s="96" t="s">
        <v>494</v>
      </c>
      <c r="N40" t="s">
        <v>677</v>
      </c>
      <c r="O40" t="str">
        <f t="shared" si="0"/>
        <v>if id = "2CFK20001" then delete;</v>
      </c>
    </row>
    <row r="41" spans="1:15" x14ac:dyDescent="0.3">
      <c r="A41" s="10" t="s">
        <v>349</v>
      </c>
      <c r="B41" s="10" t="s">
        <v>673</v>
      </c>
      <c r="C41" s="10"/>
      <c r="D41" s="73" t="s">
        <v>349</v>
      </c>
      <c r="E41" s="74" t="s">
        <v>674</v>
      </c>
      <c r="F41" s="73" t="s">
        <v>752</v>
      </c>
      <c r="G41" s="89"/>
      <c r="H41" s="84">
        <v>0.38213999999999998</v>
      </c>
      <c r="I41" s="85">
        <v>39.081139999999998</v>
      </c>
      <c r="J41" s="85">
        <v>-84.231881999999999</v>
      </c>
      <c r="L41" t="s">
        <v>675</v>
      </c>
      <c r="M41" s="96" t="s">
        <v>495</v>
      </c>
      <c r="N41" t="s">
        <v>677</v>
      </c>
      <c r="O41" t="str">
        <f t="shared" si="0"/>
        <v>if id = "2CHL20001" then delete;</v>
      </c>
    </row>
    <row r="42" spans="1:15" x14ac:dyDescent="0.3">
      <c r="A42" s="10" t="s">
        <v>351</v>
      </c>
      <c r="B42" s="10" t="s">
        <v>673</v>
      </c>
      <c r="C42" s="10"/>
      <c r="D42" s="73" t="s">
        <v>351</v>
      </c>
      <c r="E42" s="74" t="s">
        <v>753</v>
      </c>
      <c r="F42" s="74" t="s">
        <v>754</v>
      </c>
      <c r="G42" s="89">
        <v>1.71</v>
      </c>
      <c r="H42" s="84">
        <v>12.1</v>
      </c>
      <c r="I42" s="85">
        <v>39.117800000000003</v>
      </c>
      <c r="J42" s="85">
        <v>-84.216399999999993</v>
      </c>
      <c r="L42" t="s">
        <v>675</v>
      </c>
      <c r="M42" s="96" t="s">
        <v>755</v>
      </c>
      <c r="N42" t="s">
        <v>677</v>
      </c>
      <c r="O42" t="str">
        <f>L42&amp;M42&amp;N42</f>
        <v>if id = "2CMR20001" then delete;</v>
      </c>
    </row>
    <row r="43" spans="1:15" x14ac:dyDescent="0.3">
      <c r="A43" s="10" t="s">
        <v>353</v>
      </c>
      <c r="B43" s="10" t="s">
        <v>673</v>
      </c>
      <c r="C43" s="10"/>
      <c r="D43" s="73" t="s">
        <v>353</v>
      </c>
      <c r="E43" s="73" t="s">
        <v>674</v>
      </c>
      <c r="F43" s="73" t="s">
        <v>756</v>
      </c>
      <c r="G43" s="73"/>
      <c r="H43" s="84">
        <v>0.37828000000000001</v>
      </c>
      <c r="I43" s="85">
        <v>39.041193999999997</v>
      </c>
      <c r="J43" s="85">
        <v>-84.212897999999996</v>
      </c>
      <c r="L43" t="s">
        <v>675</v>
      </c>
      <c r="M43" s="96" t="s">
        <v>496</v>
      </c>
      <c r="N43" t="s">
        <v>677</v>
      </c>
      <c r="O43" t="str">
        <f t="shared" si="0"/>
        <v>if id = "2CRR20001" then delete;</v>
      </c>
    </row>
    <row r="44" spans="1:15" x14ac:dyDescent="0.3">
      <c r="A44" s="10" t="s">
        <v>355</v>
      </c>
      <c r="B44" s="10" t="s">
        <v>673</v>
      </c>
      <c r="C44" s="10"/>
      <c r="D44" s="73" t="s">
        <v>355</v>
      </c>
      <c r="E44" s="74" t="s">
        <v>757</v>
      </c>
      <c r="F44" s="74" t="s">
        <v>758</v>
      </c>
      <c r="G44" s="89">
        <v>1</v>
      </c>
      <c r="H44" s="84">
        <v>75</v>
      </c>
      <c r="I44" s="85">
        <v>39.122500000000002</v>
      </c>
      <c r="J44" s="85">
        <v>-84.199200000000005</v>
      </c>
      <c r="L44" t="s">
        <v>675</v>
      </c>
      <c r="M44" s="96" t="s">
        <v>498</v>
      </c>
      <c r="N44" t="s">
        <v>677</v>
      </c>
      <c r="O44" t="str">
        <f t="shared" si="0"/>
        <v>if id = "2GRR20001" then delete;</v>
      </c>
    </row>
    <row r="45" spans="1:15" x14ac:dyDescent="0.3">
      <c r="A45" s="10" t="s">
        <v>759</v>
      </c>
      <c r="B45" s="10" t="s">
        <v>673</v>
      </c>
      <c r="C45" s="10"/>
      <c r="D45" s="73" t="s">
        <v>759</v>
      </c>
      <c r="E45" s="73" t="s">
        <v>760</v>
      </c>
      <c r="F45" s="102" t="s">
        <v>761</v>
      </c>
      <c r="G45" s="73">
        <v>5.15</v>
      </c>
      <c r="H45" s="90">
        <v>4.9000000000000004</v>
      </c>
      <c r="I45" s="85">
        <v>39.088299999999997</v>
      </c>
      <c r="J45" s="85">
        <v>-84.221699999999998</v>
      </c>
      <c r="L45" t="s">
        <v>675</v>
      </c>
      <c r="M45" s="96" t="s">
        <v>499</v>
      </c>
      <c r="N45" t="s">
        <v>677</v>
      </c>
      <c r="O45" t="str">
        <f t="shared" si="0"/>
        <v>if id = "2HTR20001" then delete;</v>
      </c>
    </row>
    <row r="46" spans="1:15" x14ac:dyDescent="0.3">
      <c r="A46" s="10" t="s">
        <v>623</v>
      </c>
      <c r="B46" s="10" t="s">
        <v>673</v>
      </c>
      <c r="C46" s="10"/>
      <c r="D46" s="73" t="s">
        <v>623</v>
      </c>
      <c r="E46" s="73" t="s">
        <v>674</v>
      </c>
      <c r="F46" s="73" t="s">
        <v>762</v>
      </c>
      <c r="G46" s="73"/>
      <c r="H46" s="84">
        <v>0.30880000000000002</v>
      </c>
      <c r="I46" s="85">
        <v>39.037989000000003</v>
      </c>
      <c r="J46" s="85">
        <v>-84.120238999999998</v>
      </c>
      <c r="L46" t="s">
        <v>675</v>
      </c>
      <c r="M46" s="96" t="s">
        <v>500</v>
      </c>
      <c r="N46" t="s">
        <v>677</v>
      </c>
      <c r="O46" t="str">
        <f t="shared" si="0"/>
        <v>if id = "2MNR20001" then delete;</v>
      </c>
    </row>
    <row r="47" spans="1:15" x14ac:dyDescent="0.3">
      <c r="A47" s="10" t="s">
        <v>357</v>
      </c>
      <c r="B47" s="10" t="s">
        <v>673</v>
      </c>
      <c r="C47" s="10"/>
      <c r="D47" s="73" t="s">
        <v>357</v>
      </c>
      <c r="E47" s="73" t="s">
        <v>674</v>
      </c>
      <c r="F47" s="73" t="s">
        <v>763</v>
      </c>
      <c r="G47" s="73"/>
      <c r="H47" s="84">
        <v>0.34354000000000001</v>
      </c>
      <c r="I47" s="85">
        <v>39.085258000000003</v>
      </c>
      <c r="J47" s="85">
        <v>-84.295029999999997</v>
      </c>
      <c r="L47" t="s">
        <v>675</v>
      </c>
      <c r="M47" s="96" t="s">
        <v>501</v>
      </c>
      <c r="N47" t="s">
        <v>677</v>
      </c>
      <c r="O47" t="str">
        <f t="shared" si="0"/>
        <v>if id = "2MSR20001" then delete;</v>
      </c>
    </row>
    <row r="48" spans="1:15" x14ac:dyDescent="0.3">
      <c r="A48" s="10" t="s">
        <v>359</v>
      </c>
      <c r="B48" s="10" t="s">
        <v>673</v>
      </c>
      <c r="C48" s="10"/>
      <c r="D48" s="73" t="s">
        <v>359</v>
      </c>
      <c r="E48" s="73" t="s">
        <v>674</v>
      </c>
      <c r="F48" s="73" t="s">
        <v>358</v>
      </c>
      <c r="G48" s="73"/>
      <c r="H48" s="84">
        <v>2.3546</v>
      </c>
      <c r="I48" s="85">
        <v>39.118006999999999</v>
      </c>
      <c r="J48" s="85">
        <v>-84.259630000000001</v>
      </c>
      <c r="L48" t="s">
        <v>675</v>
      </c>
      <c r="M48" s="96" t="s">
        <v>502</v>
      </c>
      <c r="N48" t="s">
        <v>677</v>
      </c>
      <c r="O48" t="str">
        <f t="shared" si="0"/>
        <v>if id = "2NRR20001" then delete;</v>
      </c>
    </row>
    <row r="49" spans="1:15" x14ac:dyDescent="0.3">
      <c r="A49" s="10" t="s">
        <v>616</v>
      </c>
      <c r="B49" s="10" t="s">
        <v>764</v>
      </c>
      <c r="C49" s="10"/>
      <c r="D49" s="73" t="s">
        <v>616</v>
      </c>
      <c r="E49" s="73" t="s">
        <v>674</v>
      </c>
      <c r="F49" s="73" t="s">
        <v>765</v>
      </c>
      <c r="G49" s="73"/>
      <c r="H49" s="73"/>
      <c r="I49" s="85">
        <v>39.012296999999997</v>
      </c>
      <c r="J49" s="86">
        <v>-84.098676999999995</v>
      </c>
      <c r="L49" t="s">
        <v>675</v>
      </c>
      <c r="M49" s="96" t="s">
        <v>503</v>
      </c>
      <c r="N49" t="s">
        <v>677</v>
      </c>
      <c r="O49" t="str">
        <f t="shared" si="0"/>
        <v>if id = "2PRR20001" then delete;</v>
      </c>
    </row>
    <row r="50" spans="1:15" x14ac:dyDescent="0.3">
      <c r="A50" s="10" t="s">
        <v>285</v>
      </c>
      <c r="B50" s="10" t="s">
        <v>764</v>
      </c>
      <c r="C50" s="10"/>
      <c r="D50" s="73" t="s">
        <v>285</v>
      </c>
      <c r="E50" s="73" t="s">
        <v>674</v>
      </c>
      <c r="F50" s="73" t="s">
        <v>766</v>
      </c>
      <c r="G50" s="73"/>
      <c r="H50" s="73"/>
      <c r="I50" s="85">
        <v>39.036672000000003</v>
      </c>
      <c r="J50" s="86">
        <v>-84.138136000000003</v>
      </c>
      <c r="L50" t="s">
        <v>675</v>
      </c>
      <c r="M50" s="96" t="s">
        <v>504</v>
      </c>
      <c r="N50" t="s">
        <v>677</v>
      </c>
      <c r="O50" t="str">
        <f t="shared" si="0"/>
        <v>if id = "2RRR20001" then delete;</v>
      </c>
    </row>
    <row r="51" spans="1:15" x14ac:dyDescent="0.3">
      <c r="A51" s="10" t="s">
        <v>644</v>
      </c>
      <c r="B51" s="10" t="s">
        <v>764</v>
      </c>
      <c r="C51" s="10"/>
      <c r="D51" s="73" t="s">
        <v>644</v>
      </c>
      <c r="E51" s="73" t="s">
        <v>674</v>
      </c>
      <c r="F51" s="73" t="s">
        <v>767</v>
      </c>
      <c r="G51" s="73"/>
      <c r="H51" s="73"/>
      <c r="I51" s="85">
        <v>39.020015000000001</v>
      </c>
      <c r="J51" s="86">
        <v>-84.131118999999998</v>
      </c>
      <c r="L51" t="s">
        <v>675</v>
      </c>
      <c r="M51" s="96" t="s">
        <v>505</v>
      </c>
      <c r="N51" t="s">
        <v>677</v>
      </c>
      <c r="O51" t="str">
        <f t="shared" si="0"/>
        <v>if id = "2SRR20001" then delete;</v>
      </c>
    </row>
    <row r="52" spans="1:15" x14ac:dyDescent="0.3">
      <c r="A52" s="10" t="s">
        <v>659</v>
      </c>
      <c r="B52" s="10" t="s">
        <v>764</v>
      </c>
      <c r="C52" s="10"/>
      <c r="D52" s="73" t="s">
        <v>659</v>
      </c>
      <c r="E52" s="73" t="s">
        <v>674</v>
      </c>
      <c r="F52" s="73" t="s">
        <v>768</v>
      </c>
      <c r="G52" s="73"/>
      <c r="H52" s="73"/>
      <c r="I52" s="85">
        <v>39.021000000000001</v>
      </c>
      <c r="J52" s="86">
        <v>-84.097999999999999</v>
      </c>
      <c r="L52" t="s">
        <v>675</v>
      </c>
      <c r="M52" s="96" t="s">
        <v>506</v>
      </c>
      <c r="N52" t="s">
        <v>677</v>
      </c>
      <c r="O52" t="str">
        <f t="shared" si="0"/>
        <v>if id = "2TAR20001" then delete;</v>
      </c>
    </row>
    <row r="53" spans="1:15" x14ac:dyDescent="0.3">
      <c r="A53" s="10" t="s">
        <v>426</v>
      </c>
      <c r="B53" s="10" t="s">
        <v>764</v>
      </c>
      <c r="C53" s="10"/>
      <c r="D53" s="73" t="s">
        <v>426</v>
      </c>
      <c r="E53" s="73" t="s">
        <v>674</v>
      </c>
      <c r="F53" s="73" t="s">
        <v>769</v>
      </c>
      <c r="G53" s="73"/>
      <c r="H53" s="73"/>
      <c r="I53" s="85">
        <v>39.020015000000001</v>
      </c>
      <c r="J53" s="86">
        <v>-84.153604000000001</v>
      </c>
      <c r="L53" t="s">
        <v>675</v>
      </c>
      <c r="M53" s="96" t="s">
        <v>507</v>
      </c>
      <c r="N53" t="s">
        <v>677</v>
      </c>
      <c r="O53" t="str">
        <f t="shared" si="0"/>
        <v>if id = "2WFR20001" then delete;</v>
      </c>
    </row>
    <row r="54" spans="1:15" x14ac:dyDescent="0.3">
      <c r="A54" s="10" t="s">
        <v>429</v>
      </c>
      <c r="B54" s="10" t="s">
        <v>764</v>
      </c>
      <c r="C54" s="10"/>
      <c r="D54" s="73" t="s">
        <v>429</v>
      </c>
      <c r="E54" s="73" t="s">
        <v>674</v>
      </c>
      <c r="F54" s="73" t="s">
        <v>770</v>
      </c>
      <c r="G54" s="73"/>
      <c r="H54" s="73"/>
      <c r="I54" s="85">
        <v>39.025981999999999</v>
      </c>
      <c r="J54" s="86">
        <v>-84.090733999999998</v>
      </c>
      <c r="L54" t="s">
        <v>675</v>
      </c>
      <c r="M54" s="10" t="s">
        <v>509</v>
      </c>
      <c r="N54" t="s">
        <v>677</v>
      </c>
      <c r="O54" t="str">
        <f t="shared" si="0"/>
        <v>if id = "622_AA" then delete;</v>
      </c>
    </row>
    <row r="55" spans="1:15" x14ac:dyDescent="0.3">
      <c r="A55" s="10" t="s">
        <v>676</v>
      </c>
      <c r="B55" s="10" t="s">
        <v>243</v>
      </c>
      <c r="C55" s="10"/>
      <c r="D55" s="97" t="s">
        <v>771</v>
      </c>
      <c r="E55" s="97"/>
      <c r="F55" s="97" t="s">
        <v>772</v>
      </c>
      <c r="G55" s="103">
        <v>2.1</v>
      </c>
      <c r="H55" s="103"/>
      <c r="I55" s="104">
        <v>38.981971999999999</v>
      </c>
      <c r="J55" s="104">
        <v>-84.101034999999996</v>
      </c>
      <c r="L55" t="s">
        <v>675</v>
      </c>
      <c r="M55" s="10" t="s">
        <v>511</v>
      </c>
      <c r="N55" t="s">
        <v>677</v>
      </c>
      <c r="O55" t="str">
        <f t="shared" si="0"/>
        <v>if id = "622_BB" then delete;</v>
      </c>
    </row>
    <row r="56" spans="1:15" x14ac:dyDescent="0.3">
      <c r="A56" s="10" t="s">
        <v>678</v>
      </c>
      <c r="B56" s="10" t="s">
        <v>243</v>
      </c>
      <c r="C56" s="10"/>
      <c r="D56" s="97" t="s">
        <v>773</v>
      </c>
      <c r="E56" s="74" t="s">
        <v>726</v>
      </c>
      <c r="F56" s="97" t="s">
        <v>774</v>
      </c>
      <c r="G56" s="103">
        <v>0.2</v>
      </c>
      <c r="H56" s="103"/>
      <c r="I56" s="104">
        <v>39.132878468500003</v>
      </c>
      <c r="J56" s="104">
        <v>-84.015335726299995</v>
      </c>
      <c r="L56" t="s">
        <v>675</v>
      </c>
      <c r="M56" s="10" t="s">
        <v>512</v>
      </c>
      <c r="N56" t="s">
        <v>677</v>
      </c>
      <c r="O56" t="str">
        <f t="shared" si="0"/>
        <v>if id = "622_BR" then delete;</v>
      </c>
    </row>
    <row r="57" spans="1:15" x14ac:dyDescent="0.3">
      <c r="A57" s="10" t="s">
        <v>679</v>
      </c>
      <c r="B57" s="10" t="s">
        <v>243</v>
      </c>
      <c r="C57" s="10"/>
      <c r="D57" s="97" t="s">
        <v>775</v>
      </c>
      <c r="E57" s="97"/>
      <c r="F57" s="97" t="s">
        <v>776</v>
      </c>
      <c r="G57" s="103">
        <v>1.3</v>
      </c>
      <c r="H57" s="103"/>
      <c r="I57" s="104">
        <v>39.1203</v>
      </c>
      <c r="J57" s="104">
        <v>-84.053100000000001</v>
      </c>
      <c r="L57" t="s">
        <v>675</v>
      </c>
      <c r="M57" s="10" t="s">
        <v>513</v>
      </c>
      <c r="N57" t="s">
        <v>677</v>
      </c>
      <c r="O57" t="str">
        <f t="shared" si="0"/>
        <v>if id = "622_DZ" then delete;</v>
      </c>
    </row>
    <row r="58" spans="1:15" x14ac:dyDescent="0.3">
      <c r="A58" s="10" t="s">
        <v>681</v>
      </c>
      <c r="B58" s="10" t="s">
        <v>243</v>
      </c>
      <c r="C58" s="10"/>
      <c r="D58" s="97" t="s">
        <v>777</v>
      </c>
      <c r="E58" s="97"/>
      <c r="F58" s="97" t="s">
        <v>778</v>
      </c>
      <c r="G58" s="103">
        <v>2.5</v>
      </c>
      <c r="H58" s="103"/>
      <c r="I58" s="104">
        <v>39.135899999999999</v>
      </c>
      <c r="J58" s="104">
        <v>-84.051000000000002</v>
      </c>
      <c r="L58" t="s">
        <v>675</v>
      </c>
      <c r="M58" s="10" t="s">
        <v>513</v>
      </c>
      <c r="N58" t="s">
        <v>677</v>
      </c>
      <c r="O58" t="str">
        <f t="shared" si="0"/>
        <v>if id = "622_DZ" then delete;</v>
      </c>
    </row>
    <row r="59" spans="1:15" x14ac:dyDescent="0.3">
      <c r="A59" s="10" t="s">
        <v>684</v>
      </c>
      <c r="B59" s="10" t="s">
        <v>243</v>
      </c>
      <c r="C59" s="10"/>
      <c r="D59" s="97" t="s">
        <v>779</v>
      </c>
      <c r="E59" s="74" t="s">
        <v>533</v>
      </c>
      <c r="F59" s="97" t="s">
        <v>780</v>
      </c>
      <c r="G59" s="103">
        <v>70.099999999999994</v>
      </c>
      <c r="H59" s="103"/>
      <c r="I59" s="104">
        <v>39.225127999999998</v>
      </c>
      <c r="J59" s="104">
        <v>-83.825536999999997</v>
      </c>
      <c r="L59" t="s">
        <v>675</v>
      </c>
      <c r="M59" s="10" t="s">
        <v>514</v>
      </c>
      <c r="N59" t="s">
        <v>677</v>
      </c>
      <c r="O59" t="str">
        <f t="shared" si="0"/>
        <v>if id = "622_HT" then delete;</v>
      </c>
    </row>
    <row r="60" spans="1:15" x14ac:dyDescent="0.3">
      <c r="A60" s="10" t="s">
        <v>686</v>
      </c>
      <c r="B60" s="10" t="s">
        <v>243</v>
      </c>
      <c r="C60" s="10"/>
      <c r="D60" s="97" t="s">
        <v>781</v>
      </c>
      <c r="E60" s="97"/>
      <c r="F60" s="97" t="s">
        <v>782</v>
      </c>
      <c r="G60" s="103">
        <v>1.83</v>
      </c>
      <c r="H60" s="103"/>
      <c r="I60" s="104">
        <v>39.264800000000001</v>
      </c>
      <c r="J60" s="104">
        <v>-84.232399999999998</v>
      </c>
      <c r="L60" t="s">
        <v>675</v>
      </c>
      <c r="M60" s="10" t="s">
        <v>515</v>
      </c>
      <c r="N60" t="s">
        <v>677</v>
      </c>
      <c r="O60" t="str">
        <f t="shared" si="0"/>
        <v>if id = "622_MN" then delete;</v>
      </c>
    </row>
    <row r="61" spans="1:15" x14ac:dyDescent="0.3">
      <c r="A61" s="10" t="s">
        <v>689</v>
      </c>
      <c r="B61" s="10" t="s">
        <v>243</v>
      </c>
      <c r="C61" s="10"/>
      <c r="D61" s="97" t="s">
        <v>783</v>
      </c>
      <c r="E61" s="74" t="s">
        <v>530</v>
      </c>
      <c r="F61" s="97" t="s">
        <v>784</v>
      </c>
      <c r="G61" s="103">
        <v>75.3</v>
      </c>
      <c r="H61" s="103"/>
      <c r="I61" s="104">
        <v>39.273102999999999</v>
      </c>
      <c r="J61" s="104">
        <v>-83.781191000000007</v>
      </c>
      <c r="L61" t="s">
        <v>675</v>
      </c>
      <c r="M61" s="10" t="s">
        <v>516</v>
      </c>
      <c r="N61" t="s">
        <v>677</v>
      </c>
      <c r="O61" t="str">
        <f t="shared" si="0"/>
        <v>if id = "622_PT" then delete;</v>
      </c>
    </row>
    <row r="62" spans="1:15" x14ac:dyDescent="0.3">
      <c r="A62" s="10" t="s">
        <v>691</v>
      </c>
      <c r="B62" s="10" t="s">
        <v>243</v>
      </c>
      <c r="C62" s="10"/>
      <c r="D62" s="97" t="s">
        <v>785</v>
      </c>
      <c r="E62" s="97"/>
      <c r="F62" s="97" t="s">
        <v>786</v>
      </c>
      <c r="G62" s="103"/>
      <c r="H62" s="103"/>
      <c r="I62" s="104">
        <v>39.187600000000003</v>
      </c>
      <c r="J62" s="104">
        <v>-84.013800000000003</v>
      </c>
      <c r="L62" t="s">
        <v>675</v>
      </c>
      <c r="M62" s="10" t="s">
        <v>517</v>
      </c>
      <c r="N62" t="s">
        <v>677</v>
      </c>
      <c r="O62" t="str">
        <f t="shared" si="0"/>
        <v>if id = "622_TR" then delete;</v>
      </c>
    </row>
    <row r="63" spans="1:15" x14ac:dyDescent="0.3">
      <c r="A63" s="10" t="s">
        <v>694</v>
      </c>
      <c r="B63" s="10" t="s">
        <v>243</v>
      </c>
      <c r="C63" s="10"/>
      <c r="D63" s="97" t="s">
        <v>787</v>
      </c>
      <c r="E63" s="97"/>
      <c r="F63" s="97" t="s">
        <v>788</v>
      </c>
      <c r="G63" s="103">
        <v>3</v>
      </c>
      <c r="H63" s="103"/>
      <c r="I63" s="104">
        <v>39.166400000000003</v>
      </c>
      <c r="J63" s="104">
        <v>-84.009200000000007</v>
      </c>
      <c r="L63" t="s">
        <v>675</v>
      </c>
      <c r="M63" s="10" t="s">
        <v>518</v>
      </c>
      <c r="N63" t="s">
        <v>677</v>
      </c>
      <c r="O63" t="str">
        <f t="shared" si="0"/>
        <v>if id = "622_WR" then delete;</v>
      </c>
    </row>
    <row r="64" spans="1:15" x14ac:dyDescent="0.3">
      <c r="A64" s="10" t="s">
        <v>697</v>
      </c>
      <c r="B64" s="10" t="s">
        <v>243</v>
      </c>
      <c r="C64" s="10"/>
      <c r="D64" s="97" t="s">
        <v>439</v>
      </c>
      <c r="E64" s="97"/>
      <c r="F64" s="97" t="s">
        <v>789</v>
      </c>
      <c r="G64" s="103">
        <v>3.2</v>
      </c>
      <c r="H64" s="103"/>
      <c r="I64" s="104">
        <v>39.174100000000003</v>
      </c>
      <c r="J64" s="104">
        <v>-83.998199999999997</v>
      </c>
      <c r="L64" t="s">
        <v>675</v>
      </c>
      <c r="M64" s="10" t="s">
        <v>519</v>
      </c>
      <c r="N64" t="s">
        <v>677</v>
      </c>
      <c r="O64" t="str">
        <f t="shared" si="0"/>
        <v>if id = "622_XX" then delete;</v>
      </c>
    </row>
    <row r="65" spans="1:15" x14ac:dyDescent="0.3">
      <c r="A65" s="10" t="s">
        <v>699</v>
      </c>
      <c r="B65" s="10" t="s">
        <v>243</v>
      </c>
      <c r="C65" s="10"/>
      <c r="D65" s="97" t="s">
        <v>790</v>
      </c>
      <c r="E65" s="97"/>
      <c r="F65" s="97" t="s">
        <v>791</v>
      </c>
      <c r="G65" s="103">
        <v>1.4</v>
      </c>
      <c r="H65" s="103"/>
      <c r="I65" s="104">
        <v>39.207000000000001</v>
      </c>
      <c r="J65" s="104">
        <v>-83.810900000000004</v>
      </c>
      <c r="L65" t="s">
        <v>675</v>
      </c>
      <c r="M65" s="10" t="s">
        <v>647</v>
      </c>
      <c r="N65" t="s">
        <v>677</v>
      </c>
      <c r="O65" t="str">
        <f t="shared" si="0"/>
        <v>if id = "FB" then delete;</v>
      </c>
    </row>
    <row r="66" spans="1:15" x14ac:dyDescent="0.3">
      <c r="A66" s="10" t="s">
        <v>702</v>
      </c>
      <c r="B66" s="10" t="s">
        <v>243</v>
      </c>
      <c r="C66" s="10"/>
      <c r="D66" s="97" t="s">
        <v>792</v>
      </c>
      <c r="E66" s="97"/>
      <c r="F66" s="97" t="s">
        <v>793</v>
      </c>
      <c r="G66" s="103"/>
      <c r="H66" s="103"/>
      <c r="I66" s="104">
        <v>39.095742999999999</v>
      </c>
      <c r="J66" s="104">
        <v>-84.131600000000006</v>
      </c>
      <c r="L66" t="s">
        <v>675</v>
      </c>
      <c r="M66" s="10" t="s">
        <v>794</v>
      </c>
      <c r="N66" t="s">
        <v>677</v>
      </c>
      <c r="O66" t="str">
        <f t="shared" si="0"/>
        <v>if id = "PE" then delete;</v>
      </c>
    </row>
    <row r="67" spans="1:15" x14ac:dyDescent="0.3">
      <c r="A67" s="10" t="s">
        <v>705</v>
      </c>
      <c r="B67" s="10" t="s">
        <v>243</v>
      </c>
      <c r="C67" s="10"/>
      <c r="D67" s="97" t="s">
        <v>795</v>
      </c>
      <c r="E67" s="97"/>
      <c r="F67" s="97" t="s">
        <v>796</v>
      </c>
      <c r="G67" s="103"/>
      <c r="H67" s="103"/>
      <c r="I67" s="104">
        <v>39.095799999999997</v>
      </c>
      <c r="J67" s="104">
        <v>-84.132400000000004</v>
      </c>
      <c r="L67" t="s">
        <v>675</v>
      </c>
      <c r="M67" s="10" t="s">
        <v>570</v>
      </c>
      <c r="N67" t="s">
        <v>677</v>
      </c>
      <c r="O67" t="str">
        <f t="shared" si="0"/>
        <v>if id = "PP" then delete;</v>
      </c>
    </row>
    <row r="68" spans="1:15" x14ac:dyDescent="0.3">
      <c r="A68" s="10" t="s">
        <v>708</v>
      </c>
      <c r="B68" s="10" t="s">
        <v>243</v>
      </c>
      <c r="C68" s="10"/>
      <c r="D68" s="97" t="s">
        <v>797</v>
      </c>
      <c r="E68" s="97"/>
      <c r="F68" s="97" t="s">
        <v>798</v>
      </c>
      <c r="G68" s="103"/>
      <c r="H68" s="103"/>
      <c r="I68" s="104">
        <v>39.189700000000002</v>
      </c>
      <c r="J68" s="104">
        <v>-84.157499999999999</v>
      </c>
      <c r="L68" t="s">
        <v>675</v>
      </c>
      <c r="M68" s="10" t="s">
        <v>70</v>
      </c>
      <c r="N68" t="s">
        <v>677</v>
      </c>
      <c r="O68" t="str">
        <f t="shared" ref="O68:O81" si="1">L68&amp;M68&amp;N68</f>
        <v>if id = "QAC" then delete;</v>
      </c>
    </row>
    <row r="69" spans="1:15" x14ac:dyDescent="0.3">
      <c r="A69" s="10" t="s">
        <v>711</v>
      </c>
      <c r="B69" s="10" t="s">
        <v>243</v>
      </c>
      <c r="C69" s="10"/>
      <c r="D69" s="97" t="s">
        <v>799</v>
      </c>
      <c r="E69" s="97"/>
      <c r="F69" s="97" t="s">
        <v>800</v>
      </c>
      <c r="G69" s="103"/>
      <c r="H69" s="103"/>
      <c r="I69" s="104">
        <v>39.189100000000003</v>
      </c>
      <c r="J69" s="104">
        <v>-84.156800000000004</v>
      </c>
      <c r="L69" t="s">
        <v>675</v>
      </c>
      <c r="M69" s="10" t="s">
        <v>801</v>
      </c>
      <c r="N69" t="s">
        <v>677</v>
      </c>
      <c r="O69" t="str">
        <f t="shared" si="1"/>
        <v>if id = "XL" then delete;</v>
      </c>
    </row>
    <row r="70" spans="1:15" x14ac:dyDescent="0.3">
      <c r="A70" s="10" t="s">
        <v>714</v>
      </c>
      <c r="B70" s="10" t="s">
        <v>243</v>
      </c>
      <c r="C70" s="10"/>
      <c r="D70" s="97" t="s">
        <v>802</v>
      </c>
      <c r="E70" s="97"/>
      <c r="F70" s="97" t="s">
        <v>803</v>
      </c>
      <c r="G70" s="103"/>
      <c r="H70" s="103"/>
      <c r="I70" s="104">
        <v>39.054000000000002</v>
      </c>
      <c r="J70" s="104">
        <v>-84.113699999999994</v>
      </c>
      <c r="L70" t="s">
        <v>675</v>
      </c>
      <c r="M70" s="10" t="s">
        <v>804</v>
      </c>
      <c r="N70" t="s">
        <v>677</v>
      </c>
      <c r="O70" t="str">
        <f t="shared" si="1"/>
        <v>if id = "GRSSY" then delete;</v>
      </c>
    </row>
    <row r="71" spans="1:15" x14ac:dyDescent="0.3">
      <c r="A71" s="10" t="s">
        <v>717</v>
      </c>
      <c r="B71" s="10" t="s">
        <v>243</v>
      </c>
      <c r="C71" s="10"/>
      <c r="D71" s="97" t="s">
        <v>805</v>
      </c>
      <c r="E71" s="97"/>
      <c r="F71" s="97" t="s">
        <v>806</v>
      </c>
      <c r="G71" s="103"/>
      <c r="H71" s="103"/>
      <c r="I71" s="104">
        <v>39.053800000000003</v>
      </c>
      <c r="J71" s="104">
        <v>-84.114199999999997</v>
      </c>
      <c r="L71" t="s">
        <v>675</v>
      </c>
      <c r="M71" s="10" t="s">
        <v>521</v>
      </c>
      <c r="N71" t="s">
        <v>677</v>
      </c>
      <c r="O71" t="str">
        <f t="shared" si="1"/>
        <v>if id = "BRR" then delete;</v>
      </c>
    </row>
    <row r="72" spans="1:15" x14ac:dyDescent="0.3">
      <c r="A72" s="10" t="s">
        <v>720</v>
      </c>
      <c r="B72" s="10" t="s">
        <v>243</v>
      </c>
      <c r="C72" s="10"/>
      <c r="D72" s="97" t="s">
        <v>807</v>
      </c>
      <c r="E72" s="97"/>
      <c r="F72" s="97" t="s">
        <v>808</v>
      </c>
      <c r="G72" s="103"/>
      <c r="H72" s="103"/>
      <c r="I72" s="104">
        <v>38.9253</v>
      </c>
      <c r="J72" s="104">
        <v>-84.191599999999994</v>
      </c>
      <c r="L72" t="s">
        <v>675</v>
      </c>
      <c r="M72" s="10" t="s">
        <v>809</v>
      </c>
      <c r="N72" t="s">
        <v>677</v>
      </c>
      <c r="O72" t="str">
        <f t="shared" si="1"/>
        <v>if id = "HNR" then delete;</v>
      </c>
    </row>
    <row r="73" spans="1:15" x14ac:dyDescent="0.3">
      <c r="A73" s="10" t="s">
        <v>723</v>
      </c>
      <c r="B73" s="10" t="s">
        <v>243</v>
      </c>
      <c r="C73" s="10"/>
      <c r="D73" s="97" t="s">
        <v>810</v>
      </c>
      <c r="E73" s="97"/>
      <c r="F73" s="97" t="s">
        <v>811</v>
      </c>
      <c r="G73" s="103"/>
      <c r="H73" s="103"/>
      <c r="I73" s="104">
        <v>38.924700000000001</v>
      </c>
      <c r="J73" s="104">
        <v>-84.191599999999994</v>
      </c>
      <c r="L73" t="s">
        <v>675</v>
      </c>
      <c r="M73" s="10" t="s">
        <v>812</v>
      </c>
      <c r="N73" t="s">
        <v>677</v>
      </c>
      <c r="O73" t="str">
        <f t="shared" si="1"/>
        <v>if id = "LKF" then delete;</v>
      </c>
    </row>
    <row r="74" spans="1:15" x14ac:dyDescent="0.3">
      <c r="A74" s="10" t="s">
        <v>725</v>
      </c>
      <c r="B74" s="10" t="s">
        <v>243</v>
      </c>
      <c r="C74" s="10"/>
      <c r="D74" s="73" t="s">
        <v>522</v>
      </c>
      <c r="E74" s="73"/>
      <c r="F74" s="102" t="s">
        <v>813</v>
      </c>
      <c r="G74" s="73"/>
      <c r="H74" s="73"/>
      <c r="I74" s="85">
        <v>39.105732996</v>
      </c>
      <c r="J74" s="85">
        <v>-84.399938926000004</v>
      </c>
      <c r="L74" t="s">
        <v>675</v>
      </c>
      <c r="M74" s="10" t="s">
        <v>814</v>
      </c>
      <c r="N74" t="s">
        <v>677</v>
      </c>
      <c r="O74" t="str">
        <f t="shared" si="1"/>
        <v>if id = "NBS" then delete;</v>
      </c>
    </row>
    <row r="75" spans="1:15" x14ac:dyDescent="0.3">
      <c r="A75" s="10" t="s">
        <v>728</v>
      </c>
      <c r="B75" s="10" t="s">
        <v>243</v>
      </c>
      <c r="C75" s="10"/>
      <c r="L75" t="s">
        <v>675</v>
      </c>
      <c r="M75" s="10" t="s">
        <v>815</v>
      </c>
      <c r="N75" t="s">
        <v>677</v>
      </c>
      <c r="O75" t="str">
        <f t="shared" si="1"/>
        <v>if id = "TNB" then delete;</v>
      </c>
    </row>
    <row r="76" spans="1:15" x14ac:dyDescent="0.3">
      <c r="A76" s="10" t="s">
        <v>730</v>
      </c>
      <c r="B76" s="10" t="s">
        <v>243</v>
      </c>
      <c r="C76" s="10"/>
      <c r="D76" s="93" t="s">
        <v>450</v>
      </c>
      <c r="E76" s="93"/>
      <c r="F76" s="93" t="s">
        <v>816</v>
      </c>
      <c r="G76" s="73"/>
      <c r="H76" s="93">
        <v>2.3495999999999997</v>
      </c>
      <c r="I76" s="93">
        <v>39.075609999999998</v>
      </c>
      <c r="J76" s="93">
        <v>-83.925610000000006</v>
      </c>
      <c r="L76" t="s">
        <v>675</v>
      </c>
      <c r="M76" s="10" t="s">
        <v>616</v>
      </c>
      <c r="N76" t="s">
        <v>677</v>
      </c>
      <c r="O76" t="str">
        <f t="shared" si="1"/>
        <v>if id = "ECP" then delete;</v>
      </c>
    </row>
    <row r="77" spans="1:15" x14ac:dyDescent="0.3">
      <c r="A77" s="10" t="s">
        <v>733</v>
      </c>
      <c r="B77" s="10" t="s">
        <v>243</v>
      </c>
      <c r="C77" s="10"/>
      <c r="D77" s="93" t="s">
        <v>448</v>
      </c>
      <c r="E77" s="93"/>
      <c r="F77" s="93" t="s">
        <v>817</v>
      </c>
      <c r="G77" s="73"/>
      <c r="H77" s="93">
        <v>2.1715999999999998</v>
      </c>
      <c r="I77" s="93">
        <v>39.104439999999997</v>
      </c>
      <c r="J77" s="93">
        <v>-83.887110000000007</v>
      </c>
      <c r="L77" t="s">
        <v>675</v>
      </c>
      <c r="M77" s="10" t="s">
        <v>285</v>
      </c>
      <c r="N77" t="s">
        <v>677</v>
      </c>
      <c r="O77" t="str">
        <f t="shared" si="1"/>
        <v>if id = "EFL" then delete;</v>
      </c>
    </row>
    <row r="78" spans="1:15" x14ac:dyDescent="0.3">
      <c r="A78" s="10" t="s">
        <v>735</v>
      </c>
      <c r="B78" s="10" t="s">
        <v>243</v>
      </c>
      <c r="C78" s="10"/>
      <c r="D78" s="73" t="s">
        <v>818</v>
      </c>
      <c r="E78" s="73"/>
      <c r="F78" s="73" t="s">
        <v>819</v>
      </c>
      <c r="G78" s="73"/>
      <c r="H78" s="73"/>
      <c r="I78" s="85">
        <v>39.137222221999998</v>
      </c>
      <c r="J78" s="85">
        <v>-84.238055560000006</v>
      </c>
      <c r="L78" t="s">
        <v>675</v>
      </c>
      <c r="M78" s="10" t="s">
        <v>644</v>
      </c>
      <c r="N78" t="s">
        <v>677</v>
      </c>
      <c r="O78" t="str">
        <f t="shared" si="1"/>
        <v>if id = "EMB" then delete;</v>
      </c>
    </row>
    <row r="79" spans="1:15" x14ac:dyDescent="0.3">
      <c r="A79" s="10" t="s">
        <v>610</v>
      </c>
      <c r="B79" s="10" t="s">
        <v>243</v>
      </c>
      <c r="C79" s="10"/>
      <c r="L79" t="s">
        <v>675</v>
      </c>
      <c r="M79" s="10" t="s">
        <v>659</v>
      </c>
      <c r="N79" t="s">
        <v>677</v>
      </c>
      <c r="O79" t="str">
        <f t="shared" si="1"/>
        <v>if id = "ENN" then delete;</v>
      </c>
    </row>
    <row r="80" spans="1:15" x14ac:dyDescent="0.3">
      <c r="A80" s="10" t="s">
        <v>243</v>
      </c>
      <c r="B80" s="10" t="s">
        <v>243</v>
      </c>
      <c r="C80" s="10"/>
      <c r="D80" s="93" t="s">
        <v>820</v>
      </c>
      <c r="E80" s="74" t="s">
        <v>709</v>
      </c>
      <c r="F80" s="93" t="s">
        <v>821</v>
      </c>
      <c r="G80" s="73"/>
      <c r="H80" s="73"/>
      <c r="I80" s="105">
        <v>39.052390000000003</v>
      </c>
      <c r="J80" s="105">
        <v>-84.050380000000004</v>
      </c>
      <c r="L80" t="s">
        <v>675</v>
      </c>
      <c r="M80" s="10" t="s">
        <v>426</v>
      </c>
      <c r="N80" t="s">
        <v>677</v>
      </c>
      <c r="O80" t="str">
        <f t="shared" si="1"/>
        <v>if id = "EOF" then delete;</v>
      </c>
    </row>
    <row r="81" spans="1:15" x14ac:dyDescent="0.3">
      <c r="A81" s="10" t="s">
        <v>446</v>
      </c>
      <c r="B81" s="10" t="s">
        <v>243</v>
      </c>
      <c r="C81" s="10"/>
      <c r="D81" s="93" t="s">
        <v>822</v>
      </c>
      <c r="E81" s="73"/>
      <c r="F81" s="93" t="s">
        <v>823</v>
      </c>
      <c r="G81" s="73"/>
      <c r="H81" s="73"/>
      <c r="I81" s="105">
        <v>39.029170000000001</v>
      </c>
      <c r="J81" s="105">
        <v>-84.086669999999998</v>
      </c>
      <c r="L81" t="s">
        <v>675</v>
      </c>
      <c r="M81" s="10" t="s">
        <v>429</v>
      </c>
      <c r="N81" t="s">
        <v>677</v>
      </c>
      <c r="O81" t="str">
        <f t="shared" si="1"/>
        <v>if id = "EUS" then delete;</v>
      </c>
    </row>
    <row r="82" spans="1:15" x14ac:dyDescent="0.3">
      <c r="A82" s="10" t="s">
        <v>362</v>
      </c>
      <c r="B82" s="10" t="s">
        <v>362</v>
      </c>
      <c r="C82" s="10"/>
      <c r="D82" s="93" t="s">
        <v>824</v>
      </c>
      <c r="E82" s="73"/>
      <c r="F82" s="93" t="s">
        <v>825</v>
      </c>
      <c r="G82" s="73"/>
      <c r="H82" s="73"/>
      <c r="I82" s="105">
        <v>38.999169999999999</v>
      </c>
      <c r="J82" s="105">
        <v>-84.085830000000001</v>
      </c>
    </row>
    <row r="83" spans="1:15" x14ac:dyDescent="0.3">
      <c r="A83" s="10" t="s">
        <v>522</v>
      </c>
      <c r="B83" s="10" t="s">
        <v>826</v>
      </c>
      <c r="C83" s="10"/>
      <c r="D83" s="93" t="s">
        <v>827</v>
      </c>
      <c r="E83" s="73"/>
      <c r="F83" s="93" t="s">
        <v>828</v>
      </c>
      <c r="G83" s="73"/>
      <c r="H83" s="73"/>
      <c r="I83" s="105">
        <v>38.961390000000002</v>
      </c>
      <c r="J83" s="105">
        <v>-84.106669999999994</v>
      </c>
    </row>
    <row r="84" spans="1:15" x14ac:dyDescent="0.3">
      <c r="A84" s="10" t="s">
        <v>478</v>
      </c>
      <c r="B84" s="10" t="s">
        <v>829</v>
      </c>
      <c r="C84" s="10"/>
      <c r="D84" s="93" t="s">
        <v>830</v>
      </c>
      <c r="E84" s="73"/>
      <c r="F84" s="93" t="s">
        <v>831</v>
      </c>
      <c r="G84" s="73"/>
      <c r="H84" s="73"/>
      <c r="I84" s="105">
        <v>38.973790000000001</v>
      </c>
      <c r="J84" s="105">
        <v>-84.105760000000004</v>
      </c>
    </row>
    <row r="85" spans="1:15" x14ac:dyDescent="0.3">
      <c r="A85" s="10" t="s">
        <v>448</v>
      </c>
      <c r="B85" s="10" t="s">
        <v>832</v>
      </c>
      <c r="C85" s="10"/>
      <c r="D85" s="93" t="s">
        <v>833</v>
      </c>
      <c r="E85" s="73"/>
      <c r="F85" s="93" t="s">
        <v>834</v>
      </c>
      <c r="G85" s="73"/>
      <c r="H85" s="73"/>
      <c r="I85" s="105">
        <v>39.023359999999997</v>
      </c>
      <c r="J85" s="105">
        <v>-84.101290000000006</v>
      </c>
    </row>
    <row r="86" spans="1:15" x14ac:dyDescent="0.3">
      <c r="A86" s="10" t="s">
        <v>450</v>
      </c>
      <c r="B86" s="10" t="s">
        <v>832</v>
      </c>
      <c r="C86" s="10"/>
    </row>
    <row r="87" spans="1:15" x14ac:dyDescent="0.3">
      <c r="A87" s="96" t="s">
        <v>497</v>
      </c>
      <c r="B87" s="10" t="s">
        <v>673</v>
      </c>
      <c r="C87" s="10"/>
      <c r="D87" s="73"/>
      <c r="E87" s="74"/>
      <c r="F87" s="74"/>
      <c r="G87" s="89"/>
      <c r="H87" s="90"/>
      <c r="I87" s="85"/>
      <c r="J87" s="85"/>
    </row>
    <row r="88" spans="1:15" x14ac:dyDescent="0.3">
      <c r="A88" s="10" t="s">
        <v>489</v>
      </c>
      <c r="B88" s="10"/>
      <c r="C88" s="10"/>
      <c r="D88" s="93" t="s">
        <v>835</v>
      </c>
      <c r="E88" s="73"/>
      <c r="F88" s="93" t="s">
        <v>836</v>
      </c>
      <c r="G88" s="73"/>
      <c r="H88" s="73"/>
      <c r="I88" s="105">
        <v>39.015270000000001</v>
      </c>
      <c r="J88" s="105">
        <v>-84.09836</v>
      </c>
    </row>
    <row r="89" spans="1:15" x14ac:dyDescent="0.3">
      <c r="A89" s="10" t="s">
        <v>490</v>
      </c>
      <c r="B89" s="10"/>
      <c r="C89" s="10"/>
      <c r="D89" s="93" t="s">
        <v>837</v>
      </c>
      <c r="E89" s="73"/>
      <c r="F89" s="93" t="s">
        <v>838</v>
      </c>
      <c r="G89" s="73"/>
      <c r="H89" s="73"/>
      <c r="I89" s="105">
        <v>39.020000000000003</v>
      </c>
      <c r="J89" s="105">
        <v>-84.131110000000007</v>
      </c>
    </row>
    <row r="90" spans="1:15" x14ac:dyDescent="0.3">
      <c r="A90" s="96" t="s">
        <v>491</v>
      </c>
      <c r="B90" s="96"/>
      <c r="C90" s="10"/>
      <c r="D90" s="93" t="s">
        <v>839</v>
      </c>
      <c r="E90" s="73"/>
      <c r="F90" s="93" t="s">
        <v>840</v>
      </c>
      <c r="G90" s="73"/>
      <c r="H90" s="73"/>
      <c r="I90" s="105">
        <v>39.039189999999998</v>
      </c>
      <c r="J90" s="105">
        <v>-84.136380000000003</v>
      </c>
    </row>
    <row r="91" spans="1:15" x14ac:dyDescent="0.3">
      <c r="A91" s="96" t="s">
        <v>492</v>
      </c>
      <c r="B91" s="96"/>
      <c r="C91" s="10"/>
      <c r="D91" s="93" t="s">
        <v>497</v>
      </c>
      <c r="E91" s="73"/>
      <c r="F91" s="93" t="s">
        <v>841</v>
      </c>
      <c r="G91" s="73"/>
      <c r="H91" s="73"/>
      <c r="I91" s="105">
        <v>39.020000000000003</v>
      </c>
      <c r="J91" s="105">
        <v>-84.15361</v>
      </c>
    </row>
    <row r="92" spans="1:15" x14ac:dyDescent="0.3">
      <c r="A92" s="96" t="s">
        <v>493</v>
      </c>
      <c r="B92" s="96"/>
      <c r="C92" s="10"/>
      <c r="D92" s="93" t="s">
        <v>842</v>
      </c>
      <c r="E92" s="73"/>
      <c r="F92" s="93" t="s">
        <v>843</v>
      </c>
      <c r="G92" s="73"/>
      <c r="H92" s="73"/>
      <c r="I92" s="105">
        <v>39.026110000000003</v>
      </c>
      <c r="J92" s="105">
        <v>-84.147779999999997</v>
      </c>
    </row>
    <row r="93" spans="1:15" x14ac:dyDescent="0.3">
      <c r="A93" s="96" t="s">
        <v>494</v>
      </c>
      <c r="B93" s="96"/>
      <c r="C93" s="10"/>
    </row>
    <row r="94" spans="1:15" x14ac:dyDescent="0.3">
      <c r="A94" s="96" t="s">
        <v>495</v>
      </c>
      <c r="B94" s="96"/>
      <c r="C94" s="10"/>
    </row>
    <row r="95" spans="1:15" x14ac:dyDescent="0.3">
      <c r="A95" s="96" t="s">
        <v>496</v>
      </c>
      <c r="B95" s="96"/>
      <c r="C95" s="10"/>
    </row>
    <row r="96" spans="1:15" x14ac:dyDescent="0.3">
      <c r="A96" s="96" t="s">
        <v>498</v>
      </c>
      <c r="B96" s="96"/>
      <c r="C96" s="10"/>
    </row>
    <row r="97" spans="1:10" x14ac:dyDescent="0.3">
      <c r="A97" s="96" t="s">
        <v>499</v>
      </c>
      <c r="B97" s="96"/>
      <c r="C97" s="10"/>
    </row>
    <row r="98" spans="1:10" x14ac:dyDescent="0.3">
      <c r="A98" s="96" t="s">
        <v>500</v>
      </c>
      <c r="B98" s="96"/>
      <c r="C98" s="10"/>
    </row>
    <row r="99" spans="1:10" x14ac:dyDescent="0.3">
      <c r="A99" s="96" t="s">
        <v>501</v>
      </c>
      <c r="B99" s="96"/>
      <c r="C99" s="10"/>
    </row>
    <row r="100" spans="1:10" x14ac:dyDescent="0.3">
      <c r="A100" s="96" t="s">
        <v>502</v>
      </c>
      <c r="B100" s="96"/>
      <c r="C100" s="10"/>
    </row>
    <row r="101" spans="1:10" x14ac:dyDescent="0.3">
      <c r="A101" s="96" t="s">
        <v>503</v>
      </c>
      <c r="B101" s="96"/>
      <c r="C101" s="10"/>
    </row>
    <row r="102" spans="1:10" x14ac:dyDescent="0.3">
      <c r="A102" s="96" t="s">
        <v>504</v>
      </c>
      <c r="B102" s="96"/>
      <c r="C102" s="10"/>
    </row>
    <row r="103" spans="1:10" x14ac:dyDescent="0.3">
      <c r="A103" s="96" t="s">
        <v>505</v>
      </c>
      <c r="B103" s="96"/>
      <c r="C103" s="10"/>
    </row>
    <row r="104" spans="1:10" x14ac:dyDescent="0.3">
      <c r="A104" s="96" t="s">
        <v>506</v>
      </c>
      <c r="B104" s="96"/>
      <c r="C104" s="10"/>
    </row>
    <row r="105" spans="1:10" x14ac:dyDescent="0.3">
      <c r="A105" s="96" t="s">
        <v>507</v>
      </c>
      <c r="B105" s="96"/>
      <c r="C105" s="10"/>
    </row>
    <row r="106" spans="1:10" x14ac:dyDescent="0.3">
      <c r="A106" s="10" t="s">
        <v>509</v>
      </c>
      <c r="B106" s="10"/>
      <c r="C106" s="10"/>
    </row>
    <row r="107" spans="1:10" x14ac:dyDescent="0.3">
      <c r="A107" s="10" t="s">
        <v>511</v>
      </c>
      <c r="B107" s="10"/>
      <c r="C107" s="10"/>
    </row>
    <row r="108" spans="1:10" x14ac:dyDescent="0.3">
      <c r="A108" s="10" t="s">
        <v>512</v>
      </c>
      <c r="B108" s="10"/>
      <c r="C108" s="10"/>
    </row>
    <row r="109" spans="1:10" x14ac:dyDescent="0.3">
      <c r="A109" s="10" t="s">
        <v>513</v>
      </c>
      <c r="B109" s="10"/>
      <c r="C109" s="10"/>
      <c r="D109" s="73" t="s">
        <v>324</v>
      </c>
      <c r="E109" s="74" t="s">
        <v>726</v>
      </c>
      <c r="F109" s="74" t="s">
        <v>727</v>
      </c>
      <c r="G109" s="89">
        <v>0.18</v>
      </c>
      <c r="H109" s="106">
        <v>6.3</v>
      </c>
      <c r="I109" s="85">
        <v>39.132928</v>
      </c>
      <c r="J109" s="85">
        <v>-84.015221999999994</v>
      </c>
    </row>
    <row r="110" spans="1:10" x14ac:dyDescent="0.3">
      <c r="A110" s="10" t="s">
        <v>513</v>
      </c>
      <c r="B110" s="10"/>
      <c r="C110" s="10"/>
    </row>
    <row r="111" spans="1:10" x14ac:dyDescent="0.3">
      <c r="A111" s="10" t="s">
        <v>514</v>
      </c>
      <c r="B111" s="10"/>
      <c r="C111" s="10"/>
    </row>
    <row r="112" spans="1:10" x14ac:dyDescent="0.3">
      <c r="A112" s="10" t="s">
        <v>515</v>
      </c>
      <c r="B112" s="10"/>
      <c r="C112" s="10"/>
    </row>
    <row r="113" spans="1:10" x14ac:dyDescent="0.3">
      <c r="A113" s="10" t="s">
        <v>516</v>
      </c>
      <c r="B113" s="10"/>
      <c r="C113" s="10"/>
    </row>
    <row r="114" spans="1:10" x14ac:dyDescent="0.3">
      <c r="A114" s="10" t="s">
        <v>517</v>
      </c>
      <c r="B114" s="10"/>
      <c r="C114" s="10"/>
    </row>
    <row r="115" spans="1:10" x14ac:dyDescent="0.3">
      <c r="A115" s="10" t="s">
        <v>844</v>
      </c>
      <c r="B115" s="10"/>
      <c r="C115" s="10"/>
    </row>
    <row r="116" spans="1:10" x14ac:dyDescent="0.3">
      <c r="A116" s="10" t="s">
        <v>519</v>
      </c>
      <c r="B116" s="10"/>
      <c r="C116" s="10"/>
    </row>
    <row r="117" spans="1:10" x14ac:dyDescent="0.3">
      <c r="A117" s="10" t="s">
        <v>647</v>
      </c>
      <c r="B117" s="10"/>
      <c r="C117" s="10"/>
    </row>
    <row r="118" spans="1:10" x14ac:dyDescent="0.3">
      <c r="A118" s="10" t="s">
        <v>794</v>
      </c>
      <c r="B118" s="10"/>
      <c r="C118" s="10"/>
    </row>
    <row r="119" spans="1:10" x14ac:dyDescent="0.3">
      <c r="A119" s="10" t="s">
        <v>570</v>
      </c>
      <c r="B119" s="10"/>
      <c r="C119" s="10"/>
    </row>
    <row r="120" spans="1:10" x14ac:dyDescent="0.3">
      <c r="A120" s="10" t="s">
        <v>70</v>
      </c>
      <c r="B120" s="10"/>
      <c r="C120" s="10"/>
    </row>
    <row r="121" spans="1:10" x14ac:dyDescent="0.3">
      <c r="A121" s="10" t="s">
        <v>801</v>
      </c>
      <c r="B121" s="10"/>
    </row>
    <row r="122" spans="1:10" x14ac:dyDescent="0.3">
      <c r="A122" s="10" t="s">
        <v>804</v>
      </c>
      <c r="B122" s="10" t="s">
        <v>673</v>
      </c>
      <c r="C122" s="10"/>
    </row>
    <row r="123" spans="1:10" x14ac:dyDescent="0.3">
      <c r="A123" s="10" t="s">
        <v>521</v>
      </c>
      <c r="B123" s="10" t="s">
        <v>673</v>
      </c>
      <c r="C123" s="96"/>
      <c r="D123" s="73" t="s">
        <v>521</v>
      </c>
      <c r="E123" s="73"/>
      <c r="F123" s="102" t="s">
        <v>845</v>
      </c>
      <c r="G123" s="73"/>
      <c r="H123" s="73"/>
      <c r="I123" s="85">
        <v>39.321910209000002</v>
      </c>
      <c r="J123" s="85">
        <v>-84.251108603000006</v>
      </c>
    </row>
    <row r="124" spans="1:10" x14ac:dyDescent="0.3">
      <c r="A124" s="10" t="s">
        <v>809</v>
      </c>
      <c r="B124" s="10" t="s">
        <v>673</v>
      </c>
      <c r="C124" s="10"/>
      <c r="D124" s="73" t="s">
        <v>846</v>
      </c>
      <c r="E124" s="73"/>
      <c r="F124" s="102" t="s">
        <v>847</v>
      </c>
      <c r="G124" s="73"/>
      <c r="H124" s="73"/>
      <c r="I124" s="85">
        <v>39.198892659999999</v>
      </c>
      <c r="J124" s="85">
        <v>-84.274152588999996</v>
      </c>
    </row>
    <row r="125" spans="1:10" x14ac:dyDescent="0.3">
      <c r="A125" s="10" t="s">
        <v>812</v>
      </c>
      <c r="B125" s="10" t="s">
        <v>673</v>
      </c>
      <c r="C125" s="10"/>
      <c r="D125" s="73" t="s">
        <v>812</v>
      </c>
      <c r="E125" s="73"/>
      <c r="F125" s="102" t="s">
        <v>848</v>
      </c>
      <c r="G125" s="73"/>
      <c r="H125" s="73"/>
      <c r="I125" s="85">
        <v>39.146700000000003</v>
      </c>
      <c r="J125" s="85">
        <v>-84.178899999999999</v>
      </c>
    </row>
    <row r="126" spans="1:10" x14ac:dyDescent="0.3">
      <c r="A126" s="10" t="s">
        <v>814</v>
      </c>
      <c r="B126" s="10" t="s">
        <v>673</v>
      </c>
      <c r="C126" s="10"/>
      <c r="D126" s="73" t="s">
        <v>814</v>
      </c>
      <c r="E126" s="73"/>
      <c r="F126" s="102" t="s">
        <v>849</v>
      </c>
      <c r="G126" s="73"/>
      <c r="H126" s="73"/>
      <c r="I126" s="85">
        <v>39.245464806000001</v>
      </c>
      <c r="J126" s="85">
        <v>-84.322927179999994</v>
      </c>
    </row>
    <row r="127" spans="1:10" x14ac:dyDescent="0.3">
      <c r="A127" s="10" t="s">
        <v>815</v>
      </c>
      <c r="B127" s="10" t="s">
        <v>673</v>
      </c>
      <c r="C127" s="10"/>
      <c r="D127" s="73" t="s">
        <v>815</v>
      </c>
      <c r="E127" s="73"/>
      <c r="F127" s="102" t="s">
        <v>850</v>
      </c>
      <c r="G127" s="73"/>
      <c r="H127" s="73"/>
      <c r="I127" s="85">
        <v>39.216504815</v>
      </c>
      <c r="J127" s="85">
        <v>-84.333766845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0B4BB-0F5A-47D0-98CB-40F0213528DD}">
  <dimension ref="A1:B14"/>
  <sheetViews>
    <sheetView topLeftCell="A2" workbookViewId="0">
      <selection activeCell="D20" sqref="D20"/>
    </sheetView>
  </sheetViews>
  <sheetFormatPr defaultColWidth="9.33203125" defaultRowHeight="13.2" x14ac:dyDescent="0.25"/>
  <cols>
    <col min="1" max="1" width="13.6640625" style="55" customWidth="1"/>
    <col min="2" max="2" width="34.5546875" style="55" customWidth="1"/>
    <col min="3" max="16384" width="9.33203125" style="55"/>
  </cols>
  <sheetData>
    <row r="1" spans="1:2" x14ac:dyDescent="0.25">
      <c r="A1" s="107" t="s">
        <v>29</v>
      </c>
      <c r="B1" s="107" t="s">
        <v>851</v>
      </c>
    </row>
    <row r="2" spans="1:2" x14ac:dyDescent="0.25">
      <c r="A2" s="64" t="s">
        <v>205</v>
      </c>
      <c r="B2" s="64" t="s">
        <v>852</v>
      </c>
    </row>
    <row r="3" spans="1:2" x14ac:dyDescent="0.25">
      <c r="A3" s="64" t="s">
        <v>179</v>
      </c>
      <c r="B3" s="64" t="s">
        <v>853</v>
      </c>
    </row>
    <row r="4" spans="1:2" x14ac:dyDescent="0.25">
      <c r="A4" s="64" t="s">
        <v>272</v>
      </c>
      <c r="B4" s="64" t="s">
        <v>853</v>
      </c>
    </row>
    <row r="5" spans="1:2" x14ac:dyDescent="0.25">
      <c r="A5" s="64" t="s">
        <v>854</v>
      </c>
      <c r="B5" s="64" t="s">
        <v>853</v>
      </c>
    </row>
    <row r="6" spans="1:2" x14ac:dyDescent="0.25">
      <c r="A6" s="64" t="s">
        <v>297</v>
      </c>
      <c r="B6" s="64" t="s">
        <v>855</v>
      </c>
    </row>
    <row r="7" spans="1:2" x14ac:dyDescent="0.25">
      <c r="A7" s="64" t="s">
        <v>231</v>
      </c>
      <c r="B7" s="64" t="s">
        <v>856</v>
      </c>
    </row>
    <row r="8" spans="1:2" x14ac:dyDescent="0.25">
      <c r="A8" s="64" t="s">
        <v>312</v>
      </c>
      <c r="B8" s="64" t="s">
        <v>857</v>
      </c>
    </row>
    <row r="9" spans="1:2" x14ac:dyDescent="0.25">
      <c r="A9" s="64" t="s">
        <v>281</v>
      </c>
      <c r="B9" s="64" t="s">
        <v>858</v>
      </c>
    </row>
    <row r="10" spans="1:2" x14ac:dyDescent="0.25">
      <c r="A10" s="64" t="s">
        <v>262</v>
      </c>
      <c r="B10" s="64" t="s">
        <v>858</v>
      </c>
    </row>
    <row r="11" spans="1:2" x14ac:dyDescent="0.25">
      <c r="A11" s="64" t="s">
        <v>243</v>
      </c>
      <c r="B11" s="64" t="s">
        <v>858</v>
      </c>
    </row>
    <row r="12" spans="1:2" x14ac:dyDescent="0.25">
      <c r="A12" s="64" t="s">
        <v>854</v>
      </c>
      <c r="B12" s="64" t="s">
        <v>853</v>
      </c>
    </row>
    <row r="14" spans="1:2" x14ac:dyDescent="0.25">
      <c r="A14" s="53" t="s">
        <v>859</v>
      </c>
    </row>
  </sheetData>
  <pageMargins left="0.75" right="0.75" top="1" bottom="1" header="0.5" footer="0.5"/>
  <pageSetup orientation="portrait" r:id="rId1"/>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C5626-9104-406E-BBC0-68F6EBB9D442}">
  <dimension ref="A1:AD47"/>
  <sheetViews>
    <sheetView topLeftCell="K13" workbookViewId="0">
      <selection activeCell="AB32" sqref="AB32"/>
    </sheetView>
  </sheetViews>
  <sheetFormatPr defaultColWidth="9.33203125" defaultRowHeight="13.2" x14ac:dyDescent="0.25"/>
  <cols>
    <col min="1" max="1" width="9.33203125" style="55"/>
    <col min="2" max="2" width="15.6640625" style="55" bestFit="1" customWidth="1"/>
    <col min="3" max="8" width="9.33203125" style="55"/>
    <col min="9" max="9" width="5.6640625" style="55" bestFit="1" customWidth="1"/>
    <col min="10" max="10" width="7.33203125" style="55" bestFit="1" customWidth="1"/>
    <col min="11" max="11" width="10.33203125" style="55" bestFit="1" customWidth="1"/>
    <col min="12" max="12" width="14.6640625" style="55" bestFit="1" customWidth="1"/>
    <col min="13" max="14" width="9.6640625" style="55" bestFit="1" customWidth="1"/>
    <col min="15" max="15" width="15.33203125" style="55" bestFit="1" customWidth="1"/>
    <col min="16" max="17" width="9.6640625" style="55" bestFit="1" customWidth="1"/>
    <col min="18" max="18" width="15.33203125" style="55" bestFit="1" customWidth="1"/>
    <col min="19" max="19" width="9.5546875" style="55" bestFit="1" customWidth="1"/>
    <col min="20" max="20" width="9.33203125" style="55" bestFit="1" customWidth="1"/>
    <col min="21" max="21" width="12.33203125" style="55" bestFit="1" customWidth="1"/>
    <col min="22" max="23" width="9.33203125" style="55"/>
    <col min="24" max="24" width="10.109375" style="55" bestFit="1" customWidth="1"/>
    <col min="25" max="25" width="9.33203125" style="55"/>
    <col min="26" max="27" width="10.109375" style="55" bestFit="1" customWidth="1"/>
    <col min="28" max="28" width="9.109375" style="55" bestFit="1" customWidth="1"/>
    <col min="29" max="30" width="10.109375" style="55" bestFit="1" customWidth="1"/>
    <col min="31" max="16384" width="9.33203125" style="55"/>
  </cols>
  <sheetData>
    <row r="1" spans="1:7" x14ac:dyDescent="0.25">
      <c r="A1" s="64" t="s">
        <v>29</v>
      </c>
      <c r="B1" s="64" t="s">
        <v>860</v>
      </c>
      <c r="C1" s="64" t="s">
        <v>861</v>
      </c>
      <c r="D1" s="64" t="s">
        <v>862</v>
      </c>
      <c r="E1" s="64"/>
    </row>
    <row r="2" spans="1:7" x14ac:dyDescent="0.25">
      <c r="A2" s="64" t="s">
        <v>179</v>
      </c>
      <c r="B2" s="64" t="s">
        <v>863</v>
      </c>
      <c r="C2" s="64" t="s">
        <v>864</v>
      </c>
      <c r="D2" s="64">
        <v>1333</v>
      </c>
      <c r="E2" s="64"/>
      <c r="G2" s="134" t="s">
        <v>865</v>
      </c>
    </row>
    <row r="3" spans="1:7" x14ac:dyDescent="0.25">
      <c r="A3" s="64" t="s">
        <v>179</v>
      </c>
      <c r="B3" s="64" t="s">
        <v>863</v>
      </c>
      <c r="C3" s="64" t="s">
        <v>581</v>
      </c>
      <c r="D3" s="64">
        <v>266</v>
      </c>
      <c r="E3" s="64"/>
      <c r="G3" s="134"/>
    </row>
    <row r="4" spans="1:7" x14ac:dyDescent="0.25">
      <c r="A4" s="64" t="s">
        <v>179</v>
      </c>
      <c r="B4" s="64" t="s">
        <v>863</v>
      </c>
      <c r="C4" s="64" t="s">
        <v>188</v>
      </c>
      <c r="D4" s="64">
        <v>133</v>
      </c>
      <c r="E4" s="64"/>
      <c r="G4" s="108" t="s">
        <v>866</v>
      </c>
    </row>
    <row r="5" spans="1:7" x14ac:dyDescent="0.25">
      <c r="A5" s="64" t="s">
        <v>299</v>
      </c>
      <c r="B5" s="64" t="s">
        <v>867</v>
      </c>
      <c r="C5" s="64" t="s">
        <v>864</v>
      </c>
      <c r="D5" s="64">
        <v>400</v>
      </c>
      <c r="E5" s="64"/>
    </row>
    <row r="6" spans="1:7" x14ac:dyDescent="0.25">
      <c r="A6" s="64" t="s">
        <v>299</v>
      </c>
      <c r="B6" s="64" t="s">
        <v>867</v>
      </c>
      <c r="C6" s="64" t="s">
        <v>581</v>
      </c>
      <c r="D6" s="64">
        <v>240</v>
      </c>
      <c r="E6" s="64"/>
      <c r="G6" s="108" t="s">
        <v>868</v>
      </c>
    </row>
    <row r="7" spans="1:7" x14ac:dyDescent="0.25">
      <c r="A7" s="64" t="s">
        <v>299</v>
      </c>
      <c r="B7" s="64" t="s">
        <v>867</v>
      </c>
      <c r="C7" s="64" t="s">
        <v>188</v>
      </c>
      <c r="D7" s="64">
        <v>120</v>
      </c>
      <c r="E7" s="64"/>
    </row>
    <row r="8" spans="1:7" x14ac:dyDescent="0.25">
      <c r="A8" s="64" t="s">
        <v>205</v>
      </c>
      <c r="B8" s="64" t="s">
        <v>283</v>
      </c>
      <c r="C8" s="64"/>
      <c r="D8" s="64">
        <v>75</v>
      </c>
      <c r="E8" s="64"/>
      <c r="G8" s="108" t="s">
        <v>869</v>
      </c>
    </row>
    <row r="9" spans="1:7" x14ac:dyDescent="0.25">
      <c r="A9" s="64" t="s">
        <v>205</v>
      </c>
      <c r="B9" s="64" t="s">
        <v>165</v>
      </c>
      <c r="D9" s="64">
        <v>75</v>
      </c>
      <c r="E9" s="64"/>
    </row>
    <row r="10" spans="1:7" x14ac:dyDescent="0.25">
      <c r="A10" s="64" t="s">
        <v>205</v>
      </c>
      <c r="B10" s="64" t="s">
        <v>74</v>
      </c>
      <c r="C10" s="64"/>
      <c r="D10" s="64">
        <v>300</v>
      </c>
      <c r="E10" s="64"/>
      <c r="G10" s="109" t="e">
        <f>IF(ISNA(VLOOKUP(C2,Customers,2,FALSE)),"",(VLOOKUP(C2,Customers,2,FALSE)))</f>
        <v>#NAME?</v>
      </c>
    </row>
    <row r="11" spans="1:7" x14ac:dyDescent="0.25">
      <c r="A11" s="64" t="s">
        <v>205</v>
      </c>
      <c r="B11" s="64" t="s">
        <v>181</v>
      </c>
      <c r="D11" s="64">
        <v>300</v>
      </c>
      <c r="E11" s="64"/>
    </row>
    <row r="12" spans="1:7" x14ac:dyDescent="0.25">
      <c r="A12" s="64" t="s">
        <v>205</v>
      </c>
      <c r="B12" s="64" t="s">
        <v>254</v>
      </c>
      <c r="C12" s="64"/>
      <c r="D12" s="64">
        <v>300</v>
      </c>
      <c r="E12" s="64"/>
      <c r="G12" s="109" t="s">
        <v>870</v>
      </c>
    </row>
    <row r="13" spans="1:7" x14ac:dyDescent="0.25">
      <c r="A13" s="64" t="s">
        <v>205</v>
      </c>
      <c r="B13" s="64" t="s">
        <v>207</v>
      </c>
      <c r="D13" s="64">
        <v>300</v>
      </c>
      <c r="E13" s="64"/>
    </row>
    <row r="14" spans="1:7" x14ac:dyDescent="0.25">
      <c r="A14" s="64" t="s">
        <v>205</v>
      </c>
      <c r="B14" s="64" t="s">
        <v>314</v>
      </c>
      <c r="D14" s="64">
        <v>300</v>
      </c>
      <c r="E14" s="64"/>
      <c r="G14" s="108" t="s">
        <v>871</v>
      </c>
    </row>
    <row r="15" spans="1:7" x14ac:dyDescent="0.25">
      <c r="A15" s="64" t="s">
        <v>205</v>
      </c>
      <c r="B15" s="64" t="s">
        <v>322</v>
      </c>
      <c r="D15" s="64">
        <v>300</v>
      </c>
      <c r="E15" s="64"/>
      <c r="G15" s="110"/>
    </row>
    <row r="16" spans="1:7" x14ac:dyDescent="0.25">
      <c r="A16" s="64" t="s">
        <v>205</v>
      </c>
      <c r="B16" s="64" t="s">
        <v>291</v>
      </c>
      <c r="C16" s="64"/>
      <c r="D16" s="64">
        <v>60</v>
      </c>
      <c r="E16" s="64"/>
      <c r="G16" s="111" t="s">
        <v>872</v>
      </c>
    </row>
    <row r="17" spans="1:30" x14ac:dyDescent="0.25">
      <c r="A17" s="64" t="s">
        <v>205</v>
      </c>
      <c r="B17" s="64" t="s">
        <v>299</v>
      </c>
      <c r="D17" s="64">
        <v>60</v>
      </c>
      <c r="E17" s="64"/>
      <c r="G17" s="110"/>
    </row>
    <row r="18" spans="1:30" x14ac:dyDescent="0.25">
      <c r="A18" s="64" t="s">
        <v>205</v>
      </c>
      <c r="B18" s="64" t="s">
        <v>81</v>
      </c>
      <c r="C18" s="64"/>
      <c r="D18" s="64">
        <v>500</v>
      </c>
      <c r="E18" s="64"/>
      <c r="G18" s="111" t="s">
        <v>873</v>
      </c>
    </row>
    <row r="19" spans="1:30" x14ac:dyDescent="0.25">
      <c r="A19" s="64" t="s">
        <v>205</v>
      </c>
      <c r="B19" s="64" t="s">
        <v>264</v>
      </c>
      <c r="D19" s="64">
        <v>500</v>
      </c>
      <c r="E19" s="64"/>
      <c r="G19" s="110"/>
    </row>
    <row r="20" spans="1:30" x14ac:dyDescent="0.25">
      <c r="A20" s="64" t="s">
        <v>205</v>
      </c>
      <c r="B20" s="64" t="s">
        <v>233</v>
      </c>
      <c r="C20" s="64"/>
      <c r="D20" s="64">
        <v>1250</v>
      </c>
      <c r="E20" s="64"/>
      <c r="G20" s="110"/>
    </row>
    <row r="21" spans="1:30" x14ac:dyDescent="0.25">
      <c r="A21" s="64" t="s">
        <v>205</v>
      </c>
      <c r="B21" s="64" t="s">
        <v>222</v>
      </c>
      <c r="D21" s="64">
        <v>1250</v>
      </c>
      <c r="E21" s="64"/>
      <c r="G21" s="111" t="s">
        <v>874</v>
      </c>
    </row>
    <row r="22" spans="1:30" x14ac:dyDescent="0.25">
      <c r="A22" s="64" t="s">
        <v>205</v>
      </c>
      <c r="B22" s="64" t="s">
        <v>875</v>
      </c>
      <c r="D22" s="64">
        <v>500</v>
      </c>
      <c r="E22" s="64"/>
    </row>
    <row r="23" spans="1:30" x14ac:dyDescent="0.25">
      <c r="A23" s="64" t="s">
        <v>272</v>
      </c>
      <c r="B23" s="64" t="s">
        <v>876</v>
      </c>
      <c r="C23" s="64" t="s">
        <v>864</v>
      </c>
      <c r="D23" s="64">
        <v>1000</v>
      </c>
      <c r="E23" s="64"/>
      <c r="F23" s="112"/>
      <c r="H23" s="113"/>
      <c r="I23" s="64"/>
      <c r="J23" s="114" t="s">
        <v>877</v>
      </c>
      <c r="K23" s="64" t="s">
        <v>878</v>
      </c>
      <c r="L23" s="64" t="s">
        <v>879</v>
      </c>
      <c r="M23" s="64" t="s">
        <v>880</v>
      </c>
      <c r="N23" s="64" t="s">
        <v>881</v>
      </c>
      <c r="O23" s="64" t="s">
        <v>882</v>
      </c>
      <c r="P23" s="55" t="s">
        <v>880</v>
      </c>
      <c r="Q23" s="55" t="s">
        <v>881</v>
      </c>
      <c r="R23" s="55" t="s">
        <v>882</v>
      </c>
      <c r="S23" s="55" t="s">
        <v>880</v>
      </c>
      <c r="T23" s="55" t="s">
        <v>881</v>
      </c>
      <c r="U23" s="55" t="s">
        <v>883</v>
      </c>
    </row>
    <row r="24" spans="1:30" x14ac:dyDescent="0.25">
      <c r="A24" s="64" t="s">
        <v>272</v>
      </c>
      <c r="B24" s="64" t="s">
        <v>876</v>
      </c>
      <c r="C24" s="64" t="s">
        <v>581</v>
      </c>
      <c r="D24" s="64">
        <v>200</v>
      </c>
      <c r="E24" s="113"/>
      <c r="H24" s="64"/>
      <c r="I24" s="64"/>
      <c r="J24" s="114" t="s">
        <v>884</v>
      </c>
      <c r="K24" s="113">
        <v>42522</v>
      </c>
      <c r="L24" s="113">
        <v>42500</v>
      </c>
      <c r="M24" s="113">
        <v>42934</v>
      </c>
      <c r="N24" s="113">
        <v>42810</v>
      </c>
      <c r="O24" s="113">
        <v>42823</v>
      </c>
      <c r="P24" s="112">
        <v>43166</v>
      </c>
      <c r="Q24" s="112">
        <v>43299</v>
      </c>
      <c r="R24" s="112">
        <v>43292</v>
      </c>
      <c r="S24" s="112">
        <v>43552</v>
      </c>
      <c r="T24" s="112">
        <v>43564</v>
      </c>
      <c r="U24" s="112">
        <v>43564</v>
      </c>
      <c r="V24" s="112">
        <v>44426</v>
      </c>
      <c r="W24" s="112">
        <v>44442</v>
      </c>
      <c r="X24" s="112">
        <v>44853</v>
      </c>
      <c r="Y24" s="112">
        <v>44687</v>
      </c>
      <c r="Z24" s="112">
        <v>44855</v>
      </c>
      <c r="AA24" s="112">
        <v>45315</v>
      </c>
      <c r="AB24" s="112">
        <v>45316</v>
      </c>
      <c r="AC24" s="112">
        <v>44855</v>
      </c>
      <c r="AD24" s="112"/>
    </row>
    <row r="25" spans="1:30" x14ac:dyDescent="0.25">
      <c r="A25" s="64" t="s">
        <v>272</v>
      </c>
      <c r="B25" s="64" t="s">
        <v>876</v>
      </c>
      <c r="C25" s="64" t="s">
        <v>188</v>
      </c>
      <c r="D25" s="64">
        <v>100</v>
      </c>
      <c r="H25" s="64"/>
      <c r="I25" s="71" t="s">
        <v>29</v>
      </c>
      <c r="J25" s="115" t="s">
        <v>885</v>
      </c>
      <c r="K25" s="71" t="s">
        <v>886</v>
      </c>
      <c r="L25" s="71" t="s">
        <v>887</v>
      </c>
      <c r="M25" s="71" t="s">
        <v>888</v>
      </c>
      <c r="N25" s="71" t="s">
        <v>889</v>
      </c>
      <c r="O25" s="71" t="s">
        <v>890</v>
      </c>
      <c r="P25" s="70" t="s">
        <v>891</v>
      </c>
      <c r="Q25" s="70" t="s">
        <v>892</v>
      </c>
      <c r="R25" s="70" t="s">
        <v>893</v>
      </c>
      <c r="S25" s="70" t="s">
        <v>894</v>
      </c>
      <c r="T25" s="70" t="s">
        <v>895</v>
      </c>
      <c r="U25" s="70" t="s">
        <v>896</v>
      </c>
      <c r="V25" s="55" t="s">
        <v>897</v>
      </c>
      <c r="W25" s="55" t="s">
        <v>928</v>
      </c>
      <c r="X25" s="55" t="s">
        <v>926</v>
      </c>
      <c r="Y25" s="55" t="s">
        <v>927</v>
      </c>
      <c r="Z25" s="55" t="s">
        <v>929</v>
      </c>
      <c r="AA25" s="55" t="s">
        <v>932</v>
      </c>
      <c r="AB25" s="55" t="s">
        <v>933</v>
      </c>
      <c r="AC25" s="55" t="s">
        <v>934</v>
      </c>
    </row>
    <row r="26" spans="1:30" x14ac:dyDescent="0.25">
      <c r="A26" s="64" t="s">
        <v>312</v>
      </c>
      <c r="B26" s="64" t="s">
        <v>283</v>
      </c>
      <c r="C26" s="64"/>
      <c r="D26" s="64">
        <v>156.25</v>
      </c>
      <c r="E26" s="64"/>
      <c r="H26" s="64"/>
      <c r="I26" s="64" t="s">
        <v>297</v>
      </c>
      <c r="J26" s="116" t="s">
        <v>74</v>
      </c>
      <c r="K26" s="64">
        <v>524</v>
      </c>
      <c r="L26" s="64"/>
      <c r="M26" s="64">
        <v>262</v>
      </c>
      <c r="N26" s="64"/>
      <c r="O26" s="64"/>
      <c r="P26" s="55">
        <v>393</v>
      </c>
      <c r="S26" s="55">
        <v>393</v>
      </c>
      <c r="V26" s="55">
        <v>131</v>
      </c>
      <c r="X26" s="55">
        <v>1050</v>
      </c>
      <c r="AA26" s="55">
        <v>1810</v>
      </c>
    </row>
    <row r="27" spans="1:30" x14ac:dyDescent="0.25">
      <c r="A27" s="64" t="s">
        <v>312</v>
      </c>
      <c r="B27" s="64" t="s">
        <v>165</v>
      </c>
      <c r="C27" s="64"/>
      <c r="D27" s="64">
        <v>156.25</v>
      </c>
      <c r="E27" s="64"/>
      <c r="H27" s="64"/>
      <c r="I27" s="64" t="s">
        <v>297</v>
      </c>
      <c r="J27" s="116" t="s">
        <v>181</v>
      </c>
      <c r="K27" s="64">
        <v>524</v>
      </c>
      <c r="L27" s="64"/>
      <c r="M27" s="64">
        <v>262</v>
      </c>
      <c r="N27" s="64"/>
      <c r="O27" s="64"/>
      <c r="P27" s="55">
        <v>393</v>
      </c>
      <c r="S27" s="55">
        <v>393</v>
      </c>
      <c r="V27" s="55">
        <v>131</v>
      </c>
      <c r="X27" s="55">
        <v>1050</v>
      </c>
      <c r="AA27" s="55">
        <v>1810</v>
      </c>
    </row>
    <row r="28" spans="1:30" x14ac:dyDescent="0.25">
      <c r="A28" s="64" t="s">
        <v>312</v>
      </c>
      <c r="B28" s="64" t="s">
        <v>74</v>
      </c>
      <c r="C28" s="64"/>
      <c r="D28" s="64">
        <v>625</v>
      </c>
      <c r="E28" s="64"/>
      <c r="H28" s="64"/>
      <c r="I28" s="64" t="s">
        <v>297</v>
      </c>
      <c r="J28" s="116" t="s">
        <v>283</v>
      </c>
      <c r="K28" s="64">
        <v>380</v>
      </c>
      <c r="L28" s="64">
        <v>326.2</v>
      </c>
      <c r="M28" s="64">
        <v>413</v>
      </c>
      <c r="N28" s="64">
        <v>326.2</v>
      </c>
      <c r="O28" s="64"/>
      <c r="P28" s="55">
        <v>118</v>
      </c>
      <c r="Q28" s="64">
        <v>200</v>
      </c>
      <c r="S28" s="55">
        <v>118</v>
      </c>
      <c r="T28" s="64">
        <v>200</v>
      </c>
      <c r="V28" s="55">
        <v>118</v>
      </c>
      <c r="W28" s="55">
        <v>200</v>
      </c>
      <c r="X28" s="55">
        <v>354</v>
      </c>
      <c r="Y28" s="55">
        <v>200</v>
      </c>
      <c r="AA28" s="55">
        <v>333</v>
      </c>
      <c r="AB28" s="55">
        <v>200</v>
      </c>
    </row>
    <row r="29" spans="1:30" x14ac:dyDescent="0.25">
      <c r="A29" s="64" t="s">
        <v>312</v>
      </c>
      <c r="B29" s="64" t="s">
        <v>181</v>
      </c>
      <c r="C29" s="64"/>
      <c r="D29" s="64">
        <v>625</v>
      </c>
      <c r="H29" s="64"/>
      <c r="I29" s="64" t="s">
        <v>297</v>
      </c>
      <c r="J29" s="116" t="s">
        <v>165</v>
      </c>
      <c r="K29" s="64">
        <v>380</v>
      </c>
      <c r="L29" s="64">
        <v>326.2</v>
      </c>
      <c r="M29" s="64">
        <v>413</v>
      </c>
      <c r="N29" s="64">
        <v>326.2</v>
      </c>
      <c r="O29" s="64"/>
      <c r="P29" s="55">
        <v>118</v>
      </c>
      <c r="Q29" s="64">
        <v>200</v>
      </c>
      <c r="S29" s="55">
        <v>118</v>
      </c>
      <c r="T29" s="64">
        <v>200</v>
      </c>
      <c r="V29" s="55">
        <v>118</v>
      </c>
      <c r="W29" s="55">
        <v>200</v>
      </c>
      <c r="X29" s="55">
        <v>354</v>
      </c>
      <c r="Y29" s="55">
        <v>200</v>
      </c>
      <c r="AA29" s="55">
        <v>333</v>
      </c>
      <c r="AB29" s="55">
        <v>200</v>
      </c>
    </row>
    <row r="30" spans="1:30" x14ac:dyDescent="0.25">
      <c r="A30" s="64" t="s">
        <v>312</v>
      </c>
      <c r="B30" s="64" t="s">
        <v>254</v>
      </c>
      <c r="C30" s="64"/>
      <c r="D30" s="64">
        <v>625</v>
      </c>
      <c r="H30" s="64"/>
      <c r="I30" s="64" t="s">
        <v>297</v>
      </c>
      <c r="J30" s="116" t="s">
        <v>254</v>
      </c>
      <c r="K30" s="64">
        <v>1390</v>
      </c>
      <c r="L30" s="64"/>
      <c r="M30" s="64">
        <v>416</v>
      </c>
      <c r="N30" s="64"/>
      <c r="O30" s="64"/>
      <c r="P30" s="55">
        <v>555</v>
      </c>
      <c r="Q30" s="64"/>
      <c r="S30" s="55">
        <v>555</v>
      </c>
      <c r="T30" s="64"/>
      <c r="V30" s="55">
        <v>902</v>
      </c>
      <c r="X30" s="55">
        <v>833</v>
      </c>
      <c r="AA30" s="55">
        <v>838</v>
      </c>
    </row>
    <row r="31" spans="1:30" x14ac:dyDescent="0.25">
      <c r="A31" s="64" t="s">
        <v>312</v>
      </c>
      <c r="B31" s="64" t="s">
        <v>207</v>
      </c>
      <c r="C31" s="64"/>
      <c r="D31" s="64">
        <v>625</v>
      </c>
      <c r="H31" s="64"/>
      <c r="I31" s="64" t="s">
        <v>297</v>
      </c>
      <c r="J31" s="116" t="s">
        <v>207</v>
      </c>
      <c r="K31" s="64">
        <v>1390</v>
      </c>
      <c r="L31" s="64"/>
      <c r="M31" s="64">
        <v>416</v>
      </c>
      <c r="N31" s="64"/>
      <c r="O31" s="64"/>
      <c r="P31" s="55">
        <v>555</v>
      </c>
      <c r="Q31" s="64"/>
      <c r="S31" s="55">
        <v>555</v>
      </c>
      <c r="T31" s="64"/>
      <c r="V31" s="55">
        <v>902</v>
      </c>
      <c r="X31" s="55">
        <v>833</v>
      </c>
      <c r="AA31" s="55">
        <v>838</v>
      </c>
    </row>
    <row r="32" spans="1:30" x14ac:dyDescent="0.25">
      <c r="A32" s="64" t="s">
        <v>312</v>
      </c>
      <c r="B32" s="64" t="s">
        <v>322</v>
      </c>
      <c r="C32" s="64"/>
      <c r="D32" s="64">
        <v>625</v>
      </c>
      <c r="H32" s="64"/>
      <c r="I32" s="64" t="s">
        <v>297</v>
      </c>
      <c r="J32" s="116" t="s">
        <v>81</v>
      </c>
      <c r="K32" s="64">
        <v>224</v>
      </c>
      <c r="L32" s="64">
        <v>326.2</v>
      </c>
      <c r="M32" s="64">
        <v>406</v>
      </c>
      <c r="N32" s="64">
        <v>326.2</v>
      </c>
      <c r="O32" s="64"/>
      <c r="P32" s="55">
        <v>812</v>
      </c>
      <c r="Q32" s="64">
        <v>200</v>
      </c>
      <c r="S32" s="55">
        <v>812</v>
      </c>
      <c r="T32" s="64">
        <v>200</v>
      </c>
      <c r="V32" s="55">
        <v>406</v>
      </c>
      <c r="W32" s="55">
        <v>200</v>
      </c>
      <c r="X32" s="55">
        <v>330</v>
      </c>
      <c r="Y32" s="55">
        <v>200</v>
      </c>
      <c r="AA32" s="55">
        <v>406</v>
      </c>
      <c r="AB32" s="55">
        <v>200</v>
      </c>
    </row>
    <row r="33" spans="1:29" x14ac:dyDescent="0.25">
      <c r="A33" s="64" t="s">
        <v>312</v>
      </c>
      <c r="B33" s="64" t="s">
        <v>314</v>
      </c>
      <c r="C33" s="64"/>
      <c r="D33" s="64">
        <v>625</v>
      </c>
      <c r="H33" s="64"/>
      <c r="I33" s="64" t="s">
        <v>297</v>
      </c>
      <c r="J33" s="116" t="s">
        <v>264</v>
      </c>
      <c r="K33" s="64">
        <v>224</v>
      </c>
      <c r="L33" s="64">
        <v>326.2</v>
      </c>
      <c r="M33" s="64">
        <v>406</v>
      </c>
      <c r="N33" s="64">
        <v>326.2</v>
      </c>
      <c r="O33" s="64"/>
      <c r="P33" s="55">
        <v>812</v>
      </c>
      <c r="Q33" s="64">
        <v>200</v>
      </c>
      <c r="S33" s="55">
        <v>812</v>
      </c>
      <c r="T33" s="64">
        <v>200</v>
      </c>
      <c r="V33" s="55">
        <v>406</v>
      </c>
      <c r="W33" s="55">
        <v>200</v>
      </c>
      <c r="X33" s="55">
        <v>330</v>
      </c>
      <c r="Y33" s="55">
        <v>200</v>
      </c>
      <c r="AA33" s="55">
        <v>406</v>
      </c>
      <c r="AB33" s="55">
        <v>200</v>
      </c>
    </row>
    <row r="34" spans="1:29" x14ac:dyDescent="0.25">
      <c r="A34" s="64" t="s">
        <v>312</v>
      </c>
      <c r="B34" s="64" t="s">
        <v>291</v>
      </c>
      <c r="C34" s="64"/>
      <c r="D34" s="64">
        <v>125</v>
      </c>
      <c r="I34" s="64" t="s">
        <v>297</v>
      </c>
      <c r="J34" s="116" t="s">
        <v>233</v>
      </c>
      <c r="K34" s="64">
        <v>1310</v>
      </c>
      <c r="L34" s="64"/>
      <c r="M34" s="64">
        <v>747</v>
      </c>
      <c r="N34" s="64"/>
      <c r="O34" s="64"/>
      <c r="P34" s="55">
        <v>1490</v>
      </c>
      <c r="S34" s="55">
        <v>1490</v>
      </c>
      <c r="V34" s="55">
        <v>747</v>
      </c>
      <c r="X34" s="55">
        <v>1870</v>
      </c>
      <c r="AA34" s="55">
        <v>747</v>
      </c>
    </row>
    <row r="35" spans="1:29" x14ac:dyDescent="0.25">
      <c r="A35" s="64" t="s">
        <v>312</v>
      </c>
      <c r="B35" s="64" t="s">
        <v>299</v>
      </c>
      <c r="C35" s="64"/>
      <c r="D35" s="64">
        <v>125</v>
      </c>
      <c r="I35" s="64" t="s">
        <v>297</v>
      </c>
      <c r="J35" s="116" t="s">
        <v>222</v>
      </c>
      <c r="K35" s="64">
        <v>1310</v>
      </c>
      <c r="L35" s="64"/>
      <c r="M35" s="64">
        <v>747</v>
      </c>
      <c r="N35" s="64"/>
      <c r="O35" s="64"/>
      <c r="P35" s="55">
        <v>1490</v>
      </c>
      <c r="S35" s="55">
        <v>1490</v>
      </c>
      <c r="V35" s="55">
        <v>747</v>
      </c>
      <c r="X35" s="55">
        <v>1870</v>
      </c>
      <c r="AA35" s="55">
        <v>747</v>
      </c>
    </row>
    <row r="36" spans="1:29" x14ac:dyDescent="0.25">
      <c r="A36" s="64" t="s">
        <v>312</v>
      </c>
      <c r="B36" s="64" t="s">
        <v>81</v>
      </c>
      <c r="C36" s="64"/>
      <c r="D36" s="64">
        <v>1000</v>
      </c>
      <c r="I36" s="64" t="s">
        <v>297</v>
      </c>
      <c r="J36" s="116" t="s">
        <v>322</v>
      </c>
      <c r="K36" s="64"/>
      <c r="L36" s="64"/>
      <c r="M36" s="64"/>
      <c r="N36" s="64"/>
      <c r="O36" s="64">
        <v>1000</v>
      </c>
      <c r="R36" s="64">
        <v>1000</v>
      </c>
      <c r="U36" s="64">
        <v>1000</v>
      </c>
      <c r="Z36" s="55">
        <v>1000</v>
      </c>
      <c r="AC36" s="55">
        <v>1000</v>
      </c>
    </row>
    <row r="37" spans="1:29" x14ac:dyDescent="0.25">
      <c r="A37" s="64" t="s">
        <v>312</v>
      </c>
      <c r="B37" s="64" t="s">
        <v>264</v>
      </c>
      <c r="C37" s="64"/>
      <c r="D37" s="64">
        <v>1000</v>
      </c>
      <c r="I37" s="64" t="s">
        <v>297</v>
      </c>
      <c r="J37" s="116" t="s">
        <v>314</v>
      </c>
      <c r="K37" s="64"/>
      <c r="L37" s="64"/>
      <c r="M37" s="64"/>
      <c r="N37" s="64"/>
      <c r="O37" s="64">
        <v>1000</v>
      </c>
      <c r="R37" s="64">
        <v>1000</v>
      </c>
      <c r="U37" s="64">
        <v>1000</v>
      </c>
      <c r="Z37" s="55">
        <v>1000</v>
      </c>
      <c r="AC37" s="55">
        <v>1000</v>
      </c>
    </row>
    <row r="38" spans="1:29" x14ac:dyDescent="0.25">
      <c r="A38" s="64" t="s">
        <v>312</v>
      </c>
      <c r="B38" s="64" t="s">
        <v>233</v>
      </c>
      <c r="C38" s="64"/>
      <c r="D38" s="64">
        <v>2500</v>
      </c>
    </row>
    <row r="39" spans="1:29" x14ac:dyDescent="0.25">
      <c r="A39" s="64" t="s">
        <v>312</v>
      </c>
      <c r="B39" s="64" t="s">
        <v>222</v>
      </c>
      <c r="D39" s="64">
        <v>2500</v>
      </c>
    </row>
    <row r="40" spans="1:29" x14ac:dyDescent="0.25">
      <c r="A40" s="64" t="s">
        <v>303</v>
      </c>
      <c r="B40" s="64" t="s">
        <v>898</v>
      </c>
      <c r="C40" s="64" t="s">
        <v>314</v>
      </c>
      <c r="D40" s="64">
        <v>1250</v>
      </c>
    </row>
    <row r="41" spans="1:29" x14ac:dyDescent="0.25">
      <c r="A41" s="64" t="s">
        <v>303</v>
      </c>
      <c r="B41" s="64" t="s">
        <v>867</v>
      </c>
      <c r="C41" s="64" t="s">
        <v>864</v>
      </c>
      <c r="D41" s="64">
        <v>1000</v>
      </c>
    </row>
    <row r="42" spans="1:29" x14ac:dyDescent="0.25">
      <c r="A42" s="64" t="s">
        <v>303</v>
      </c>
      <c r="B42" s="64" t="s">
        <v>867</v>
      </c>
      <c r="C42" s="64" t="s">
        <v>581</v>
      </c>
      <c r="D42" s="64">
        <v>200</v>
      </c>
    </row>
    <row r="43" spans="1:29" x14ac:dyDescent="0.25">
      <c r="A43" s="64" t="s">
        <v>303</v>
      </c>
      <c r="B43" s="64" t="s">
        <v>867</v>
      </c>
      <c r="C43" s="64" t="s">
        <v>188</v>
      </c>
      <c r="D43" s="64">
        <v>100</v>
      </c>
    </row>
    <row r="44" spans="1:29" x14ac:dyDescent="0.25">
      <c r="A44" s="64" t="s">
        <v>854</v>
      </c>
      <c r="B44" s="64" t="s">
        <v>867</v>
      </c>
      <c r="C44" s="64" t="s">
        <v>864</v>
      </c>
      <c r="D44" s="64">
        <v>1000</v>
      </c>
    </row>
    <row r="45" spans="1:29" x14ac:dyDescent="0.25">
      <c r="A45" s="64" t="s">
        <v>854</v>
      </c>
      <c r="B45" s="64" t="s">
        <v>867</v>
      </c>
      <c r="C45" s="64" t="s">
        <v>581</v>
      </c>
      <c r="D45" s="64">
        <v>200</v>
      </c>
    </row>
    <row r="46" spans="1:29" x14ac:dyDescent="0.25">
      <c r="A46" s="64" t="s">
        <v>854</v>
      </c>
      <c r="B46" s="64" t="s">
        <v>867</v>
      </c>
      <c r="C46" s="64" t="s">
        <v>188</v>
      </c>
      <c r="D46" s="64">
        <v>100</v>
      </c>
    </row>
    <row r="47" spans="1:29" x14ac:dyDescent="0.25">
      <c r="A47" s="64" t="s">
        <v>854</v>
      </c>
      <c r="B47" s="64" t="s">
        <v>867</v>
      </c>
      <c r="C47" s="64" t="s">
        <v>899</v>
      </c>
      <c r="D47" s="64">
        <v>5000</v>
      </c>
    </row>
  </sheetData>
  <mergeCells count="1">
    <mergeCell ref="G2:G3"/>
  </mergeCells>
  <pageMargins left="0.75" right="0.75" top="1" bottom="1" header="0.5" footer="0.5"/>
  <pageSetup orientation="portrait" horizontalDpi="1200" verticalDpi="1200" r:id="rId1"/>
  <headerFooter alignWithMargins="0"/>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F22FA-7080-4A0E-A535-62505D29AE71}">
  <dimension ref="A1"/>
  <sheetViews>
    <sheetView workbookViewId="0">
      <selection activeCell="E15" sqref="E15"/>
    </sheetView>
  </sheetViews>
  <sheetFormatPr defaultRowHeight="14.4" x14ac:dyDescent="0.3"/>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CC3C8-CC0E-4CF6-AEC3-096BED202C5F}">
  <dimension ref="A1:G4"/>
  <sheetViews>
    <sheetView workbookViewId="0">
      <selection activeCell="D1" sqref="D1:D1048576"/>
    </sheetView>
  </sheetViews>
  <sheetFormatPr defaultRowHeight="14.4" x14ac:dyDescent="0.3"/>
  <cols>
    <col min="1" max="1" width="9.44140625" bestFit="1" customWidth="1"/>
    <col min="3" max="3" width="10.88671875" bestFit="1" customWidth="1"/>
  </cols>
  <sheetData>
    <row r="1" spans="1:7" x14ac:dyDescent="0.3">
      <c r="A1" s="117" t="s">
        <v>900</v>
      </c>
    </row>
    <row r="3" spans="1:7" x14ac:dyDescent="0.3">
      <c r="A3" s="118" t="s">
        <v>901</v>
      </c>
      <c r="B3" s="118" t="s">
        <v>902</v>
      </c>
      <c r="C3" s="118" t="s">
        <v>903</v>
      </c>
      <c r="E3" s="117"/>
      <c r="F3" s="117"/>
      <c r="G3" s="117"/>
    </row>
    <row r="4" spans="1:7" x14ac:dyDescent="0.3">
      <c r="A4" s="45">
        <v>44668</v>
      </c>
      <c r="B4" t="s">
        <v>904</v>
      </c>
      <c r="C4" t="s">
        <v>905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29f62856-1543-49d4-a736-4569d363f533" ContentTypeId="0x01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Records_x0020_Date xmlns="1aa17580-553e-44ce-b2b9-99ab98bddff2" xsi:nil="tru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2023-04-23T01:42:36+00:00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_activity xmlns="806c5882-756c-496f-bc0c-c6ab5cf0f533"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Records_x0020_Status xmlns="1aa17580-553e-44ce-b2b9-99ab98bddff2">Pending</Records_x0020_Statu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45D4506362BD2F478AFC877FD8040A26" ma:contentTypeVersion="36" ma:contentTypeDescription="Create a new document." ma:contentTypeScope="" ma:versionID="48037b3aecf2cc03ed6dc38e8fbc1170">
  <xsd:schema xmlns:xsd="http://www.w3.org/2001/XMLSchema" xmlns:xs="http://www.w3.org/2001/XMLSchema" xmlns:p="http://schemas.microsoft.com/office/2006/metadata/properties" xmlns:ns1="http://schemas.microsoft.com/sharepoint/v3" xmlns:ns3="4ffa91fb-a0ff-4ac5-b2db-65c790d184a4" xmlns:ns4="http://schemas.microsoft.com/sharepoint.v3" xmlns:ns5="http://schemas.microsoft.com/sharepoint/v3/fields" xmlns:ns6="806c5882-756c-496f-bc0c-c6ab5cf0f533" xmlns:ns7="1aa17580-553e-44ce-b2b9-99ab98bddff2" targetNamespace="http://schemas.microsoft.com/office/2006/metadata/properties" ma:root="true" ma:fieldsID="7e147c618eefea61285dc454a64da5ae" ns1:_="" ns3:_="" ns4:_="" ns5:_="" ns6:_="" ns7:_="">
    <xsd:import namespace="http://schemas.microsoft.com/sharepoint/v3"/>
    <xsd:import namespace="4ffa91fb-a0ff-4ac5-b2db-65c790d184a4"/>
    <xsd:import namespace="http://schemas.microsoft.com/sharepoint.v3"/>
    <xsd:import namespace="http://schemas.microsoft.com/sharepoint/v3/fields"/>
    <xsd:import namespace="806c5882-756c-496f-bc0c-c6ab5cf0f533"/>
    <xsd:import namespace="1aa17580-553e-44ce-b2b9-99ab98bddff2"/>
    <xsd:element name="properties">
      <xsd:complexType>
        <xsd:sequence>
          <xsd:element name="documentManagement">
            <xsd:complexType>
              <xsd:all>
                <xsd:element ref="ns3:Document_x0020_Creation_x0020_Date" minOccurs="0"/>
                <xsd:element ref="ns3:Creator" minOccurs="0"/>
                <xsd:element ref="ns3:EPA_x0020_Office" minOccurs="0"/>
                <xsd:element ref="ns3:Record" minOccurs="0"/>
                <xsd:element ref="ns4:CategoryDescription" minOccurs="0"/>
                <xsd:element ref="ns3:Identifier" minOccurs="0"/>
                <xsd:element ref="ns3:EPA_x0020_Contributor" minOccurs="0"/>
                <xsd:element ref="ns3:External_x0020_Contributor" minOccurs="0"/>
                <xsd:element ref="ns5:_Coverage" minOccurs="0"/>
                <xsd:element ref="ns3:EPA_x0020_Related_x0020_Documents" minOccurs="0"/>
                <xsd:element ref="ns5:_Source" minOccurs="0"/>
                <xsd:element ref="ns3:Rights" minOccurs="0"/>
                <xsd:element ref="ns1:Language" minOccurs="0"/>
                <xsd:element ref="ns3:j747ac98061d40f0aa7bd47e1db5675d" minOccurs="0"/>
                <xsd:element ref="ns3:TaxKeywordTaxHTField" minOccurs="0"/>
                <xsd:element ref="ns3:TaxCatchAllLabel" minOccurs="0"/>
                <xsd:element ref="ns3:TaxCatchAll" minOccurs="0"/>
                <xsd:element ref="ns6:MediaServiceMetadata" minOccurs="0"/>
                <xsd:element ref="ns6:MediaServiceFastMetadata" minOccurs="0"/>
                <xsd:element ref="ns7:Records_x0020_Status" minOccurs="0"/>
                <xsd:element ref="ns7:Records_x0020_Date" minOccurs="0"/>
                <xsd:element ref="ns6:MediaServiceAutoTags" minOccurs="0"/>
                <xsd:element ref="ns6:MediaServiceGenerationTime" minOccurs="0"/>
                <xsd:element ref="ns6:MediaServiceEventHashCode" minOccurs="0"/>
                <xsd:element ref="ns6:MediaServiceDateTaken" minOccurs="0"/>
                <xsd:element ref="ns6:MediaServiceLocation" minOccurs="0"/>
                <xsd:element ref="ns6:MediaServiceOCR" minOccurs="0"/>
                <xsd:element ref="ns6:MediaLengthInSeconds" minOccurs="0"/>
                <xsd:element ref="ns1:_ip_UnifiedCompliancePolicyProperties" minOccurs="0"/>
                <xsd:element ref="ns1:_ip_UnifiedCompliancePolicyUIAction" minOccurs="0"/>
                <xsd:element ref="ns6: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c9ed4ff8-0634-40a9-a28c-ec4a807bc54e}" ma:internalName="TaxCatchAllLabel" ma:readOnly="true" ma:showField="CatchAllDataLabel" ma:web="1aa17580-553e-44ce-b2b9-99ab98bddff2">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c9ed4ff8-0634-40a9-a28c-ec4a807bc54e}" ma:internalName="TaxCatchAll" ma:showField="CatchAllData" ma:web="1aa17580-553e-44ce-b2b9-99ab98bddff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06c5882-756c-496f-bc0c-c6ab5cf0f533" elementFormDefault="qualified">
    <xsd:import namespace="http://schemas.microsoft.com/office/2006/documentManagement/types"/>
    <xsd:import namespace="http://schemas.microsoft.com/office/infopath/2007/PartnerControls"/>
    <xsd:element name="MediaServiceMetadata" ma:index="28" nillable="true" ma:displayName="MediaServiceMetadata" ma:description="" ma:hidden="true" ma:internalName="MediaServiceMetadata" ma:readOnly="true">
      <xsd:simpleType>
        <xsd:restriction base="dms:Note"/>
      </xsd:simpleType>
    </xsd:element>
    <xsd:element name="MediaServiceFastMetadata" ma:index="29" nillable="true" ma:displayName="MediaServiceFastMetadata" ma:description="" ma:hidden="true" ma:internalName="MediaServiceFastMetadata" ma:readOnly="true">
      <xsd:simpleType>
        <xsd:restriction base="dms:Note"/>
      </xsd:simpleType>
    </xsd:element>
    <xsd:element name="MediaServiceAutoTags" ma:index="32" nillable="true" ma:displayName="Tags" ma:internalName="MediaServiceAutoTags" ma:readOnly="true">
      <xsd:simpleType>
        <xsd:restriction base="dms:Text"/>
      </xsd:simpleType>
    </xsd:element>
    <xsd:element name="MediaServiceGenerationTime" ma:index="33" nillable="true" ma:displayName="MediaServiceGenerationTime" ma:hidden="true" ma:internalName="MediaServiceGenerationTime" ma:readOnly="true">
      <xsd:simpleType>
        <xsd:restriction base="dms:Text"/>
      </xsd:simpleType>
    </xsd:element>
    <xsd:element name="MediaServiceEventHashCode" ma:index="34" nillable="true" ma:displayName="MediaServiceEventHashCode" ma:hidden="true" ma:internalName="MediaServiceEventHashCode" ma:readOnly="true">
      <xsd:simpleType>
        <xsd:restriction base="dms:Text"/>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MediaServiceOCR" ma:index="37" nillable="true" ma:displayName="Extracted Text" ma:internalName="MediaServiceOCR" ma:readOnly="true">
      <xsd:simpleType>
        <xsd:restriction base="dms:Note">
          <xsd:maxLength value="255"/>
        </xsd:restriction>
      </xsd:simpleType>
    </xsd:element>
    <xsd:element name="MediaLengthInSeconds" ma:index="38" nillable="true" ma:displayName="Length (seconds)" ma:internalName="MediaLengthInSeconds" ma:readOnly="true">
      <xsd:simpleType>
        <xsd:restriction base="dms:Unknown"/>
      </xsd:simpleType>
    </xsd:element>
    <xsd:element name="_activity" ma:index="41"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a17580-553e-44ce-b2b9-99ab98bddff2" elementFormDefault="qualified">
    <xsd:import namespace="http://schemas.microsoft.com/office/2006/documentManagement/types"/>
    <xsd:import namespace="http://schemas.microsoft.com/office/infopath/2007/PartnerControls"/>
    <xsd:element name="Records_x0020_Status" ma:index="30" nillable="true" ma:displayName="Records Status" ma:default="Pending" ma:internalName="Records_x0020_Status">
      <xsd:simpleType>
        <xsd:restriction base="dms:Text"/>
      </xsd:simpleType>
    </xsd:element>
    <xsd:element name="Records_x0020_Date" ma:index="31" nillable="true" ma:displayName="Records Date" ma:hidden="true" ma:internalName="Records_x0020_Dat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B0DDDD-3F7A-42F8-BF57-FFB57EB6A99C}">
  <ds:schemaRefs>
    <ds:schemaRef ds:uri="Microsoft.SharePoint.Taxonomy.ContentTypeSync"/>
  </ds:schemaRefs>
</ds:datastoreItem>
</file>

<file path=customXml/itemProps2.xml><?xml version="1.0" encoding="utf-8"?>
<ds:datastoreItem xmlns:ds="http://schemas.openxmlformats.org/officeDocument/2006/customXml" ds:itemID="{A2F39442-D6E3-47C8-AF0F-56242881E7E3}">
  <ds:schemaRefs>
    <ds:schemaRef ds:uri="http://schemas.microsoft.com/sharepoint/v3/contenttype/forms"/>
  </ds:schemaRefs>
</ds:datastoreItem>
</file>

<file path=customXml/itemProps3.xml><?xml version="1.0" encoding="utf-8"?>
<ds:datastoreItem xmlns:ds="http://schemas.openxmlformats.org/officeDocument/2006/customXml" ds:itemID="{EA98F134-278E-4F32-B6C3-5A5FBBDBFBD7}">
  <ds:schemaRefs>
    <ds:schemaRef ds:uri="http://schemas.microsoft.com/office/infopath/2007/PartnerControls"/>
    <ds:schemaRef ds:uri="http://www.w3.org/XML/1998/namespace"/>
    <ds:schemaRef ds:uri="http://schemas.microsoft.com/office/2006/metadata/properties"/>
    <ds:schemaRef ds:uri="4ffa91fb-a0ff-4ac5-b2db-65c790d184a4"/>
    <ds:schemaRef ds:uri="http://schemas.microsoft.com/office/2006/documentManagement/types"/>
    <ds:schemaRef ds:uri="http://purl.org/dc/terms/"/>
    <ds:schemaRef ds:uri="http://schemas.openxmlformats.org/package/2006/metadata/core-properties"/>
    <ds:schemaRef ds:uri="1aa17580-553e-44ce-b2b9-99ab98bddff2"/>
    <ds:schemaRef ds:uri="806c5882-756c-496f-bc0c-c6ab5cf0f533"/>
    <ds:schemaRef ds:uri="http://purl.org/dc/elements/1.1/"/>
    <ds:schemaRef ds:uri="http://schemas.microsoft.com/sharepoint/v3/fields"/>
    <ds:schemaRef ds:uri="http://schemas.microsoft.com/sharepoint.v3"/>
    <ds:schemaRef ds:uri="http://schemas.microsoft.com/sharepoint/v3"/>
    <ds:schemaRef ds:uri="http://purl.org/dc/dcmitype/"/>
  </ds:schemaRefs>
</ds:datastoreItem>
</file>

<file path=customXml/itemProps4.xml><?xml version="1.0" encoding="utf-8"?>
<ds:datastoreItem xmlns:ds="http://schemas.openxmlformats.org/officeDocument/2006/customXml" ds:itemID="{3DB92349-91B6-4487-8BC3-9D8F045AEB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806c5882-756c-496f-bc0c-c6ab5cf0f533"/>
    <ds:schemaRef ds:uri="1aa17580-553e-44ce-b2b9-99ab98bddf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18</vt:i4>
      </vt:variant>
    </vt:vector>
  </HeadingPairs>
  <TitlesOfParts>
    <vt:vector size="31" baseType="lpstr">
      <vt:lpstr>2025 Data</vt:lpstr>
      <vt:lpstr>TPCalibEq150</vt:lpstr>
      <vt:lpstr>TPCalibEq300</vt:lpstr>
      <vt:lpstr>TPCalibEq500</vt:lpstr>
      <vt:lpstr>TPCalibEqFull</vt:lpstr>
      <vt:lpstr>TNCalibEq2500</vt:lpstr>
      <vt:lpstr>TNCalibEqFull</vt:lpstr>
      <vt:lpstr>METADATA</vt:lpstr>
      <vt:lpstr>IDs</vt:lpstr>
      <vt:lpstr>QCEQUATIONS</vt:lpstr>
      <vt:lpstr>QCACTUAL</vt:lpstr>
      <vt:lpstr>QC Pivot</vt:lpstr>
      <vt:lpstr>ChangeLog</vt:lpstr>
      <vt:lpstr>QCACTUAL!QCATP_P</vt:lpstr>
      <vt:lpstr>QCATP_P</vt:lpstr>
      <vt:lpstr>QCACTUAL!QCCHK</vt:lpstr>
      <vt:lpstr>QCCHK</vt:lpstr>
      <vt:lpstr>QCEQUATIONS!QCEQUATIONS</vt:lpstr>
      <vt:lpstr>QCEQUATIONS</vt:lpstr>
      <vt:lpstr>QCACTUAL!QCGUP</vt:lpstr>
      <vt:lpstr>QCGUP</vt:lpstr>
      <vt:lpstr>QCACTUAL!QCNIC_N</vt:lpstr>
      <vt:lpstr>QCNIC_N</vt:lpstr>
      <vt:lpstr>QCACTUAL!QCPER</vt:lpstr>
      <vt:lpstr>QCPER</vt:lpstr>
      <vt:lpstr>QCACTUAL!QCREC_N</vt:lpstr>
      <vt:lpstr>QCREC_N</vt:lpstr>
      <vt:lpstr>QCACTUAL!QCSPK</vt:lpstr>
      <vt:lpstr>QCSPK</vt:lpstr>
      <vt:lpstr>QCACTUAL!QCUREA_N</vt:lpstr>
      <vt:lpstr>QCUREA_N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Burkes, Andrea</dc:creator>
  <cp:lastModifiedBy>Beaulieu, Jake</cp:lastModifiedBy>
  <dcterms:created xsi:type="dcterms:W3CDTF">2022-04-18T00:29:03Z</dcterms:created>
  <dcterms:modified xsi:type="dcterms:W3CDTF">2025-07-18T14:30:53Z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0x01010045D4506362BD2F478AFC877FD8040A26</vt:lpwstr>
  </property>
</Properties>
</file>